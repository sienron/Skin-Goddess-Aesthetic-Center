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tems" sheetId="2" state="visible" r:id="rId4"/>
    <sheet name="Kits" sheetId="3" state="visible" r:id="rId5"/>
    <sheet name="Services" sheetId="4" state="visible" r:id="rId6"/>
    <sheet name="Service_Consumables" sheetId="5" state="visible" r:id="rId7"/>
    <sheet name="Matrix" sheetId="6" state="visible" r:id="rId8"/>
    <sheet name="Gaps" sheetId="7" state="visible" r:id="rId9"/>
    <sheet name="Flags" sheetId="8" state="visible" r:id="rId10"/>
  </sheets>
  <definedNames>
    <definedName function="false" hidden="true" localSheetId="1" name="_xlnm._FilterDatabase" vbProcedure="false">Items!$A$4:$J$62</definedName>
    <definedName function="false" hidden="true" localSheetId="2" name="_xlnm._FilterDatabase" vbProcedure="false">Kits!$A$4:$F$163</definedName>
    <definedName function="false" hidden="true" localSheetId="4" name="_xlnm._FilterDatabase" vbProcedure="false">Service_Consumables!$A$4:$O$856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<sst xmlns="http://schemas.openxmlformats.org/spreadsheetml/2006/main" count="6891" uniqueCount="514">
  <si>
    <t xml:space="preserve">SG consumables-per-treatment mapping (hypothetical)</t>
  </si>
  <si>
    <t xml:space="preserve">Purpose</t>
  </si>
  <si>
    <t xml:space="preserve">For each of the 81 services in SG-Confidential.xlsx, lists which of the 58 tracked consumables would be used, in what quantity, grouped by the client's 7 inventory categories.</t>
  </si>
  <si>
    <t xml:space="preserve">Status</t>
  </si>
  <si>
    <t xml:space="preserve">HYPOTHETICAL. Quantities are typical-practice estimates, not client data and not medical protocols. Have the client validate before anything is seeded.</t>
  </si>
  <si>
    <t xml:space="preserve">How to read</t>
  </si>
  <si>
    <t xml:space="preserve">Matrix = quick visual. Service_Consumables = one row per service/item, shaped like the ERD junction table (Services_Consumables). Kits = editable base recipes. Services = size multipliers. Items = units and pack sizes. Gaps and Flags = what is missing and what will break.</t>
  </si>
  <si>
    <t xml:space="preserve">How to tweak</t>
  </si>
  <si>
    <t xml:space="preserve">Edit blue cells only: Kits (base qty, scales, mode), Services (size multiplier), Items (type, pack size). Everything else recalculates.</t>
  </si>
  <si>
    <t xml:space="preserve">Modes</t>
  </si>
  <si>
    <t xml:space="preserve">Auto-deduct = consumed in the session. Aftercare (sell/dispense) = recommended product; deduct only if actually sold, via post-service sales. Overhead items (toilet tissue, hand soap) are not mapped.</t>
  </si>
  <si>
    <t xml:space="preserve">Types</t>
  </si>
  <si>
    <t xml:space="preserve">Countable = whole pieces (syringes, gloves), rounded UP. Bulk = fractions of a container (mL, g, cm, sheets); Stock units consumed = qty / pack size.</t>
  </si>
  <si>
    <t xml:space="preserve">Size multiplier</t>
  </si>
  <si>
    <t xml:space="preserve">Scales lines marked Y in Kits (e.g. Full Legs = 4x a small area, Whole Body TCA = 8x). Hygiene lines never scale.</t>
  </si>
  <si>
    <t xml:space="preserve">Not confirmed</t>
  </si>
  <si>
    <t xml:space="preserve">Items whose real use I had to guess are marked ASSUMED in Items (Cartridge, Capsugen, Nee Revive/Bright, CV/RF Tissue, Frozen Mask, Test Tube).</t>
  </si>
  <si>
    <t xml:space="preserve">Items: what each of the 58 inventory items is and how it is counted</t>
  </si>
  <si>
    <t xml:space="preserve">Blue = assumption you can edit. Source of item names/categories: client SG-Confidential.xlsx (Consumables sheet). Unit/pack sizes are hypothetical.</t>
  </si>
  <si>
    <t xml:space="preserve">Item</t>
  </si>
  <si>
    <t xml:space="preserve">Category</t>
  </si>
  <si>
    <t xml:space="preserve">Type</t>
  </si>
  <si>
    <t xml:space="preserve">Stock unit</t>
  </si>
  <si>
    <t xml:space="preserve">Usage unit</t>
  </si>
  <si>
    <t xml:space="preserve">Pack size (usage units per stock unit)</t>
  </si>
  <si>
    <t xml:space="preserve">Role</t>
  </si>
  <si>
    <t xml:space="preserve"># services: auto-deduct</t>
  </si>
  <si>
    <t xml:space="preserve"># services: aftercare</t>
  </si>
  <si>
    <t xml:space="preserve">Assumption / note</t>
  </si>
  <si>
    <t xml:space="preserve">1cc Syringe</t>
  </si>
  <si>
    <t xml:space="preserve">MEDICAL / INJECTION SUPPLIES</t>
  </si>
  <si>
    <t xml:space="preserve">Countable</t>
  </si>
  <si>
    <t xml:space="preserve">pc</t>
  </si>
  <si>
    <t xml:space="preserve">Clinical consumable</t>
  </si>
  <si>
    <t xml:space="preserve">3cc Syringe</t>
  </si>
  <si>
    <t xml:space="preserve">10cc Syringe</t>
  </si>
  <si>
    <t xml:space="preserve">Scalp Vein Set</t>
  </si>
  <si>
    <t xml:space="preserve">Baby Needle</t>
  </si>
  <si>
    <t xml:space="preserve">Assumed fine-gauge mesotherapy needle.</t>
  </si>
  <si>
    <t xml:space="preserve">1cc BD Needle</t>
  </si>
  <si>
    <t xml:space="preserve">Cannula</t>
  </si>
  <si>
    <t xml:space="preserve">Assumed IV cannula.</t>
  </si>
  <si>
    <t xml:space="preserve">Cartridge</t>
  </si>
  <si>
    <t xml:space="preserve">ASSUMED microneedling / meso-device cartridge. Confirm with client.</t>
  </si>
  <si>
    <t xml:space="preserve">Test Tube</t>
  </si>
  <si>
    <t xml:space="preserve">WEAKEST MAPPING: assumed cocktail-mixing vessel for mesotherapy. Confirm with client.</t>
  </si>
  <si>
    <t xml:space="preserve">Sterile Water</t>
  </si>
  <si>
    <t xml:space="preserve">ampule</t>
  </si>
  <si>
    <t xml:space="preserve">Assumed 10 mL ampule for dilution/reconstitution.</t>
  </si>
  <si>
    <t xml:space="preserve">Macroset (IV Set)</t>
  </si>
  <si>
    <t xml:space="preserve">Bouffant Cap</t>
  </si>
  <si>
    <t xml:space="preserve">DISPOSABLES &amp; CLINIC CONSUMABLES</t>
  </si>
  <si>
    <t xml:space="preserve">Disposable Mask</t>
  </si>
  <si>
    <t xml:space="preserve">Latex Gloves (Small)</t>
  </si>
  <si>
    <t xml:space="preserve">pair</t>
  </si>
  <si>
    <t xml:space="preserve">Default glove size for every hands-on service (see Flags: glove size depends on the staff member, not the treatment).</t>
  </si>
  <si>
    <t xml:space="preserve">Latex Gloves (Medium)</t>
  </si>
  <si>
    <t xml:space="preserve">Deliberately unmapped: size depends on who performs the service. Handle by monthly Adjustment.</t>
  </si>
  <si>
    <t xml:space="preserve">Facial Tissue</t>
  </si>
  <si>
    <t xml:space="preserve">Bulk</t>
  </si>
  <si>
    <t xml:space="preserve">box</t>
  </si>
  <si>
    <t xml:space="preserve">sheet</t>
  </si>
  <si>
    <t xml:space="preserve">Assumed 200-sheet box.</t>
  </si>
  <si>
    <t xml:space="preserve">Toilet Tissue</t>
  </si>
  <si>
    <t xml:space="preserve">roll</t>
  </si>
  <si>
    <t xml:space="preserve">Overhead (not per service)</t>
  </si>
  <si>
    <t xml:space="preserve">General clinic use. Not mapped per service.</t>
  </si>
  <si>
    <t xml:space="preserve">CV/RF Tissue</t>
  </si>
  <si>
    <t xml:space="preserve">ASSUMED disposable sheet used with RF / cavitation devices. Confirm.</t>
  </si>
  <si>
    <t xml:space="preserve">Cotton Roll</t>
  </si>
  <si>
    <t xml:space="preserve">g</t>
  </si>
  <si>
    <t xml:space="preserve">Assumed 400 g roll.</t>
  </si>
  <si>
    <t xml:space="preserve">Cotton Applicator</t>
  </si>
  <si>
    <t xml:space="preserve">Assumed 100-pc box.</t>
  </si>
  <si>
    <t xml:space="preserve">Tongue Depressor</t>
  </si>
  <si>
    <t xml:space="preserve">Used as a spatula to scoop masks/creams.</t>
  </si>
  <si>
    <t xml:space="preserve">Transpore Tape</t>
  </si>
  <si>
    <t xml:space="preserve">cm</t>
  </si>
  <si>
    <t xml:space="preserve">Assumed 1 in x 10 yd roll.</t>
  </si>
  <si>
    <t xml:space="preserve">Cling Wrap</t>
  </si>
  <si>
    <t xml:space="preserve">Assumed 30 m roll. Occlusion for numbing cream; wrap for paraffin.</t>
  </si>
  <si>
    <t xml:space="preserve">Gauze</t>
  </si>
  <si>
    <t xml:space="preserve">pack</t>
  </si>
  <si>
    <t xml:space="preserve">Assumed 100-pc pack.</t>
  </si>
  <si>
    <t xml:space="preserve">Sterile Gauze</t>
  </si>
  <si>
    <t xml:space="preserve">Assumed individually packed.</t>
  </si>
  <si>
    <t xml:space="preserve">Wipes</t>
  </si>
  <si>
    <t xml:space="preserve">Assumed 80-pc pack.</t>
  </si>
  <si>
    <t xml:space="preserve">Alcohol</t>
  </si>
  <si>
    <t xml:space="preserve">bottle</t>
  </si>
  <si>
    <t xml:space="preserve">mL</t>
  </si>
  <si>
    <t xml:space="preserve">Assumed 500 mL bottle.</t>
  </si>
  <si>
    <t xml:space="preserve">Toner</t>
  </si>
  <si>
    <t xml:space="preserve">FACIAL / TREATMENT PREP PRODUCTS</t>
  </si>
  <si>
    <t xml:space="preserve">Assumed clinic-size 500 mL bottle.</t>
  </si>
  <si>
    <t xml:space="preserve">Clarifying Toner</t>
  </si>
  <si>
    <t xml:space="preserve">Acne Buster Toner</t>
  </si>
  <si>
    <t xml:space="preserve">Glycolic Peeling Toner</t>
  </si>
  <si>
    <t xml:space="preserve">Hypo Liquid Soap</t>
  </si>
  <si>
    <t xml:space="preserve">Assumed facial cleanser.</t>
  </si>
  <si>
    <t xml:space="preserve">Facial Scrub</t>
  </si>
  <si>
    <t xml:space="preserve">tub</t>
  </si>
  <si>
    <t xml:space="preserve">Hand Soap</t>
  </si>
  <si>
    <t xml:space="preserve">General hygiene. Not mapped per service.</t>
  </si>
  <si>
    <t xml:space="preserve">Gold Mask</t>
  </si>
  <si>
    <t xml:space="preserve">FACIAL TREATMENT PRODUCTS (PROFESSIONAL USE)</t>
  </si>
  <si>
    <t xml:space="preserve">Unit depends on product form (tub vs sheet). Confirm.</t>
  </si>
  <si>
    <t xml:space="preserve">Collagen Gold Mask</t>
  </si>
  <si>
    <t xml:space="preserve">Unit depends on product form. Confirm.</t>
  </si>
  <si>
    <t xml:space="preserve">Hydra Moist Mask</t>
  </si>
  <si>
    <t xml:space="preserve">Frozen Mask</t>
  </si>
  <si>
    <t xml:space="preserve">ASSUMED cooling/soothing mask. Confirm.</t>
  </si>
  <si>
    <t xml:space="preserve">RF Cream</t>
  </si>
  <si>
    <t xml:space="preserve">Conductive cream for RF body tightening.</t>
  </si>
  <si>
    <t xml:space="preserve">Ultrasound Gel</t>
  </si>
  <si>
    <t xml:space="preserve">Conductive/cooling gel for cavitation, RF and IPL.</t>
  </si>
  <si>
    <t xml:space="preserve">Capsugen</t>
  </si>
  <si>
    <t xml:space="preserve">ASSUMED single-use facial capsule/ampoule. Confirm.</t>
  </si>
  <si>
    <t xml:space="preserve">Nee Revive</t>
  </si>
  <si>
    <t xml:space="preserve">ASSUMED single-use serum ampoule. Confirm.</t>
  </si>
  <si>
    <t xml:space="preserve">Nee Bright</t>
  </si>
  <si>
    <t xml:space="preserve">Acne Topical Solution</t>
  </si>
  <si>
    <t xml:space="preserve">SKINCARE PRODUCTS (RETAIL / AFTERCARE)</t>
  </si>
  <si>
    <t xml:space="preserve">Retail / aftercare only</t>
  </si>
  <si>
    <t xml:space="preserve">Dispensed/sold, not consumed in-session.</t>
  </si>
  <si>
    <t xml:space="preserve">Erythromycin</t>
  </si>
  <si>
    <t xml:space="preserve">Topical, dispensed after extractions/cautery (needs prescriber, see Flags).</t>
  </si>
  <si>
    <t xml:space="preserve">Whitening Cream</t>
  </si>
  <si>
    <t xml:space="preserve">jar</t>
  </si>
  <si>
    <t xml:space="preserve">Hydrocortisone</t>
  </si>
  <si>
    <t xml:space="preserve">tube</t>
  </si>
  <si>
    <t xml:space="preserve">Aftercare for irritation.</t>
  </si>
  <si>
    <t xml:space="preserve">Glycolic Peel Solution</t>
  </si>
  <si>
    <t xml:space="preserve">Categorised as retail in the client list but used in-clinic (ATP peel session).</t>
  </si>
  <si>
    <t xml:space="preserve">Underarm Serum</t>
  </si>
  <si>
    <t xml:space="preserve">Sunblock Gel</t>
  </si>
  <si>
    <t xml:space="preserve">Clinical + retail</t>
  </si>
  <si>
    <t xml:space="preserve">Applied in-clinic after peels/IPL AND sold as retail.</t>
  </si>
  <si>
    <t xml:space="preserve">Deodorant Spray</t>
  </si>
  <si>
    <t xml:space="preserve">Luna Verde Soap</t>
  </si>
  <si>
    <t xml:space="preserve">SOAPS &amp; CLEANSERS</t>
  </si>
  <si>
    <t xml:space="preserve">bar</t>
  </si>
  <si>
    <t xml:space="preserve">Retail only. Deliberately unmapped.</t>
  </si>
  <si>
    <t xml:space="preserve">Tea Tree Soap</t>
  </si>
  <si>
    <t xml:space="preserve">Barley Soap</t>
  </si>
  <si>
    <t xml:space="preserve">Mallow Soap 100g</t>
  </si>
  <si>
    <t xml:space="preserve">Mallow Soap 300g</t>
  </si>
  <si>
    <t xml:space="preserve">Shaver</t>
  </si>
  <si>
    <t xml:space="preserve">TOOLS / EQUIPMENT / MISC</t>
  </si>
  <si>
    <t xml:space="preserve">Assumed disposable razor (IPL needs a shaved area).</t>
  </si>
  <si>
    <t xml:space="preserve">EMLA Cream (Topical Anesthetic)</t>
  </si>
  <si>
    <t xml:space="preserve">Assumed 30 g tube. Used only when the client wants numbing.</t>
  </si>
  <si>
    <t xml:space="preserve">Kits: reusable consumable bundles (base quantity at size multiplier = 1)</t>
  </si>
  <si>
    <t xml:space="preserve">Blue = hypothetical quantity. "Scales" = Y means quantity is multiplied by the service size multiplier. Mode: Auto-deduct = consumed in session; Aftercare = only if sold/dispensed.</t>
  </si>
  <si>
    <t xml:space="preserve">Kit</t>
  </si>
  <si>
    <t xml:space="preserve">Base qty (usage units)</t>
  </si>
  <si>
    <t xml:space="preserve">Scales with area (Y/N)</t>
  </si>
  <si>
    <t xml:space="preserve">Mode</t>
  </si>
  <si>
    <t xml:space="preserve">Kit purpose</t>
  </si>
  <si>
    <t xml:space="preserve">K_HYG</t>
  </si>
  <si>
    <t xml:space="preserve">N</t>
  </si>
  <si>
    <t xml:space="preserve">Auto-deduct</t>
  </si>
  <si>
    <t xml:space="preserve">Hygiene basics for any hands-on service</t>
  </si>
  <si>
    <t xml:space="preserve">K_CAP</t>
  </si>
  <si>
    <t xml:space="preserve">Client hair cover</t>
  </si>
  <si>
    <t xml:space="preserve">K_FACE_PREP</t>
  </si>
  <si>
    <t xml:space="preserve">Cap, cleanse, tone, tissue</t>
  </si>
  <si>
    <t xml:space="preserve">K_EXTRACT</t>
  </si>
  <si>
    <t xml:space="preserve">Extraction step</t>
  </si>
  <si>
    <t xml:space="preserve">K_SCRUB</t>
  </si>
  <si>
    <t xml:space="preserve">Exfoliation step</t>
  </si>
  <si>
    <t xml:space="preserve">K_HYDRA_FINISH</t>
  </si>
  <si>
    <t xml:space="preserve">Hydrating mask + SPF finish</t>
  </si>
  <si>
    <t xml:space="preserve">K_COLLAGEN_FINISH</t>
  </si>
  <si>
    <t xml:space="preserve">Collagen mask + SPF finish</t>
  </si>
  <si>
    <t xml:space="preserve">K_DIAMOND</t>
  </si>
  <si>
    <t xml:space="preserve">Diamond peel debris wipe-down</t>
  </si>
  <si>
    <t xml:space="preserve">K_OXY</t>
  </si>
  <si>
    <t xml:space="preserve">Oxygen facial actives</t>
  </si>
  <si>
    <t xml:space="preserve">K_VLIFT_TOOLS</t>
  </si>
  <si>
    <t xml:space="preserve">V-lifting RF/ultrasound step</t>
  </si>
  <si>
    <t xml:space="preserve">K_RMSF_ADD</t>
  </si>
  <si>
    <t xml:space="preserve">RM Signature actives</t>
  </si>
  <si>
    <t xml:space="preserve">K_ACNE</t>
  </si>
  <si>
    <t xml:space="preserve">Acne-specific prep, mask, aftercare</t>
  </si>
  <si>
    <t xml:space="preserve">Aftercare (sell/dispense)</t>
  </si>
  <si>
    <t xml:space="preserve">K_ATP_ADD</t>
  </si>
  <si>
    <t xml:space="preserve">Acne Treatment Program peel session</t>
  </si>
  <si>
    <t xml:space="preserve">K_MICROBOOST</t>
  </si>
  <si>
    <t xml:space="preserve">Microboost (assumed micro-needling/injection device)</t>
  </si>
  <si>
    <t xml:space="preserve">K_TCA</t>
  </si>
  <si>
    <t xml:space="preserve">Y</t>
  </si>
  <si>
    <t xml:space="preserve">TCA peel, per smallest area (scales with area)</t>
  </si>
  <si>
    <t xml:space="preserve">K_IPL</t>
  </si>
  <si>
    <t xml:space="preserve">IPL hair removal (scales with area)</t>
  </si>
  <si>
    <t xml:space="preserve">K_IPL_FACE</t>
  </si>
  <si>
    <t xml:space="preserve">IPL facial soothing</t>
  </si>
  <si>
    <t xml:space="preserve">K_NUMB</t>
  </si>
  <si>
    <t xml:space="preserve">Optional numbing (assumes 100% uptake)</t>
  </si>
  <si>
    <t xml:space="preserve">K_AFT_UNDERARM</t>
  </si>
  <si>
    <t xml:space="preserve">Underarm aftercare</t>
  </si>
  <si>
    <t xml:space="preserve">K_AFT_IRRIT</t>
  </si>
  <si>
    <t xml:space="preserve">Irritation aftercare</t>
  </si>
  <si>
    <t xml:space="preserve">K_ECT</t>
  </si>
  <si>
    <t xml:space="preserve">Electrocautery of warts/milia</t>
  </si>
  <si>
    <t xml:space="preserve">K_PARAFFIN</t>
  </si>
  <si>
    <t xml:space="preserve">Paraffin wrap (scales with hands/feet)</t>
  </si>
  <si>
    <t xml:space="preserve">K_FOOTSPA</t>
  </si>
  <si>
    <t xml:space="preserve">Foot spa basin/wipe-down</t>
  </si>
  <si>
    <t xml:space="preserve">K_PEDI</t>
  </si>
  <si>
    <t xml:space="preserve">Pedicure</t>
  </si>
  <si>
    <t xml:space="preserve">K_PREMIUM</t>
  </si>
  <si>
    <t xml:space="preserve">Premium pedicure add-on (assumed paraffin wrap)</t>
  </si>
  <si>
    <t xml:space="preserve">K_MANI</t>
  </si>
  <si>
    <t xml:space="preserve">Manicure</t>
  </si>
  <si>
    <t xml:space="preserve">K_GEL_PREP</t>
  </si>
  <si>
    <t xml:space="preserve">Gel prep / cleanse (scales with length)</t>
  </si>
  <si>
    <t xml:space="preserve">K_NAIL_ARTFX</t>
  </si>
  <si>
    <t xml:space="preserve">Nail art add-on (per booking, see Flags)</t>
  </si>
  <si>
    <t xml:space="preserve">K_NAIL_ARTISTIC</t>
  </si>
  <si>
    <t xml:space="preserve">Artistic nails add-on</t>
  </si>
  <si>
    <t xml:space="preserve">K_NAIL_STONES</t>
  </si>
  <si>
    <t xml:space="preserve">Rhinestones add-on</t>
  </si>
  <si>
    <t xml:space="preserve">K_GELREMOVE</t>
  </si>
  <si>
    <t xml:space="preserve">Gel polish removal</t>
  </si>
  <si>
    <t xml:space="preserve">K_LASH</t>
  </si>
  <si>
    <t xml:space="preserve">Lash extension set / infill</t>
  </si>
  <si>
    <t xml:space="preserve">K_LASH_REMOVE</t>
  </si>
  <si>
    <t xml:space="preserve">Lash removal</t>
  </si>
  <si>
    <t xml:space="preserve">K_THREAD</t>
  </si>
  <si>
    <t xml:space="preserve">Threading (scales for combo)</t>
  </si>
  <si>
    <t xml:space="preserve">K_DRIP</t>
  </si>
  <si>
    <t xml:space="preserve">IV drip administration</t>
  </si>
  <si>
    <t xml:space="preserve">K_SHOT</t>
  </si>
  <si>
    <t xml:space="preserve">IV push shot</t>
  </si>
  <si>
    <t xml:space="preserve">K_SHOT_VITC</t>
  </si>
  <si>
    <t xml:space="preserve">Vitamin C add-on syringe</t>
  </si>
  <si>
    <t xml:space="preserve">K_AFT_WHITEN</t>
  </si>
  <si>
    <t xml:space="preserve">Whitening aftercare</t>
  </si>
  <si>
    <t xml:space="preserve">K_AFT_BARLEY</t>
  </si>
  <si>
    <t xml:space="preserve">Whitening soap aftercare</t>
  </si>
  <si>
    <t xml:space="preserve">K_MESO</t>
  </si>
  <si>
    <t xml:space="preserve">Mesotherapy injections (scales with area)</t>
  </si>
  <si>
    <t xml:space="preserve">K_BODY_PREP</t>
  </si>
  <si>
    <t xml:space="preserve">Body area prep (scales with area)</t>
  </si>
  <si>
    <t xml:space="preserve">K_BT</t>
  </si>
  <si>
    <t xml:space="preserve">Body tightening (RF)</t>
  </si>
  <si>
    <t xml:space="preserve">K_BFR</t>
  </si>
  <si>
    <t xml:space="preserve">Body fat reduction (cavitation)</t>
  </si>
  <si>
    <t xml:space="preserve">K_BT_BFR</t>
  </si>
  <si>
    <t xml:space="preserve">Combined BT + BFR</t>
  </si>
  <si>
    <t xml:space="preserve">Services: 81 services from the client price list</t>
  </si>
  <si>
    <t xml:space="preserve">ID is a placeholder (row order). Remap to services.service_id once the services table is seeded. Prices copied from client Treatment sheet.</t>
  </si>
  <si>
    <t xml:space="preserve">ID</t>
  </si>
  <si>
    <t xml:space="preserve">Family</t>
  </si>
  <si>
    <t xml:space="preserve">Service</t>
  </si>
  <si>
    <t xml:space="preserve">List price (PHP)</t>
  </si>
  <si>
    <t xml:space="preserve">Kits used</t>
  </si>
  <si>
    <t xml:space="preserve">Notes</t>
  </si>
  <si>
    <t xml:space="preserve"># consumable lines</t>
  </si>
  <si>
    <t xml:space="preserve"># auto-deduct lines</t>
  </si>
  <si>
    <t xml:space="preserve">Eyelash Extension</t>
  </si>
  <si>
    <t xml:space="preserve">Classic</t>
  </si>
  <si>
    <t xml:space="preserve">K_HYG+K_LASH</t>
  </si>
  <si>
    <t xml:space="preserve">Hybrid</t>
  </si>
  <si>
    <t xml:space="preserve">Volume</t>
  </si>
  <si>
    <t xml:space="preserve">Mega Volume</t>
  </si>
  <si>
    <t xml:space="preserve">Infill</t>
  </si>
  <si>
    <t xml:space="preserve">Same list as a full set; a real infill uses less. Tune after client input.</t>
  </si>
  <si>
    <t xml:space="preserve">Removal</t>
  </si>
  <si>
    <t xml:space="preserve">K_HYG+K_LASH_REMOVE</t>
  </si>
  <si>
    <t xml:space="preserve">Threading Services</t>
  </si>
  <si>
    <t xml:space="preserve">Eyebrow</t>
  </si>
  <si>
    <t xml:space="preserve">K_HYG+K_THREAD</t>
  </si>
  <si>
    <t xml:space="preserve">Upper Lip</t>
  </si>
  <si>
    <t xml:space="preserve">Lower Lip</t>
  </si>
  <si>
    <t xml:space="preserve">Combo</t>
  </si>
  <si>
    <t xml:space="preserve">Eyebrow + upper + lower lip.</t>
  </si>
  <si>
    <t xml:space="preserve">Hair Removal (IPL-HR)</t>
  </si>
  <si>
    <t xml:space="preserve">Underarms</t>
  </si>
  <si>
    <t xml:space="preserve">K_HYG+K_IPL+K_AFT_UNDERARM</t>
  </si>
  <si>
    <t xml:space="preserve">Bikini Line</t>
  </si>
  <si>
    <t xml:space="preserve">K_HYG+K_IPL+K_NUMB+K_AFT_IRRIT</t>
  </si>
  <si>
    <t xml:space="preserve">Face</t>
  </si>
  <si>
    <t xml:space="preserve">K_HYG+K_IPL+K_IPL_FACE</t>
  </si>
  <si>
    <t xml:space="preserve">K_HYG+K_IPL+K_CAP</t>
  </si>
  <si>
    <t xml:space="preserve">Full Legs</t>
  </si>
  <si>
    <t xml:space="preserve">K_HYG+K_IPL</t>
  </si>
  <si>
    <t xml:space="preserve">One razor assumed for the whole session.</t>
  </si>
  <si>
    <t xml:space="preserve">Brazilian</t>
  </si>
  <si>
    <t xml:space="preserve">Arms</t>
  </si>
  <si>
    <t xml:space="preserve">Half Legs</t>
  </si>
  <si>
    <t xml:space="preserve">Chest</t>
  </si>
  <si>
    <t xml:space="preserve">Electrocautery (ECT)</t>
  </si>
  <si>
    <t xml:space="preserve">Warts &amp; Milia Removal</t>
  </si>
  <si>
    <t xml:space="preserve">K_HYG+K_CAP+K_ECT</t>
  </si>
  <si>
    <t xml:space="preserve">Cautery tips / probes are not in the inventory list.</t>
  </si>
  <si>
    <t xml:space="preserve">Paraffin Therapy</t>
  </si>
  <si>
    <t xml:space="preserve">Hands</t>
  </si>
  <si>
    <t xml:space="preserve">K_HYG+K_PARAFFIN</t>
  </si>
  <si>
    <t xml:space="preserve">Foot</t>
  </si>
  <si>
    <t xml:space="preserve">Hand &amp; Foot</t>
  </si>
  <si>
    <t xml:space="preserve">Foot Treatment</t>
  </si>
  <si>
    <t xml:space="preserve">Foot Spa</t>
  </si>
  <si>
    <t xml:space="preserve">K_HYG+K_FOOTSPA</t>
  </si>
  <si>
    <t xml:space="preserve">K_HYG+K_PEDI</t>
  </si>
  <si>
    <t xml:space="preserve">Pedicure w/ Foot Spa</t>
  </si>
  <si>
    <t xml:space="preserve">K_HYG+K_PEDI+K_FOOTSPA</t>
  </si>
  <si>
    <t xml:space="preserve">Pedicure w/ Foot Spa (Premium)</t>
  </si>
  <si>
    <t xml:space="preserve">K_HYG+K_PEDI+K_FOOTSPA+K_PREMIUM</t>
  </si>
  <si>
    <t xml:space="preserve">Client sheet lists two rows named "Pedicure w/ Foot Spa"; second one labelled Premium here.</t>
  </si>
  <si>
    <t xml:space="preserve">Drip / Shot (ED/GS)</t>
  </si>
  <si>
    <t xml:space="preserve">Anti-Aging Drip</t>
  </si>
  <si>
    <t xml:space="preserve">K_HYG+K_DRIP</t>
  </si>
  <si>
    <t xml:space="preserve">Immune Booster Drip</t>
  </si>
  <si>
    <t xml:space="preserve">Slimming Drip</t>
  </si>
  <si>
    <t xml:space="preserve">Whitening Drip</t>
  </si>
  <si>
    <t xml:space="preserve">K_HYG+K_DRIP+K_AFT_WHITEN</t>
  </si>
  <si>
    <t xml:space="preserve">3-in-1 Drip</t>
  </si>
  <si>
    <t xml:space="preserve">Gluta Shot w/ Vit. C</t>
  </si>
  <si>
    <t xml:space="preserve">K_HYG+K_SHOT+K_SHOT_VITC+K_AFT_BARLEY</t>
  </si>
  <si>
    <t xml:space="preserve">Gluta Shot</t>
  </si>
  <si>
    <t xml:space="preserve">K_HYG+K_SHOT+K_AFT_BARLEY</t>
  </si>
  <si>
    <t xml:space="preserve">Hikari Drip</t>
  </si>
  <si>
    <t xml:space="preserve">Mesotherapy (MT)</t>
  </si>
  <si>
    <t xml:space="preserve">K_HYG+K_FACE_PREP+K_MESO</t>
  </si>
  <si>
    <t xml:space="preserve">Face w/ V-Lifting</t>
  </si>
  <si>
    <t xml:space="preserve">K_HYG+K_FACE_PREP+K_MESO+K_VLIFT_TOOLS</t>
  </si>
  <si>
    <t xml:space="preserve">Arms/Braline</t>
  </si>
  <si>
    <t xml:space="preserve">K_HYG+K_BODY_PREP+K_MESO</t>
  </si>
  <si>
    <t xml:space="preserve">Tummy</t>
  </si>
  <si>
    <t xml:space="preserve">Thigh</t>
  </si>
  <si>
    <t xml:space="preserve">Whole Body w/ BFR &amp; BT</t>
  </si>
  <si>
    <t xml:space="preserve">K_HYG+K_BODY_PREP+K_MESO+K_BT_BFR</t>
  </si>
  <si>
    <t xml:space="preserve">Hand Treatment</t>
  </si>
  <si>
    <t xml:space="preserve">K_HYG+K_MANI</t>
  </si>
  <si>
    <t xml:space="preserve">Soft Gel Manicure (Gel Polish)</t>
  </si>
  <si>
    <t xml:space="preserve">K_HYG+K_MANI+K_GEL_PREP</t>
  </si>
  <si>
    <t xml:space="preserve">Gel polish, base/top coat not in inventory list.</t>
  </si>
  <si>
    <t xml:space="preserve">Soft Gel Nail Extensions</t>
  </si>
  <si>
    <t xml:space="preserve">Short</t>
  </si>
  <si>
    <t xml:space="preserve">Gel/tips/builder not in inventory list.</t>
  </si>
  <si>
    <t xml:space="preserve">Medium</t>
  </si>
  <si>
    <t xml:space="preserve">Long</t>
  </si>
  <si>
    <t xml:space="preserve">Add-on: Nail Art (per nail)</t>
  </si>
  <si>
    <t xml:space="preserve">100 per nail</t>
  </si>
  <si>
    <t xml:space="preserve">Variable quantity per nail. One flat booking-level estimate only.</t>
  </si>
  <si>
    <t xml:space="preserve">Add-on: Artistic Nails</t>
  </si>
  <si>
    <t xml:space="preserve">Add-on: Rhinestones &amp; Accessories</t>
  </si>
  <si>
    <t xml:space="preserve">10-50</t>
  </si>
  <si>
    <t xml:space="preserve">Add-on: Gel Polish Removal</t>
  </si>
  <si>
    <t xml:space="preserve">Acetone/remover not in inventory list.</t>
  </si>
  <si>
    <t xml:space="preserve">Facials</t>
  </si>
  <si>
    <t xml:space="preserve">Basic Facial</t>
  </si>
  <si>
    <t xml:space="preserve">K_HYG+K_FACE_PREP+K_EXTRACT+K_SCRUB+K_HYDRA_FINISH</t>
  </si>
  <si>
    <t xml:space="preserve">Diamond Peel</t>
  </si>
  <si>
    <t xml:space="preserve">K_HYG+K_FACE_PREP+K_DIAMOND+K_HYDRA_FINISH</t>
  </si>
  <si>
    <t xml:space="preserve">3-in-1 Facial Oxy</t>
  </si>
  <si>
    <t xml:space="preserve">K_HYG+K_FACE_PREP+K_OXY+K_HYDRA_FINISH</t>
  </si>
  <si>
    <t xml:space="preserve">Public site calls this "3-in-1 Facial Drip". Naming differs from the client sheet.</t>
  </si>
  <si>
    <t xml:space="preserve">Face V-Lifting</t>
  </si>
  <si>
    <t xml:space="preserve">K_HYG+K_FACE_PREP+K_VLIFT_TOOLS+K_COLLAGEN_FINISH</t>
  </si>
  <si>
    <t xml:space="preserve">RM Signature Facial (RMSF)</t>
  </si>
  <si>
    <t xml:space="preserve">K_HYG+K_FACE_PREP+K_EXTRACT+K_SCRUB+K_RMSF_ADD</t>
  </si>
  <si>
    <t xml:space="preserve">Acne Vulgaris Facial (AVF)</t>
  </si>
  <si>
    <t xml:space="preserve">K_HYG+K_FACE_PREP+K_EXTRACT+K_ACNE</t>
  </si>
  <si>
    <t xml:space="preserve">Acne Treatment Program (ATP)</t>
  </si>
  <si>
    <t xml:space="preserve">K_HYG+K_FACE_PREP+K_EXTRACT+K_ACNE+K_ATP_ADD</t>
  </si>
  <si>
    <t xml:space="preserve">PACKAGE price. Quantities are PER SESSION. See Flags (packages).</t>
  </si>
  <si>
    <t xml:space="preserve">Microboost</t>
  </si>
  <si>
    <t xml:space="preserve">K_HYG+K_FACE_PREP+K_MICROBOOST+K_HYDRA_FINISH</t>
  </si>
  <si>
    <t xml:space="preserve">Basic Facial w/ Microboost</t>
  </si>
  <si>
    <t xml:space="preserve">K_HYG+K_FACE_PREP+K_EXTRACT+K_SCRUB+K_HYDRA_FINISH+K_MICROBOOST</t>
  </si>
  <si>
    <t xml:space="preserve">Chemical Peeling (TCA)</t>
  </si>
  <si>
    <t xml:space="preserve">Face/Tummy/Butt</t>
  </si>
  <si>
    <t xml:space="preserve">K_HYG+K_CAP+K_TCA</t>
  </si>
  <si>
    <t xml:space="preserve">TCA solution itself is not in the inventory list.</t>
  </si>
  <si>
    <t xml:space="preserve">K_HYG+K_TCA</t>
  </si>
  <si>
    <t xml:space="preserve">Elbow</t>
  </si>
  <si>
    <t xml:space="preserve">Knees</t>
  </si>
  <si>
    <t xml:space="preserve">Feet</t>
  </si>
  <si>
    <t xml:space="preserve">Back</t>
  </si>
  <si>
    <t xml:space="preserve">Lower Legs</t>
  </si>
  <si>
    <t xml:space="preserve">Whole Body</t>
  </si>
  <si>
    <t xml:space="preserve">Body Tightening / Fat Reduction</t>
  </si>
  <si>
    <t xml:space="preserve">Body Tightening Tummy</t>
  </si>
  <si>
    <t xml:space="preserve">K_HYG+K_BODY_PREP+K_BT</t>
  </si>
  <si>
    <t xml:space="preserve">Body Fat Reduction Tummy</t>
  </si>
  <si>
    <t xml:space="preserve">K_HYG+K_BODY_PREP+K_BFR</t>
  </si>
  <si>
    <t xml:space="preserve">BT w/ BFR Tummy</t>
  </si>
  <si>
    <t xml:space="preserve">K_HYG+K_BODY_PREP+K_BT_BFR</t>
  </si>
  <si>
    <t xml:space="preserve">Body Tightening Arms</t>
  </si>
  <si>
    <t xml:space="preserve">Body Fat Reduction Arms</t>
  </si>
  <si>
    <t xml:space="preserve">BT w/ BFR Arms</t>
  </si>
  <si>
    <t xml:space="preserve">Body Tightening Thigh</t>
  </si>
  <si>
    <t xml:space="preserve">Body Fat Reduction Thigh</t>
  </si>
  <si>
    <t xml:space="preserve">BT w/ BFR Thigh</t>
  </si>
  <si>
    <t xml:space="preserve">Service_Consumables: one row per (service, item). Maps to the ERD junction table</t>
  </si>
  <si>
    <t xml:space="preserve">Formulas pull item info, base qty and size multiplier. Qty rounds UP for countable items. Stock units consumed = Qty / pack size.</t>
  </si>
  <si>
    <t xml:space="preserve">Service ID</t>
  </si>
  <si>
    <t xml:space="preserve">Item category</t>
  </si>
  <si>
    <t xml:space="preserve">Scales (Y/N)</t>
  </si>
  <si>
    <t xml:space="preserve">Base qty</t>
  </si>
  <si>
    <t xml:space="preserve">Size mult</t>
  </si>
  <si>
    <t xml:space="preserve">Qty (usage units)</t>
  </si>
  <si>
    <t xml:space="preserve">Stock units consumed</t>
  </si>
  <si>
    <t xml:space="preserve">Matrix: auto-deduct quantity per service (rows) by consumable (columns), grouped by inventory category</t>
  </si>
  <si>
    <t xml:space="preserve">Values are in each item's usage unit (see Items). Blank = not used. Aftercare/retail items are excluded here (see Service_Consumables).</t>
  </si>
  <si>
    <t xml:space="preserve"># services using this item</t>
  </si>
  <si>
    <t xml:space="preserve">Gaps: typical consumables NOT in the client's 58-item list</t>
  </si>
  <si>
    <t xml:space="preserve">The mapping above only uses items that exist in inventory_products today. These are what a real provider would also stock for each family. Suggested additions are proposals, not client data.</t>
  </si>
  <si>
    <t xml:space="preserve"># services</t>
  </si>
  <si>
    <t xml:space="preserve">Covered by current list</t>
  </si>
  <si>
    <t xml:space="preserve">Typical items missing (proposed additions)</t>
  </si>
  <si>
    <t xml:space="preserve">Suggested category</t>
  </si>
  <si>
    <t xml:space="preserve">Priority</t>
  </si>
  <si>
    <t xml:space="preserve">Prep/hygiene only (cap, applicators, tape, tissue, alcohol)</t>
  </si>
  <si>
    <t xml:space="preserve">Lash extensions (trays/fans), lash adhesive, primer, debonder/remover, under-eye gel pads, lint-free wipes</t>
  </si>
  <si>
    <t xml:space="preserve">Disposables &amp; Clinic Consumables</t>
  </si>
  <si>
    <t xml:space="preserve">High</t>
  </si>
  <si>
    <t xml:space="preserve">Prep/hygiene only</t>
  </si>
  <si>
    <t xml:space="preserve">Threading spool, soothing gel/powder</t>
  </si>
  <si>
    <t xml:space="preserve">Good: gel, razor, SPF, aftercare</t>
  </si>
  <si>
    <t xml:space="preserve">Disposable eye shields/pads</t>
  </si>
  <si>
    <t xml:space="preserve">Low</t>
  </si>
  <si>
    <t xml:space="preserve">Numbing, gauze, aftercare</t>
  </si>
  <si>
    <t xml:space="preserve">Cautery tips/probes, antibiotic ointment (if different from Erythromycin)</t>
  </si>
  <si>
    <t xml:space="preserve">Medical / Injection Supplies</t>
  </si>
  <si>
    <t xml:space="preserve">Wrap film, wipes, tissue</t>
  </si>
  <si>
    <t xml:space="preserve">Paraffin wax, liners/mitts</t>
  </si>
  <si>
    <t xml:space="preserve">Facial Treatment Products (Professional Use)</t>
  </si>
  <si>
    <t xml:space="preserve">Wipes, cotton, gauze, alcohol</t>
  </si>
  <si>
    <t xml:space="preserve">Foot soak/salts, foot scrub, massage lotion, disposable basin liners, files/buffers, callus remover, polish + remover</t>
  </si>
  <si>
    <t xml:space="preserve">Administration set only (cannula, IV set, syringes, tape)</t>
  </si>
  <si>
    <t xml:space="preserve">Infusion fluid (NSS/dextrose), vitamins, glutathione, other additives. Pharmaceuticals with lot/expiry tracking</t>
  </si>
  <si>
    <t xml:space="preserve">New category: Pharmaceuticals / Injectables</t>
  </si>
  <si>
    <t xml:space="preserve">Syringes, needles, gauze, numbing</t>
  </si>
  <si>
    <t xml:space="preserve">Mesotherapy solutions/cocktails</t>
  </si>
  <si>
    <t xml:space="preserve">Prep and cleanse only</t>
  </si>
  <si>
    <t xml:space="preserve">Gel polish, base/top coat, acetone/remover, files/buffers, cuticle oil</t>
  </si>
  <si>
    <t xml:space="preserve">Soft gel/builder gel, nail tips, nail art gels, rhinestones, acetone</t>
  </si>
  <si>
    <t xml:space="preserve">Good: cleanse, masks, actives, SPF</t>
  </si>
  <si>
    <t xml:space="preserve">Moisturizer/finishing serum, diamond-peel tips (if disposable)</t>
  </si>
  <si>
    <t xml:space="preserve">Prep, cooling, SPF, aftercare</t>
  </si>
  <si>
    <t xml:space="preserve">TCA solution (by %), neutralizer/applicator brushes</t>
  </si>
  <si>
    <t xml:space="preserve">Good: RF cream, gel, RF tissue</t>
  </si>
  <si>
    <t xml:space="preserve">Body wrap sheets (if used)</t>
  </si>
  <si>
    <t xml:space="preserve">Flags: problems I found while mapping (read before you build)</t>
  </si>
  <si>
    <t xml:space="preserve">Ordered by how likely they are to bite you at the panel or in code.</t>
  </si>
  <si>
    <t xml:space="preserve">#</t>
  </si>
  <si>
    <t xml:space="preserve">Topic</t>
  </si>
  <si>
    <t xml:space="preserve">What I found</t>
  </si>
  <si>
    <t xml:space="preserve">Why it matters</t>
  </si>
  <si>
    <t xml:space="preserve">Suggested action</t>
  </si>
  <si>
    <t xml:space="preserve">Effort</t>
  </si>
  <si>
    <t xml:space="preserve">Client said auto-deduct is not necessary</t>
  </si>
  <si>
    <t xml:space="preserve">Interview 3 (May 21, 2026): client says automatic deduction per service is "not necessary" for a small, non-franchise business. But the objectives, Sprint 4, Figure 5.15 and the ERD (Services_Consumables) still promise it. Scope &amp; Limitations does not list it.</t>
  </si>
  <si>
    <t xml:space="preserve">Your own proposal contradicts itself and contradicts the client. A panelist can pick this up in one read.</t>
  </si>
  <si>
    <t xml:space="preserve">Decide now: (a) drop it and update objectives/Sprint 4/ERD, or (b) keep it as "estimated standard usage with variance adjustment" and get the client to sign off in writing. Do not silently build it.</t>
  </si>
  <si>
    <t xml:space="preserve">S</t>
  </si>
  <si>
    <t xml:space="preserve">Every deduction will currently fail</t>
  </si>
  <si>
    <t xml:space="preserve">005-seed-inventory.js seeds all 58 products with stock_quantity = 0, and inventory_products has CHECK (stock_quantity &gt;= 0). Any deduction from a zero-stock item throws.</t>
  </si>
  <si>
    <t xml:space="preserve">Marking an appointment completed would error out in a live demo.</t>
  </si>
  <si>
    <t xml:space="preserve">Deduct with GREATEST(stock - qty, 0), write the shortfall to inventory_transactions, and never block the appointment. Seed realistic opening stock for the demo.</t>
  </si>
  <si>
    <t xml:space="preserve">No trigger exists to deduct from</t>
  </si>
  <si>
    <t xml:space="preserve">routes/appointments.js has cancel, reschedule and PayMongo endpoints but nothing that sets an appointment to completed. The aesthetician page cannot mark it either.</t>
  </si>
  <si>
    <t xml:space="preserve">Figure 5.15 (admin marks completed, system deducts) has no code path yet.</t>
  </si>
  <si>
    <t xml:space="preserve">Add POST /api/appointments/:id/complete. Inside db.transaction(): update status, read the service recipe, deduct, insert inventory_transactions rows (type "Used in Service" already exists).</t>
  </si>
  <si>
    <t xml:space="preserve">M</t>
  </si>
  <si>
    <t xml:space="preserve">services_consumables table does not exist</t>
  </si>
  <si>
    <t xml:space="preserve">Migrations 001-007 create inventory_products and inventory_transactions only. The ERD junction table is not migrated, and the services table is not seeded with these 81 services (the booking page still shows placeholder services).</t>
  </si>
  <si>
    <t xml:space="preserve">The Service_Consumables sheet cannot be imported until real service_id values exist.</t>
  </si>
  <si>
    <t xml:space="preserve">Migration 008: services_consumables(service_id, product_id, qty_per_service NUMERIC(10,2), mode). Seed the 81 services first (duration_minutes and reservation_fee are NOT NULL, &gt; 0).</t>
  </si>
  <si>
    <t xml:space="preserve">Integer stock cannot hold partial usage</t>
  </si>
  <si>
    <t xml:space="preserve">stock_quantity and inventory_transactions.quantity are INTEGER. Most bulk items are used in fractions of a container (5 mL of a 500 mL bottle).</t>
  </si>
  <si>
    <t xml:space="preserve">Rounding to whole bottles per service would drain stock 100x too fast or not at all.</t>
  </si>
  <si>
    <t xml:space="preserve">Two tiers: Countable items deduct whole pieces. Bulk items accumulate a NUMERIC "partial_used" per product and decrement stock by 1 only when it crosses one container. Needs 2 new columns (pack_size, partial_used). The Items sheet already carries pack sizes.</t>
  </si>
  <si>
    <t xml:space="preserve">Optional and variable usage</t>
  </si>
  <si>
    <t xml:space="preserve">EMLA cream is used only if the client wants numbing; nail art is per nail; glove size depends on the staff member.</t>
  </si>
  <si>
    <t xml:space="preserve">Auto-deduct assumes the standard case and will drift.</t>
  </si>
  <si>
    <t xml:space="preserve">Accept drift and reconcile with the existing "Adjustment" transaction type at each physical count (they already count weekly). Say so in Limitations.</t>
  </si>
  <si>
    <t xml:space="preserve">Packages vs sessions</t>
  </si>
  <si>
    <t xml:space="preserve">Acne Treatment Program is 7,500 (a package). Consumables here are per session; the system has no sessions_included concept, and slots are booked one at a time.</t>
  </si>
  <si>
    <t xml:space="preserve">Deducting the whole package at once is wrong; one appointment per session needs a booking model.</t>
  </si>
  <si>
    <t xml:space="preserve">Either model ATP as one service per session, or add sessions_included. Decide before seeding services.</t>
  </si>
  <si>
    <t xml:space="preserve">Batch and expiry tracking</t>
  </si>
  <si>
    <t xml:space="preserve">The proposal promises batch/expiry tracking, but inventory_products holds one expiry_date per product. Deduction cannot do first-expired-first-out.</t>
  </si>
  <si>
    <t xml:space="preserve">Two deliveries with different expiries collapse into one date.</t>
  </si>
  <si>
    <t xml:space="preserve">Keep single nearest-expiry as a stated v1 limitation, or add a product_batches table (bigger change).</t>
  </si>
  <si>
    <t xml:space="preserve">L</t>
  </si>
  <si>
    <t xml:space="preserve">Retail vs consumable are mixed in one list</t>
  </si>
  <si>
    <t xml:space="preserve">13 of 58 items are retail/aftercare (soaps, serums, creams). They are sold, not consumed. Glycolic Peel Solution sits in the retail category but is used in-clinic; Sunblock Gel is both.</t>
  </si>
  <si>
    <t xml:space="preserve">Auto-deducting retail items would double-count with post-service sales (Transaction_Items in the ERD).</t>
  </si>
  <si>
    <t xml:space="preserve">Add a role column to inventory_products (consumable / retail / both). Mapping here already tags each line Auto-deduct or Aftercare.</t>
  </si>
  <si>
    <t xml:space="preserve">Large inventory gaps</t>
  </si>
  <si>
    <t xml:space="preserve">Nothing for lashes, nails, paraffin, threading, TCA solution, IV fluids/vitamins or meso solutions (see Gaps sheet).</t>
  </si>
  <si>
    <t xml:space="preserve">The most expensive, highest-margin services would show almost no tracked consumption, so the report looks wrong.</t>
  </si>
  <si>
    <t xml:space="preserve">Ask the client for their real supply list for these families before the panel. Do not invent items.</t>
  </si>
  <si>
    <t xml:space="preserve">Regulated services, no licensed staff listed</t>
  </si>
  <si>
    <t xml:space="preserve">IV drips, mesotherapy, TCA and electrocautery are typically performed or supervised by a licensed physician/nurse. The staff list shows none.</t>
  </si>
  <si>
    <t xml:space="preserve">Not a system problem, but a panelist or the client may ask who performs them and who prescribes Erythromycin/Hydrocortisone.</t>
  </si>
  <si>
    <t xml:space="preserve">Confirm with the client. Do not present medical protocols as clinic policy: these quantities are illustrative.</t>
  </si>
  <si>
    <t xml:space="preserve">Any aesthetician can be assigned any service</t>
  </si>
  <si>
    <t xml:space="preserve">availability.js and findAvailableAestheticians() pick any verified aesthetician. Client sheet has a Nail Technician and a Head Aesthetician.</t>
  </si>
  <si>
    <t xml:space="preserve">A client could be auto-assigned to a nail tech for a facial or IV drip.</t>
  </si>
  <si>
    <t xml:space="preserve">Add a service-to-staff qualification mapping (service_staff table). Out of scope for this task but same mapping effort.</t>
  </si>
  <si>
    <t xml:space="preserve">Staff sheet disagrees with your data</t>
  </si>
  <si>
    <t xml:space="preserve">Headcount says 7 but 6 people are listed. Seed migration 002 and the About page name people (e.g. Gerasel Ragudo, a finance officer, John Paul Cabrera) who are not on the new sheet, and vice versa.</t>
  </si>
  <si>
    <t xml:space="preserve">Stale seeds and public pages will contradict the client.</t>
  </si>
  <si>
    <t xml:space="preserve">Reconcile with the client, then update 002 seeds and AboutUsPage.html. Keep this file out of Git: it is marked confidential.</t>
  </si>
  <si>
    <t xml:space="preserve">Mock data still in InventoryManagement.html</t>
  </si>
  <si>
    <t xml:space="preserve">Static rows (Vitamin C Serum, TCA Peel Solution 20%) do not exist in the 58-item seed.</t>
  </si>
  <si>
    <t xml:space="preserve">Screenshots for the paper will show items that are not in the database.</t>
  </si>
  <si>
    <t xml:space="preserve">Remove the hard-coded rows and summary numbers.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</si>
</sst>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General;\-General;;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A3A1E"/>
        <bgColor rgb="FF333300"/>
      </patternFill>
    </fill>
    <fill>
      <patternFill patternType="solid">
        <fgColor rgb="FFF1E5A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3"/>
      </left>
      <right style="thin">
        <color rgb="FFD9D2C3"/>
      </right>
      <top style="thin">
        <color rgb="FFD9D2C3"/>
      </top>
      <bottom style="thin">
        <color rgb="FFD9D2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9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5A3A1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3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1E5A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A3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23.85" hidden="false" customHeight="false" outlineLevel="0" collapsed="false">
      <c r="A10" s="2" t="s">
        <v>15</v>
      </c>
      <c r="B1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5" min="3" style="0" width="11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4" t="s">
        <v>18</v>
      </c>
    </row>
    <row r="4" customFormat="false" ht="42" hidden="false" customHeight="true" outlineLevel="0" collapsed="false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</row>
    <row r="5" customFormat="false" ht="15" hidden="false" customHeight="false" outlineLevel="0" collapsed="false">
      <c r="A5" s="6" t="s">
        <v>29</v>
      </c>
      <c r="B5" s="6" t="s">
        <v>30</v>
      </c>
      <c r="C5" s="7" t="s">
        <v>31</v>
      </c>
      <c r="D5" s="7" t="s">
        <v>32</v>
      </c>
      <c r="E5" s="7" t="s">
        <v>32</v>
      </c>
      <c r="F5" s="7" t="n">
        <v>1</v>
      </c>
      <c r="G5" s="7" t="s">
        <v>33</v>
      </c>
      <c r="H5" s="8" t="n">
        <f aca="false">INDEX(Matrix!$D$4:$BI$4,MATCH($A5,Matrix!$D$5:$BI$5,0))</f>
        <v>2</v>
      </c>
      <c r="I5" s="6" t="n">
        <f aca="false">COUNTIFS(Service_Consumables!$E$5:$E$856,$A5,Service_Consumables!$H$5:$H$856,"Aftercare (sell/dispense)")</f>
        <v>0</v>
      </c>
      <c r="J5" s="3"/>
    </row>
    <row r="6" customFormat="false" ht="15" hidden="false" customHeight="false" outlineLevel="0" collapsed="false">
      <c r="A6" s="6" t="s">
        <v>34</v>
      </c>
      <c r="B6" s="6" t="s">
        <v>30</v>
      </c>
      <c r="C6" s="7" t="s">
        <v>31</v>
      </c>
      <c r="D6" s="7" t="s">
        <v>32</v>
      </c>
      <c r="E6" s="7" t="s">
        <v>32</v>
      </c>
      <c r="F6" s="7" t="n">
        <v>1</v>
      </c>
      <c r="G6" s="7" t="s">
        <v>33</v>
      </c>
      <c r="H6" s="8" t="n">
        <f aca="false">INDEX(Matrix!$D$4:$BI$4,MATCH($A6,Matrix!$D$5:$BI$5,0))</f>
        <v>7</v>
      </c>
      <c r="I6" s="6" t="n">
        <f aca="false">COUNTIFS(Service_Consumables!$E$5:$E$856,$A6,Service_Consumables!$H$5:$H$856,"Aftercare (sell/dispense)")</f>
        <v>0</v>
      </c>
      <c r="J6" s="3"/>
    </row>
    <row r="7" customFormat="false" ht="15" hidden="false" customHeight="false" outlineLevel="0" collapsed="false">
      <c r="A7" s="6" t="s">
        <v>35</v>
      </c>
      <c r="B7" s="6" t="s">
        <v>30</v>
      </c>
      <c r="C7" s="7" t="s">
        <v>31</v>
      </c>
      <c r="D7" s="7" t="s">
        <v>32</v>
      </c>
      <c r="E7" s="7" t="s">
        <v>32</v>
      </c>
      <c r="F7" s="7" t="n">
        <v>1</v>
      </c>
      <c r="G7" s="7" t="s">
        <v>33</v>
      </c>
      <c r="H7" s="8" t="n">
        <f aca="false">INDEX(Matrix!$D$4:$BI$4,MATCH($A7,Matrix!$D$5:$BI$5,0))</f>
        <v>8</v>
      </c>
      <c r="I7" s="6" t="n">
        <f aca="false">COUNTIFS(Service_Consumables!$E$5:$E$856,$A7,Service_Consumables!$H$5:$H$856,"Aftercare (sell/dispense)")</f>
        <v>0</v>
      </c>
      <c r="J7" s="3"/>
    </row>
    <row r="8" customFormat="false" ht="15" hidden="false" customHeight="false" outlineLevel="0" collapsed="false">
      <c r="A8" s="6" t="s">
        <v>36</v>
      </c>
      <c r="B8" s="6" t="s">
        <v>30</v>
      </c>
      <c r="C8" s="7" t="s">
        <v>31</v>
      </c>
      <c r="D8" s="7" t="s">
        <v>32</v>
      </c>
      <c r="E8" s="7" t="s">
        <v>32</v>
      </c>
      <c r="F8" s="7" t="n">
        <v>1</v>
      </c>
      <c r="G8" s="7" t="s">
        <v>33</v>
      </c>
      <c r="H8" s="8" t="n">
        <f aca="false">INDEX(Matrix!$D$4:$BI$4,MATCH($A8,Matrix!$D$5:$BI$5,0))</f>
        <v>2</v>
      </c>
      <c r="I8" s="6" t="n">
        <f aca="false">COUNTIFS(Service_Consumables!$E$5:$E$856,$A8,Service_Consumables!$H$5:$H$856,"Aftercare (sell/dispense)")</f>
        <v>0</v>
      </c>
      <c r="J8" s="3"/>
    </row>
    <row r="9" customFormat="false" ht="15" hidden="false" customHeight="false" outlineLevel="0" collapsed="false">
      <c r="A9" s="6" t="s">
        <v>37</v>
      </c>
      <c r="B9" s="6" t="s">
        <v>30</v>
      </c>
      <c r="C9" s="7" t="s">
        <v>31</v>
      </c>
      <c r="D9" s="7" t="s">
        <v>32</v>
      </c>
      <c r="E9" s="7" t="s">
        <v>32</v>
      </c>
      <c r="F9" s="7" t="n">
        <v>1</v>
      </c>
      <c r="G9" s="7" t="s">
        <v>33</v>
      </c>
      <c r="H9" s="8" t="n">
        <f aca="false">INDEX(Matrix!$D$4:$BI$4,MATCH($A9,Matrix!$D$5:$BI$5,0))</f>
        <v>6</v>
      </c>
      <c r="I9" s="6" t="n">
        <f aca="false">COUNTIFS(Service_Consumables!$E$5:$E$856,$A9,Service_Consumables!$H$5:$H$856,"Aftercare (sell/dispense)")</f>
        <v>0</v>
      </c>
      <c r="J9" s="3" t="s">
        <v>38</v>
      </c>
    </row>
    <row r="10" customFormat="false" ht="15" hidden="false" customHeight="false" outlineLevel="0" collapsed="false">
      <c r="A10" s="6" t="s">
        <v>39</v>
      </c>
      <c r="B10" s="6" t="s">
        <v>30</v>
      </c>
      <c r="C10" s="7" t="s">
        <v>31</v>
      </c>
      <c r="D10" s="7" t="s">
        <v>32</v>
      </c>
      <c r="E10" s="7" t="s">
        <v>32</v>
      </c>
      <c r="F10" s="7" t="n">
        <v>1</v>
      </c>
      <c r="G10" s="7" t="s">
        <v>33</v>
      </c>
      <c r="H10" s="8" t="n">
        <f aca="false">INDEX(Matrix!$D$4:$BI$4,MATCH($A10,Matrix!$D$5:$BI$5,0))</f>
        <v>6</v>
      </c>
      <c r="I10" s="6" t="n">
        <f aca="false">COUNTIFS(Service_Consumables!$E$5:$E$856,$A10,Service_Consumables!$H$5:$H$856,"Aftercare (sell/dispense)")</f>
        <v>0</v>
      </c>
      <c r="J10" s="3"/>
    </row>
    <row r="11" customFormat="false" ht="15" hidden="false" customHeight="false" outlineLevel="0" collapsed="false">
      <c r="A11" s="6" t="s">
        <v>40</v>
      </c>
      <c r="B11" s="6" t="s">
        <v>30</v>
      </c>
      <c r="C11" s="7" t="s">
        <v>31</v>
      </c>
      <c r="D11" s="7" t="s">
        <v>32</v>
      </c>
      <c r="E11" s="7" t="s">
        <v>32</v>
      </c>
      <c r="F11" s="7" t="n">
        <v>1</v>
      </c>
      <c r="G11" s="7" t="s">
        <v>33</v>
      </c>
      <c r="H11" s="8" t="n">
        <f aca="false">INDEX(Matrix!$D$4:$BI$4,MATCH($A11,Matrix!$D$5:$BI$5,0))</f>
        <v>6</v>
      </c>
      <c r="I11" s="6" t="n">
        <f aca="false">COUNTIFS(Service_Consumables!$E$5:$E$856,$A11,Service_Consumables!$H$5:$H$856,"Aftercare (sell/dispense)")</f>
        <v>0</v>
      </c>
      <c r="J11" s="3" t="s">
        <v>41</v>
      </c>
    </row>
    <row r="12" customFormat="false" ht="15" hidden="false" customHeight="false" outlineLevel="0" collapsed="false">
      <c r="A12" s="6" t="s">
        <v>42</v>
      </c>
      <c r="B12" s="6" t="s">
        <v>30</v>
      </c>
      <c r="C12" s="7" t="s">
        <v>31</v>
      </c>
      <c r="D12" s="7" t="s">
        <v>32</v>
      </c>
      <c r="E12" s="7" t="s">
        <v>32</v>
      </c>
      <c r="F12" s="7" t="n">
        <v>1</v>
      </c>
      <c r="G12" s="7" t="s">
        <v>33</v>
      </c>
      <c r="H12" s="8" t="n">
        <f aca="false">INDEX(Matrix!$D$4:$BI$4,MATCH($A12,Matrix!$D$5:$BI$5,0))</f>
        <v>2</v>
      </c>
      <c r="I12" s="6" t="n">
        <f aca="false">COUNTIFS(Service_Consumables!$E$5:$E$856,$A12,Service_Consumables!$H$5:$H$856,"Aftercare (sell/dispense)")</f>
        <v>0</v>
      </c>
      <c r="J12" s="3" t="s">
        <v>43</v>
      </c>
    </row>
    <row r="13" customFormat="false" ht="23.85" hidden="false" customHeight="false" outlineLevel="0" collapsed="false">
      <c r="A13" s="6" t="s">
        <v>44</v>
      </c>
      <c r="B13" s="6" t="s">
        <v>30</v>
      </c>
      <c r="C13" s="7" t="s">
        <v>31</v>
      </c>
      <c r="D13" s="7" t="s">
        <v>32</v>
      </c>
      <c r="E13" s="7" t="s">
        <v>32</v>
      </c>
      <c r="F13" s="7" t="n">
        <v>1</v>
      </c>
      <c r="G13" s="7" t="s">
        <v>33</v>
      </c>
      <c r="H13" s="8" t="n">
        <f aca="false">INDEX(Matrix!$D$4:$BI$4,MATCH($A13,Matrix!$D$5:$BI$5,0))</f>
        <v>6</v>
      </c>
      <c r="I13" s="6" t="n">
        <f aca="false">COUNTIFS(Service_Consumables!$E$5:$E$856,$A13,Service_Consumables!$H$5:$H$856,"Aftercare (sell/dispense)")</f>
        <v>0</v>
      </c>
      <c r="J13" s="3" t="s">
        <v>45</v>
      </c>
    </row>
    <row r="14" customFormat="false" ht="15" hidden="false" customHeight="false" outlineLevel="0" collapsed="false">
      <c r="A14" s="6" t="s">
        <v>46</v>
      </c>
      <c r="B14" s="6" t="s">
        <v>30</v>
      </c>
      <c r="C14" s="7" t="s">
        <v>31</v>
      </c>
      <c r="D14" s="7" t="s">
        <v>47</v>
      </c>
      <c r="E14" s="7" t="s">
        <v>47</v>
      </c>
      <c r="F14" s="7" t="n">
        <v>1</v>
      </c>
      <c r="G14" s="7" t="s">
        <v>33</v>
      </c>
      <c r="H14" s="8" t="n">
        <f aca="false">INDEX(Matrix!$D$4:$BI$4,MATCH($A14,Matrix!$D$5:$BI$5,0))</f>
        <v>10</v>
      </c>
      <c r="I14" s="6" t="n">
        <f aca="false">COUNTIFS(Service_Consumables!$E$5:$E$856,$A14,Service_Consumables!$H$5:$H$856,"Aftercare (sell/dispense)")</f>
        <v>0</v>
      </c>
      <c r="J14" s="3" t="s">
        <v>48</v>
      </c>
    </row>
    <row r="15" customFormat="false" ht="15" hidden="false" customHeight="false" outlineLevel="0" collapsed="false">
      <c r="A15" s="6" t="s">
        <v>49</v>
      </c>
      <c r="B15" s="6" t="s">
        <v>30</v>
      </c>
      <c r="C15" s="7" t="s">
        <v>31</v>
      </c>
      <c r="D15" s="7" t="s">
        <v>32</v>
      </c>
      <c r="E15" s="7" t="s">
        <v>32</v>
      </c>
      <c r="F15" s="7" t="n">
        <v>1</v>
      </c>
      <c r="G15" s="7" t="s">
        <v>33</v>
      </c>
      <c r="H15" s="8" t="n">
        <f aca="false">INDEX(Matrix!$D$4:$BI$4,MATCH($A15,Matrix!$D$5:$BI$5,0))</f>
        <v>6</v>
      </c>
      <c r="I15" s="6" t="n">
        <f aca="false">COUNTIFS(Service_Consumables!$E$5:$E$856,$A15,Service_Consumables!$H$5:$H$856,"Aftercare (sell/dispense)")</f>
        <v>0</v>
      </c>
      <c r="J15" s="3"/>
    </row>
    <row r="16" customFormat="false" ht="15" hidden="false" customHeight="false" outlineLevel="0" collapsed="false">
      <c r="A16" s="6" t="s">
        <v>50</v>
      </c>
      <c r="B16" s="6" t="s">
        <v>51</v>
      </c>
      <c r="C16" s="7" t="s">
        <v>31</v>
      </c>
      <c r="D16" s="7" t="s">
        <v>32</v>
      </c>
      <c r="E16" s="7" t="s">
        <v>32</v>
      </c>
      <c r="F16" s="7" t="n">
        <v>1</v>
      </c>
      <c r="G16" s="7" t="s">
        <v>33</v>
      </c>
      <c r="H16" s="8" t="n">
        <f aca="false">INDEX(Matrix!$D$4:$BI$4,MATCH($A16,Matrix!$D$5:$BI$5,0))</f>
        <v>25</v>
      </c>
      <c r="I16" s="6" t="n">
        <f aca="false">COUNTIFS(Service_Consumables!$E$5:$E$856,$A16,Service_Consumables!$H$5:$H$856,"Aftercare (sell/dispense)")</f>
        <v>0</v>
      </c>
      <c r="J16" s="3"/>
    </row>
    <row r="17" customFormat="false" ht="15" hidden="false" customHeight="false" outlineLevel="0" collapsed="false">
      <c r="A17" s="6" t="s">
        <v>52</v>
      </c>
      <c r="B17" s="6" t="s">
        <v>51</v>
      </c>
      <c r="C17" s="7" t="s">
        <v>31</v>
      </c>
      <c r="D17" s="7" t="s">
        <v>32</v>
      </c>
      <c r="E17" s="7" t="s">
        <v>32</v>
      </c>
      <c r="F17" s="7" t="n">
        <v>1</v>
      </c>
      <c r="G17" s="7" t="s">
        <v>33</v>
      </c>
      <c r="H17" s="8" t="n">
        <f aca="false">INDEX(Matrix!$D$4:$BI$4,MATCH($A17,Matrix!$D$5:$BI$5,0))</f>
        <v>77</v>
      </c>
      <c r="I17" s="6" t="n">
        <f aca="false">COUNTIFS(Service_Consumables!$E$5:$E$856,$A17,Service_Consumables!$H$5:$H$856,"Aftercare (sell/dispense)")</f>
        <v>0</v>
      </c>
      <c r="J17" s="3"/>
    </row>
    <row r="18" customFormat="false" ht="23.85" hidden="false" customHeight="false" outlineLevel="0" collapsed="false">
      <c r="A18" s="6" t="s">
        <v>53</v>
      </c>
      <c r="B18" s="6" t="s">
        <v>51</v>
      </c>
      <c r="C18" s="7" t="s">
        <v>31</v>
      </c>
      <c r="D18" s="7" t="s">
        <v>54</v>
      </c>
      <c r="E18" s="7" t="s">
        <v>54</v>
      </c>
      <c r="F18" s="7" t="n">
        <v>1</v>
      </c>
      <c r="G18" s="7" t="s">
        <v>33</v>
      </c>
      <c r="H18" s="8" t="n">
        <f aca="false">INDEX(Matrix!$D$4:$BI$4,MATCH($A18,Matrix!$D$5:$BI$5,0))</f>
        <v>77</v>
      </c>
      <c r="I18" s="6" t="n">
        <f aca="false">COUNTIFS(Service_Consumables!$E$5:$E$856,$A18,Service_Consumables!$H$5:$H$856,"Aftercare (sell/dispense)")</f>
        <v>0</v>
      </c>
      <c r="J18" s="3" t="s">
        <v>55</v>
      </c>
    </row>
    <row r="19" customFormat="false" ht="23.85" hidden="false" customHeight="false" outlineLevel="0" collapsed="false">
      <c r="A19" s="6" t="s">
        <v>56</v>
      </c>
      <c r="B19" s="6" t="s">
        <v>51</v>
      </c>
      <c r="C19" s="7" t="s">
        <v>31</v>
      </c>
      <c r="D19" s="7" t="s">
        <v>54</v>
      </c>
      <c r="E19" s="7" t="s">
        <v>54</v>
      </c>
      <c r="F19" s="7" t="n">
        <v>1</v>
      </c>
      <c r="G19" s="7" t="s">
        <v>33</v>
      </c>
      <c r="H19" s="8" t="n">
        <f aca="false">INDEX(Matrix!$D$4:$BI$4,MATCH($A19,Matrix!$D$5:$BI$5,0))</f>
        <v>0</v>
      </c>
      <c r="I19" s="6" t="n">
        <f aca="false">COUNTIFS(Service_Consumables!$E$5:$E$856,$A19,Service_Consumables!$H$5:$H$856,"Aftercare (sell/dispense)")</f>
        <v>0</v>
      </c>
      <c r="J19" s="3" t="s">
        <v>57</v>
      </c>
    </row>
    <row r="20" customFormat="false" ht="15" hidden="false" customHeight="false" outlineLevel="0" collapsed="false">
      <c r="A20" s="6" t="s">
        <v>58</v>
      </c>
      <c r="B20" s="6" t="s">
        <v>51</v>
      </c>
      <c r="C20" s="7" t="s">
        <v>59</v>
      </c>
      <c r="D20" s="7" t="s">
        <v>60</v>
      </c>
      <c r="E20" s="7" t="s">
        <v>61</v>
      </c>
      <c r="F20" s="7" t="n">
        <v>200</v>
      </c>
      <c r="G20" s="7" t="s">
        <v>33</v>
      </c>
      <c r="H20" s="8" t="n">
        <f aca="false">INDEX(Matrix!$D$4:$BI$4,MATCH($A20,Matrix!$D$5:$BI$5,0))</f>
        <v>64</v>
      </c>
      <c r="I20" s="6" t="n">
        <f aca="false">COUNTIFS(Service_Consumables!$E$5:$E$856,$A20,Service_Consumables!$H$5:$H$856,"Aftercare (sell/dispense)")</f>
        <v>0</v>
      </c>
      <c r="J20" s="3" t="s">
        <v>62</v>
      </c>
    </row>
    <row r="21" customFormat="false" ht="15" hidden="false" customHeight="false" outlineLevel="0" collapsed="false">
      <c r="A21" s="6" t="s">
        <v>63</v>
      </c>
      <c r="B21" s="6" t="s">
        <v>51</v>
      </c>
      <c r="C21" s="7" t="s">
        <v>31</v>
      </c>
      <c r="D21" s="7" t="s">
        <v>64</v>
      </c>
      <c r="E21" s="7" t="s">
        <v>64</v>
      </c>
      <c r="F21" s="7" t="n">
        <v>1</v>
      </c>
      <c r="G21" s="7" t="s">
        <v>65</v>
      </c>
      <c r="H21" s="8" t="n">
        <f aca="false">INDEX(Matrix!$D$4:$BI$4,MATCH($A21,Matrix!$D$5:$BI$5,0))</f>
        <v>0</v>
      </c>
      <c r="I21" s="6" t="n">
        <f aca="false">COUNTIFS(Service_Consumables!$E$5:$E$856,$A21,Service_Consumables!$H$5:$H$856,"Aftercare (sell/dispense)")</f>
        <v>0</v>
      </c>
      <c r="J21" s="3" t="s">
        <v>66</v>
      </c>
    </row>
    <row r="22" customFormat="false" ht="15" hidden="false" customHeight="false" outlineLevel="0" collapsed="false">
      <c r="A22" s="6" t="s">
        <v>67</v>
      </c>
      <c r="B22" s="6" t="s">
        <v>51</v>
      </c>
      <c r="C22" s="7" t="s">
        <v>59</v>
      </c>
      <c r="D22" s="7" t="s">
        <v>60</v>
      </c>
      <c r="E22" s="7" t="s">
        <v>61</v>
      </c>
      <c r="F22" s="7" t="n">
        <v>100</v>
      </c>
      <c r="G22" s="7" t="s">
        <v>33</v>
      </c>
      <c r="H22" s="8" t="n">
        <f aca="false">INDEX(Matrix!$D$4:$BI$4,MATCH($A22,Matrix!$D$5:$BI$5,0))</f>
        <v>12</v>
      </c>
      <c r="I22" s="6" t="n">
        <f aca="false">COUNTIFS(Service_Consumables!$E$5:$E$856,$A22,Service_Consumables!$H$5:$H$856,"Aftercare (sell/dispense)")</f>
        <v>0</v>
      </c>
      <c r="J22" s="3" t="s">
        <v>68</v>
      </c>
    </row>
    <row r="23" customFormat="false" ht="15" hidden="false" customHeight="false" outlineLevel="0" collapsed="false">
      <c r="A23" s="6" t="s">
        <v>69</v>
      </c>
      <c r="B23" s="6" t="s">
        <v>51</v>
      </c>
      <c r="C23" s="7" t="s">
        <v>59</v>
      </c>
      <c r="D23" s="7" t="s">
        <v>64</v>
      </c>
      <c r="E23" s="7" t="s">
        <v>70</v>
      </c>
      <c r="F23" s="7" t="n">
        <v>400</v>
      </c>
      <c r="G23" s="7" t="s">
        <v>33</v>
      </c>
      <c r="H23" s="8" t="n">
        <f aca="false">INDEX(Matrix!$D$4:$BI$4,MATCH($A23,Matrix!$D$5:$BI$5,0))</f>
        <v>44</v>
      </c>
      <c r="I23" s="6" t="n">
        <f aca="false">COUNTIFS(Service_Consumables!$E$5:$E$856,$A23,Service_Consumables!$H$5:$H$856,"Aftercare (sell/dispense)")</f>
        <v>0</v>
      </c>
      <c r="J23" s="3" t="s">
        <v>71</v>
      </c>
    </row>
    <row r="24" customFormat="false" ht="15" hidden="false" customHeight="false" outlineLevel="0" collapsed="false">
      <c r="A24" s="6" t="s">
        <v>72</v>
      </c>
      <c r="B24" s="6" t="s">
        <v>51</v>
      </c>
      <c r="C24" s="7" t="s">
        <v>59</v>
      </c>
      <c r="D24" s="7" t="s">
        <v>60</v>
      </c>
      <c r="E24" s="7" t="s">
        <v>32</v>
      </c>
      <c r="F24" s="7" t="n">
        <v>100</v>
      </c>
      <c r="G24" s="7" t="s">
        <v>33</v>
      </c>
      <c r="H24" s="8" t="n">
        <f aca="false">INDEX(Matrix!$D$4:$BI$4,MATCH($A24,Matrix!$D$5:$BI$5,0))</f>
        <v>38</v>
      </c>
      <c r="I24" s="6" t="n">
        <f aca="false">COUNTIFS(Service_Consumables!$E$5:$E$856,$A24,Service_Consumables!$H$5:$H$856,"Aftercare (sell/dispense)")</f>
        <v>0</v>
      </c>
      <c r="J24" s="3" t="s">
        <v>73</v>
      </c>
    </row>
    <row r="25" customFormat="false" ht="15" hidden="false" customHeight="false" outlineLevel="0" collapsed="false">
      <c r="A25" s="6" t="s">
        <v>74</v>
      </c>
      <c r="B25" s="6" t="s">
        <v>51</v>
      </c>
      <c r="C25" s="7" t="s">
        <v>59</v>
      </c>
      <c r="D25" s="7" t="s">
        <v>60</v>
      </c>
      <c r="E25" s="7" t="s">
        <v>32</v>
      </c>
      <c r="F25" s="7" t="n">
        <v>100</v>
      </c>
      <c r="G25" s="7" t="s">
        <v>33</v>
      </c>
      <c r="H25" s="8" t="n">
        <f aca="false">INDEX(Matrix!$D$4:$BI$4,MATCH($A25,Matrix!$D$5:$BI$5,0))</f>
        <v>9</v>
      </c>
      <c r="I25" s="6" t="n">
        <f aca="false">COUNTIFS(Service_Consumables!$E$5:$E$856,$A25,Service_Consumables!$H$5:$H$856,"Aftercare (sell/dispense)")</f>
        <v>0</v>
      </c>
      <c r="J25" s="3" t="s">
        <v>75</v>
      </c>
    </row>
    <row r="26" customFormat="false" ht="15" hidden="false" customHeight="false" outlineLevel="0" collapsed="false">
      <c r="A26" s="6" t="s">
        <v>76</v>
      </c>
      <c r="B26" s="6" t="s">
        <v>51</v>
      </c>
      <c r="C26" s="7" t="s">
        <v>59</v>
      </c>
      <c r="D26" s="7" t="s">
        <v>64</v>
      </c>
      <c r="E26" s="7" t="s">
        <v>77</v>
      </c>
      <c r="F26" s="7" t="n">
        <v>914</v>
      </c>
      <c r="G26" s="7" t="s">
        <v>33</v>
      </c>
      <c r="H26" s="8" t="n">
        <f aca="false">INDEX(Matrix!$D$4:$BI$4,MATCH($A26,Matrix!$D$5:$BI$5,0))</f>
        <v>14</v>
      </c>
      <c r="I26" s="6" t="n">
        <f aca="false">COUNTIFS(Service_Consumables!$E$5:$E$856,$A26,Service_Consumables!$H$5:$H$856,"Aftercare (sell/dispense)")</f>
        <v>0</v>
      </c>
      <c r="J26" s="3" t="s">
        <v>78</v>
      </c>
    </row>
    <row r="27" customFormat="false" ht="15" hidden="false" customHeight="false" outlineLevel="0" collapsed="false">
      <c r="A27" s="6" t="s">
        <v>79</v>
      </c>
      <c r="B27" s="6" t="s">
        <v>51</v>
      </c>
      <c r="C27" s="7" t="s">
        <v>59</v>
      </c>
      <c r="D27" s="7" t="s">
        <v>64</v>
      </c>
      <c r="E27" s="7" t="s">
        <v>77</v>
      </c>
      <c r="F27" s="7" t="n">
        <v>3000</v>
      </c>
      <c r="G27" s="7" t="s">
        <v>33</v>
      </c>
      <c r="H27" s="8" t="n">
        <f aca="false">INDEX(Matrix!$D$4:$BI$4,MATCH($A27,Matrix!$D$5:$BI$5,0))</f>
        <v>15</v>
      </c>
      <c r="I27" s="6" t="n">
        <f aca="false">COUNTIFS(Service_Consumables!$E$5:$E$856,$A27,Service_Consumables!$H$5:$H$856,"Aftercare (sell/dispense)")</f>
        <v>0</v>
      </c>
      <c r="J27" s="3" t="s">
        <v>80</v>
      </c>
    </row>
    <row r="28" customFormat="false" ht="15" hidden="false" customHeight="false" outlineLevel="0" collapsed="false">
      <c r="A28" s="6" t="s">
        <v>81</v>
      </c>
      <c r="B28" s="6" t="s">
        <v>51</v>
      </c>
      <c r="C28" s="7" t="s">
        <v>59</v>
      </c>
      <c r="D28" s="7" t="s">
        <v>82</v>
      </c>
      <c r="E28" s="7" t="s">
        <v>32</v>
      </c>
      <c r="F28" s="7" t="n">
        <v>100</v>
      </c>
      <c r="G28" s="7" t="s">
        <v>33</v>
      </c>
      <c r="H28" s="8" t="n">
        <f aca="false">INDEX(Matrix!$D$4:$BI$4,MATCH($A28,Matrix!$D$5:$BI$5,0))</f>
        <v>22</v>
      </c>
      <c r="I28" s="6" t="n">
        <f aca="false">COUNTIFS(Service_Consumables!$E$5:$E$856,$A28,Service_Consumables!$H$5:$H$856,"Aftercare (sell/dispense)")</f>
        <v>0</v>
      </c>
      <c r="J28" s="3" t="s">
        <v>83</v>
      </c>
    </row>
    <row r="29" customFormat="false" ht="15" hidden="false" customHeight="false" outlineLevel="0" collapsed="false">
      <c r="A29" s="6" t="s">
        <v>84</v>
      </c>
      <c r="B29" s="6" t="s">
        <v>51</v>
      </c>
      <c r="C29" s="7" t="s">
        <v>31</v>
      </c>
      <c r="D29" s="7" t="s">
        <v>32</v>
      </c>
      <c r="E29" s="7" t="s">
        <v>32</v>
      </c>
      <c r="F29" s="7" t="n">
        <v>1</v>
      </c>
      <c r="G29" s="7" t="s">
        <v>33</v>
      </c>
      <c r="H29" s="8" t="n">
        <f aca="false">INDEX(Matrix!$D$4:$BI$4,MATCH($A29,Matrix!$D$5:$BI$5,0))</f>
        <v>19</v>
      </c>
      <c r="I29" s="6" t="n">
        <f aca="false">COUNTIFS(Service_Consumables!$E$5:$E$856,$A29,Service_Consumables!$H$5:$H$856,"Aftercare (sell/dispense)")</f>
        <v>0</v>
      </c>
      <c r="J29" s="3" t="s">
        <v>85</v>
      </c>
    </row>
    <row r="30" customFormat="false" ht="15" hidden="false" customHeight="false" outlineLevel="0" collapsed="false">
      <c r="A30" s="6" t="s">
        <v>86</v>
      </c>
      <c r="B30" s="6" t="s">
        <v>51</v>
      </c>
      <c r="C30" s="7" t="s">
        <v>59</v>
      </c>
      <c r="D30" s="7" t="s">
        <v>82</v>
      </c>
      <c r="E30" s="7" t="s">
        <v>32</v>
      </c>
      <c r="F30" s="7" t="n">
        <v>80</v>
      </c>
      <c r="G30" s="7" t="s">
        <v>33</v>
      </c>
      <c r="H30" s="8" t="n">
        <f aca="false">INDEX(Matrix!$D$4:$BI$4,MATCH($A30,Matrix!$D$5:$BI$5,0))</f>
        <v>61</v>
      </c>
      <c r="I30" s="6" t="n">
        <f aca="false">COUNTIFS(Service_Consumables!$E$5:$E$856,$A30,Service_Consumables!$H$5:$H$856,"Aftercare (sell/dispense)")</f>
        <v>0</v>
      </c>
      <c r="J30" s="3" t="s">
        <v>87</v>
      </c>
    </row>
    <row r="31" customFormat="false" ht="15" hidden="false" customHeight="false" outlineLevel="0" collapsed="false">
      <c r="A31" s="6" t="s">
        <v>88</v>
      </c>
      <c r="B31" s="6" t="s">
        <v>51</v>
      </c>
      <c r="C31" s="7" t="s">
        <v>59</v>
      </c>
      <c r="D31" s="7" t="s">
        <v>89</v>
      </c>
      <c r="E31" s="7" t="s">
        <v>90</v>
      </c>
      <c r="F31" s="7" t="n">
        <v>500</v>
      </c>
      <c r="G31" s="7" t="s">
        <v>33</v>
      </c>
      <c r="H31" s="8" t="n">
        <f aca="false">INDEX(Matrix!$D$4:$BI$4,MATCH($A31,Matrix!$D$5:$BI$5,0))</f>
        <v>77</v>
      </c>
      <c r="I31" s="6" t="n">
        <f aca="false">COUNTIFS(Service_Consumables!$E$5:$E$856,$A31,Service_Consumables!$H$5:$H$856,"Aftercare (sell/dispense)")</f>
        <v>0</v>
      </c>
      <c r="J31" s="3" t="s">
        <v>91</v>
      </c>
    </row>
    <row r="32" customFormat="false" ht="15" hidden="false" customHeight="false" outlineLevel="0" collapsed="false">
      <c r="A32" s="6" t="s">
        <v>92</v>
      </c>
      <c r="B32" s="6" t="s">
        <v>93</v>
      </c>
      <c r="C32" s="7" t="s">
        <v>59</v>
      </c>
      <c r="D32" s="7" t="s">
        <v>89</v>
      </c>
      <c r="E32" s="7" t="s">
        <v>90</v>
      </c>
      <c r="F32" s="7" t="n">
        <v>500</v>
      </c>
      <c r="G32" s="7" t="s">
        <v>33</v>
      </c>
      <c r="H32" s="8" t="n">
        <f aca="false">INDEX(Matrix!$D$4:$BI$4,MATCH($A32,Matrix!$D$5:$BI$5,0))</f>
        <v>11</v>
      </c>
      <c r="I32" s="6" t="n">
        <f aca="false">COUNTIFS(Service_Consumables!$E$5:$E$856,$A32,Service_Consumables!$H$5:$H$856,"Aftercare (sell/dispense)")</f>
        <v>0</v>
      </c>
      <c r="J32" s="3" t="s">
        <v>94</v>
      </c>
    </row>
    <row r="33" customFormat="false" ht="15" hidden="false" customHeight="false" outlineLevel="0" collapsed="false">
      <c r="A33" s="6" t="s">
        <v>95</v>
      </c>
      <c r="B33" s="6" t="s">
        <v>93</v>
      </c>
      <c r="C33" s="7" t="s">
        <v>59</v>
      </c>
      <c r="D33" s="7" t="s">
        <v>89</v>
      </c>
      <c r="E33" s="7" t="s">
        <v>90</v>
      </c>
      <c r="F33" s="7" t="n">
        <v>500</v>
      </c>
      <c r="G33" s="7" t="s">
        <v>33</v>
      </c>
      <c r="H33" s="8" t="n">
        <f aca="false">INDEX(Matrix!$D$4:$BI$4,MATCH($A33,Matrix!$D$5:$BI$5,0))</f>
        <v>15</v>
      </c>
      <c r="I33" s="6" t="n">
        <f aca="false">COUNTIFS(Service_Consumables!$E$5:$E$856,$A33,Service_Consumables!$H$5:$H$856,"Aftercare (sell/dispense)")</f>
        <v>0</v>
      </c>
      <c r="J33" s="3"/>
    </row>
    <row r="34" customFormat="false" ht="15" hidden="false" customHeight="false" outlineLevel="0" collapsed="false">
      <c r="A34" s="6" t="s">
        <v>96</v>
      </c>
      <c r="B34" s="6" t="s">
        <v>93</v>
      </c>
      <c r="C34" s="7" t="s">
        <v>59</v>
      </c>
      <c r="D34" s="7" t="s">
        <v>89</v>
      </c>
      <c r="E34" s="7" t="s">
        <v>90</v>
      </c>
      <c r="F34" s="7" t="n">
        <v>250</v>
      </c>
      <c r="G34" s="7" t="s">
        <v>33</v>
      </c>
      <c r="H34" s="8" t="n">
        <f aca="false">INDEX(Matrix!$D$4:$BI$4,MATCH($A34,Matrix!$D$5:$BI$5,0))</f>
        <v>2</v>
      </c>
      <c r="I34" s="6" t="n">
        <f aca="false">COUNTIFS(Service_Consumables!$E$5:$E$856,$A34,Service_Consumables!$H$5:$H$856,"Aftercare (sell/dispense)")</f>
        <v>0</v>
      </c>
      <c r="J34" s="3"/>
    </row>
    <row r="35" customFormat="false" ht="15" hidden="false" customHeight="false" outlineLevel="0" collapsed="false">
      <c r="A35" s="6" t="s">
        <v>97</v>
      </c>
      <c r="B35" s="6" t="s">
        <v>93</v>
      </c>
      <c r="C35" s="7" t="s">
        <v>59</v>
      </c>
      <c r="D35" s="7" t="s">
        <v>89</v>
      </c>
      <c r="E35" s="7" t="s">
        <v>90</v>
      </c>
      <c r="F35" s="7" t="n">
        <v>250</v>
      </c>
      <c r="G35" s="7" t="s">
        <v>33</v>
      </c>
      <c r="H35" s="8" t="n">
        <f aca="false">INDEX(Matrix!$D$4:$BI$4,MATCH($A35,Matrix!$D$5:$BI$5,0))</f>
        <v>2</v>
      </c>
      <c r="I35" s="6" t="n">
        <f aca="false">COUNTIFS(Service_Consumables!$E$5:$E$856,$A35,Service_Consumables!$H$5:$H$856,"Aftercare (sell/dispense)")</f>
        <v>0</v>
      </c>
      <c r="J35" s="3"/>
    </row>
    <row r="36" customFormat="false" ht="15" hidden="false" customHeight="false" outlineLevel="0" collapsed="false">
      <c r="A36" s="6" t="s">
        <v>98</v>
      </c>
      <c r="B36" s="6" t="s">
        <v>93</v>
      </c>
      <c r="C36" s="7" t="s">
        <v>59</v>
      </c>
      <c r="D36" s="7" t="s">
        <v>89</v>
      </c>
      <c r="E36" s="7" t="s">
        <v>90</v>
      </c>
      <c r="F36" s="7" t="n">
        <v>500</v>
      </c>
      <c r="G36" s="7" t="s">
        <v>33</v>
      </c>
      <c r="H36" s="8" t="n">
        <f aca="false">INDEX(Matrix!$D$4:$BI$4,MATCH($A36,Matrix!$D$5:$BI$5,0))</f>
        <v>11</v>
      </c>
      <c r="I36" s="6" t="n">
        <f aca="false">COUNTIFS(Service_Consumables!$E$5:$E$856,$A36,Service_Consumables!$H$5:$H$856,"Aftercare (sell/dispense)")</f>
        <v>0</v>
      </c>
      <c r="J36" s="3" t="s">
        <v>99</v>
      </c>
    </row>
    <row r="37" customFormat="false" ht="15" hidden="false" customHeight="false" outlineLevel="0" collapsed="false">
      <c r="A37" s="6" t="s">
        <v>100</v>
      </c>
      <c r="B37" s="6" t="s">
        <v>93</v>
      </c>
      <c r="C37" s="7" t="s">
        <v>59</v>
      </c>
      <c r="D37" s="7" t="s">
        <v>101</v>
      </c>
      <c r="E37" s="7" t="s">
        <v>70</v>
      </c>
      <c r="F37" s="7" t="n">
        <v>250</v>
      </c>
      <c r="G37" s="7" t="s">
        <v>33</v>
      </c>
      <c r="H37" s="8" t="n">
        <f aca="false">INDEX(Matrix!$D$4:$BI$4,MATCH($A37,Matrix!$D$5:$BI$5,0))</f>
        <v>3</v>
      </c>
      <c r="I37" s="6" t="n">
        <f aca="false">COUNTIFS(Service_Consumables!$E$5:$E$856,$A37,Service_Consumables!$H$5:$H$856,"Aftercare (sell/dispense)")</f>
        <v>0</v>
      </c>
      <c r="J37" s="3"/>
    </row>
    <row r="38" customFormat="false" ht="15" hidden="false" customHeight="false" outlineLevel="0" collapsed="false">
      <c r="A38" s="6" t="s">
        <v>102</v>
      </c>
      <c r="B38" s="6" t="s">
        <v>93</v>
      </c>
      <c r="C38" s="7" t="s">
        <v>59</v>
      </c>
      <c r="D38" s="7" t="s">
        <v>89</v>
      </c>
      <c r="E38" s="7" t="s">
        <v>90</v>
      </c>
      <c r="F38" s="7" t="n">
        <v>500</v>
      </c>
      <c r="G38" s="7" t="s">
        <v>65</v>
      </c>
      <c r="H38" s="8" t="n">
        <f aca="false">INDEX(Matrix!$D$4:$BI$4,MATCH($A38,Matrix!$D$5:$BI$5,0))</f>
        <v>0</v>
      </c>
      <c r="I38" s="6" t="n">
        <f aca="false">COUNTIFS(Service_Consumables!$E$5:$E$856,$A38,Service_Consumables!$H$5:$H$856,"Aftercare (sell/dispense)")</f>
        <v>0</v>
      </c>
      <c r="J38" s="3" t="s">
        <v>103</v>
      </c>
    </row>
    <row r="39" customFormat="false" ht="15" hidden="false" customHeight="false" outlineLevel="0" collapsed="false">
      <c r="A39" s="6" t="s">
        <v>104</v>
      </c>
      <c r="B39" s="6" t="s">
        <v>105</v>
      </c>
      <c r="C39" s="7" t="s">
        <v>59</v>
      </c>
      <c r="D39" s="7" t="s">
        <v>101</v>
      </c>
      <c r="E39" s="7" t="s">
        <v>70</v>
      </c>
      <c r="F39" s="7" t="n">
        <v>500</v>
      </c>
      <c r="G39" s="7" t="s">
        <v>33</v>
      </c>
      <c r="H39" s="8" t="n">
        <f aca="false">INDEX(Matrix!$D$4:$BI$4,MATCH($A39,Matrix!$D$5:$BI$5,0))</f>
        <v>1</v>
      </c>
      <c r="I39" s="6" t="n">
        <f aca="false">COUNTIFS(Service_Consumables!$E$5:$E$856,$A39,Service_Consumables!$H$5:$H$856,"Aftercare (sell/dispense)")</f>
        <v>0</v>
      </c>
      <c r="J39" s="3" t="s">
        <v>106</v>
      </c>
    </row>
    <row r="40" customFormat="false" ht="15" hidden="false" customHeight="false" outlineLevel="0" collapsed="false">
      <c r="A40" s="6" t="s">
        <v>107</v>
      </c>
      <c r="B40" s="6" t="s">
        <v>105</v>
      </c>
      <c r="C40" s="7" t="s">
        <v>59</v>
      </c>
      <c r="D40" s="7" t="s">
        <v>101</v>
      </c>
      <c r="E40" s="7" t="s">
        <v>70</v>
      </c>
      <c r="F40" s="7" t="n">
        <v>500</v>
      </c>
      <c r="G40" s="7" t="s">
        <v>33</v>
      </c>
      <c r="H40" s="8" t="n">
        <f aca="false">INDEX(Matrix!$D$4:$BI$4,MATCH($A40,Matrix!$D$5:$BI$5,0))</f>
        <v>1</v>
      </c>
      <c r="I40" s="6" t="n">
        <f aca="false">COUNTIFS(Service_Consumables!$E$5:$E$856,$A40,Service_Consumables!$H$5:$H$856,"Aftercare (sell/dispense)")</f>
        <v>0</v>
      </c>
      <c r="J40" s="3" t="s">
        <v>108</v>
      </c>
    </row>
    <row r="41" customFormat="false" ht="15" hidden="false" customHeight="false" outlineLevel="0" collapsed="false">
      <c r="A41" s="6" t="s">
        <v>109</v>
      </c>
      <c r="B41" s="6" t="s">
        <v>105</v>
      </c>
      <c r="C41" s="7" t="s">
        <v>59</v>
      </c>
      <c r="D41" s="7" t="s">
        <v>101</v>
      </c>
      <c r="E41" s="7" t="s">
        <v>70</v>
      </c>
      <c r="F41" s="7" t="n">
        <v>500</v>
      </c>
      <c r="G41" s="7" t="s">
        <v>33</v>
      </c>
      <c r="H41" s="8" t="n">
        <f aca="false">INDEX(Matrix!$D$4:$BI$4,MATCH($A41,Matrix!$D$5:$BI$5,0))</f>
        <v>7</v>
      </c>
      <c r="I41" s="6" t="n">
        <f aca="false">COUNTIFS(Service_Consumables!$E$5:$E$856,$A41,Service_Consumables!$H$5:$H$856,"Aftercare (sell/dispense)")</f>
        <v>0</v>
      </c>
      <c r="J41" s="3" t="s">
        <v>108</v>
      </c>
    </row>
    <row r="42" customFormat="false" ht="15" hidden="false" customHeight="false" outlineLevel="0" collapsed="false">
      <c r="A42" s="6" t="s">
        <v>110</v>
      </c>
      <c r="B42" s="6" t="s">
        <v>105</v>
      </c>
      <c r="C42" s="7" t="s">
        <v>59</v>
      </c>
      <c r="D42" s="7" t="s">
        <v>101</v>
      </c>
      <c r="E42" s="7" t="s">
        <v>70</v>
      </c>
      <c r="F42" s="7" t="n">
        <v>500</v>
      </c>
      <c r="G42" s="7" t="s">
        <v>33</v>
      </c>
      <c r="H42" s="8" t="n">
        <f aca="false">INDEX(Matrix!$D$4:$BI$4,MATCH($A42,Matrix!$D$5:$BI$5,0))</f>
        <v>14</v>
      </c>
      <c r="I42" s="6" t="n">
        <f aca="false">COUNTIFS(Service_Consumables!$E$5:$E$856,$A42,Service_Consumables!$H$5:$H$856,"Aftercare (sell/dispense)")</f>
        <v>0</v>
      </c>
      <c r="J42" s="3" t="s">
        <v>111</v>
      </c>
    </row>
    <row r="43" customFormat="false" ht="15" hidden="false" customHeight="false" outlineLevel="0" collapsed="false">
      <c r="A43" s="6" t="s">
        <v>112</v>
      </c>
      <c r="B43" s="6" t="s">
        <v>105</v>
      </c>
      <c r="C43" s="7" t="s">
        <v>59</v>
      </c>
      <c r="D43" s="7" t="s">
        <v>101</v>
      </c>
      <c r="E43" s="7" t="s">
        <v>70</v>
      </c>
      <c r="F43" s="7" t="n">
        <v>500</v>
      </c>
      <c r="G43" s="7" t="s">
        <v>33</v>
      </c>
      <c r="H43" s="8" t="n">
        <f aca="false">INDEX(Matrix!$D$4:$BI$4,MATCH($A43,Matrix!$D$5:$BI$5,0))</f>
        <v>9</v>
      </c>
      <c r="I43" s="6" t="n">
        <f aca="false">COUNTIFS(Service_Consumables!$E$5:$E$856,$A43,Service_Consumables!$H$5:$H$856,"Aftercare (sell/dispense)")</f>
        <v>0</v>
      </c>
      <c r="J43" s="3" t="s">
        <v>113</v>
      </c>
    </row>
    <row r="44" customFormat="false" ht="15" hidden="false" customHeight="false" outlineLevel="0" collapsed="false">
      <c r="A44" s="6" t="s">
        <v>114</v>
      </c>
      <c r="B44" s="6" t="s">
        <v>105</v>
      </c>
      <c r="C44" s="7" t="s">
        <v>59</v>
      </c>
      <c r="D44" s="7" t="s">
        <v>89</v>
      </c>
      <c r="E44" s="7" t="s">
        <v>90</v>
      </c>
      <c r="F44" s="7" t="n">
        <v>1000</v>
      </c>
      <c r="G44" s="7" t="s">
        <v>33</v>
      </c>
      <c r="H44" s="8" t="n">
        <f aca="false">INDEX(Matrix!$D$4:$BI$4,MATCH($A44,Matrix!$D$5:$BI$5,0))</f>
        <v>19</v>
      </c>
      <c r="I44" s="6" t="n">
        <f aca="false">COUNTIFS(Service_Consumables!$E$5:$E$856,$A44,Service_Consumables!$H$5:$H$856,"Aftercare (sell/dispense)")</f>
        <v>0</v>
      </c>
      <c r="J44" s="3" t="s">
        <v>115</v>
      </c>
    </row>
    <row r="45" customFormat="false" ht="15" hidden="false" customHeight="false" outlineLevel="0" collapsed="false">
      <c r="A45" s="6" t="s">
        <v>116</v>
      </c>
      <c r="B45" s="6" t="s">
        <v>105</v>
      </c>
      <c r="C45" s="7" t="s">
        <v>31</v>
      </c>
      <c r="D45" s="7" t="s">
        <v>32</v>
      </c>
      <c r="E45" s="7" t="s">
        <v>32</v>
      </c>
      <c r="F45" s="7" t="n">
        <v>1</v>
      </c>
      <c r="G45" s="7" t="s">
        <v>33</v>
      </c>
      <c r="H45" s="8" t="n">
        <f aca="false">INDEX(Matrix!$D$4:$BI$4,MATCH($A45,Matrix!$D$5:$BI$5,0))</f>
        <v>1</v>
      </c>
      <c r="I45" s="6" t="n">
        <f aca="false">COUNTIFS(Service_Consumables!$E$5:$E$856,$A45,Service_Consumables!$H$5:$H$856,"Aftercare (sell/dispense)")</f>
        <v>0</v>
      </c>
      <c r="J45" s="3" t="s">
        <v>117</v>
      </c>
    </row>
    <row r="46" customFormat="false" ht="15" hidden="false" customHeight="false" outlineLevel="0" collapsed="false">
      <c r="A46" s="6" t="s">
        <v>118</v>
      </c>
      <c r="B46" s="6" t="s">
        <v>105</v>
      </c>
      <c r="C46" s="7" t="s">
        <v>31</v>
      </c>
      <c r="D46" s="7" t="s">
        <v>32</v>
      </c>
      <c r="E46" s="7" t="s">
        <v>32</v>
      </c>
      <c r="F46" s="7" t="n">
        <v>1</v>
      </c>
      <c r="G46" s="7" t="s">
        <v>33</v>
      </c>
      <c r="H46" s="8" t="n">
        <f aca="false">INDEX(Matrix!$D$4:$BI$4,MATCH($A46,Matrix!$D$5:$BI$5,0))</f>
        <v>1</v>
      </c>
      <c r="I46" s="6" t="n">
        <f aca="false">COUNTIFS(Service_Consumables!$E$5:$E$856,$A46,Service_Consumables!$H$5:$H$856,"Aftercare (sell/dispense)")</f>
        <v>0</v>
      </c>
      <c r="J46" s="3" t="s">
        <v>119</v>
      </c>
    </row>
    <row r="47" customFormat="false" ht="15" hidden="false" customHeight="false" outlineLevel="0" collapsed="false">
      <c r="A47" s="6" t="s">
        <v>120</v>
      </c>
      <c r="B47" s="6" t="s">
        <v>105</v>
      </c>
      <c r="C47" s="7" t="s">
        <v>31</v>
      </c>
      <c r="D47" s="7" t="s">
        <v>32</v>
      </c>
      <c r="E47" s="7" t="s">
        <v>32</v>
      </c>
      <c r="F47" s="7" t="n">
        <v>1</v>
      </c>
      <c r="G47" s="7" t="s">
        <v>33</v>
      </c>
      <c r="H47" s="8" t="n">
        <f aca="false">INDEX(Matrix!$D$4:$BI$4,MATCH($A47,Matrix!$D$5:$BI$5,0))</f>
        <v>3</v>
      </c>
      <c r="I47" s="6" t="n">
        <f aca="false">COUNTIFS(Service_Consumables!$E$5:$E$856,$A47,Service_Consumables!$H$5:$H$856,"Aftercare (sell/dispense)")</f>
        <v>0</v>
      </c>
      <c r="J47" s="3" t="s">
        <v>119</v>
      </c>
    </row>
    <row r="48" customFormat="false" ht="15" hidden="false" customHeight="false" outlineLevel="0" collapsed="false">
      <c r="A48" s="6" t="s">
        <v>121</v>
      </c>
      <c r="B48" s="6" t="s">
        <v>122</v>
      </c>
      <c r="C48" s="7" t="s">
        <v>31</v>
      </c>
      <c r="D48" s="7" t="s">
        <v>89</v>
      </c>
      <c r="E48" s="7" t="s">
        <v>89</v>
      </c>
      <c r="F48" s="7" t="n">
        <v>1</v>
      </c>
      <c r="G48" s="7" t="s">
        <v>123</v>
      </c>
      <c r="H48" s="8" t="n">
        <f aca="false">INDEX(Matrix!$D$4:$BI$4,MATCH($A48,Matrix!$D$5:$BI$5,0))</f>
        <v>0</v>
      </c>
      <c r="I48" s="6" t="n">
        <f aca="false">COUNTIFS(Service_Consumables!$E$5:$E$856,$A48,Service_Consumables!$H$5:$H$856,"Aftercare (sell/dispense)")</f>
        <v>2</v>
      </c>
      <c r="J48" s="3" t="s">
        <v>124</v>
      </c>
    </row>
    <row r="49" customFormat="false" ht="15" hidden="false" customHeight="false" outlineLevel="0" collapsed="false">
      <c r="A49" s="6" t="s">
        <v>125</v>
      </c>
      <c r="B49" s="6" t="s">
        <v>122</v>
      </c>
      <c r="C49" s="7" t="s">
        <v>31</v>
      </c>
      <c r="D49" s="7" t="s">
        <v>89</v>
      </c>
      <c r="E49" s="7" t="s">
        <v>89</v>
      </c>
      <c r="F49" s="7" t="n">
        <v>1</v>
      </c>
      <c r="G49" s="7" t="s">
        <v>123</v>
      </c>
      <c r="H49" s="8" t="n">
        <f aca="false">INDEX(Matrix!$D$4:$BI$4,MATCH($A49,Matrix!$D$5:$BI$5,0))</f>
        <v>0</v>
      </c>
      <c r="I49" s="6" t="n">
        <f aca="false">COUNTIFS(Service_Consumables!$E$5:$E$856,$A49,Service_Consumables!$H$5:$H$856,"Aftercare (sell/dispense)")</f>
        <v>2</v>
      </c>
      <c r="J49" s="3" t="s">
        <v>126</v>
      </c>
    </row>
    <row r="50" customFormat="false" ht="15" hidden="false" customHeight="false" outlineLevel="0" collapsed="false">
      <c r="A50" s="6" t="s">
        <v>127</v>
      </c>
      <c r="B50" s="6" t="s">
        <v>122</v>
      </c>
      <c r="C50" s="7" t="s">
        <v>31</v>
      </c>
      <c r="D50" s="7" t="s">
        <v>128</v>
      </c>
      <c r="E50" s="7" t="s">
        <v>128</v>
      </c>
      <c r="F50" s="7" t="n">
        <v>1</v>
      </c>
      <c r="G50" s="7" t="s">
        <v>123</v>
      </c>
      <c r="H50" s="8" t="n">
        <f aca="false">INDEX(Matrix!$D$4:$BI$4,MATCH($A50,Matrix!$D$5:$BI$5,0))</f>
        <v>0</v>
      </c>
      <c r="I50" s="6" t="n">
        <f aca="false">COUNTIFS(Service_Consumables!$E$5:$E$856,$A50,Service_Consumables!$H$5:$H$856,"Aftercare (sell/dispense)")</f>
        <v>1</v>
      </c>
      <c r="J50" s="3"/>
    </row>
    <row r="51" customFormat="false" ht="15" hidden="false" customHeight="false" outlineLevel="0" collapsed="false">
      <c r="A51" s="6" t="s">
        <v>129</v>
      </c>
      <c r="B51" s="6" t="s">
        <v>122</v>
      </c>
      <c r="C51" s="7" t="s">
        <v>31</v>
      </c>
      <c r="D51" s="7" t="s">
        <v>130</v>
      </c>
      <c r="E51" s="7" t="s">
        <v>130</v>
      </c>
      <c r="F51" s="7" t="n">
        <v>1</v>
      </c>
      <c r="G51" s="7" t="s">
        <v>123</v>
      </c>
      <c r="H51" s="8" t="n">
        <f aca="false">INDEX(Matrix!$D$4:$BI$4,MATCH($A51,Matrix!$D$5:$BI$5,0))</f>
        <v>0</v>
      </c>
      <c r="I51" s="6" t="n">
        <f aca="false">COUNTIFS(Service_Consumables!$E$5:$E$856,$A51,Service_Consumables!$H$5:$H$856,"Aftercare (sell/dispense)")</f>
        <v>15</v>
      </c>
      <c r="J51" s="3" t="s">
        <v>131</v>
      </c>
    </row>
    <row r="52" customFormat="false" ht="15" hidden="false" customHeight="false" outlineLevel="0" collapsed="false">
      <c r="A52" s="6" t="s">
        <v>132</v>
      </c>
      <c r="B52" s="6" t="s">
        <v>122</v>
      </c>
      <c r="C52" s="7" t="s">
        <v>59</v>
      </c>
      <c r="D52" s="7" t="s">
        <v>89</v>
      </c>
      <c r="E52" s="7" t="s">
        <v>90</v>
      </c>
      <c r="F52" s="7" t="n">
        <v>100</v>
      </c>
      <c r="G52" s="7" t="s">
        <v>33</v>
      </c>
      <c r="H52" s="8" t="n">
        <f aca="false">INDEX(Matrix!$D$4:$BI$4,MATCH($A52,Matrix!$D$5:$BI$5,0))</f>
        <v>1</v>
      </c>
      <c r="I52" s="6" t="n">
        <f aca="false">COUNTIFS(Service_Consumables!$E$5:$E$856,$A52,Service_Consumables!$H$5:$H$856,"Aftercare (sell/dispense)")</f>
        <v>0</v>
      </c>
      <c r="J52" s="3" t="s">
        <v>133</v>
      </c>
    </row>
    <row r="53" customFormat="false" ht="15" hidden="false" customHeight="false" outlineLevel="0" collapsed="false">
      <c r="A53" s="6" t="s">
        <v>134</v>
      </c>
      <c r="B53" s="6" t="s">
        <v>122</v>
      </c>
      <c r="C53" s="7" t="s">
        <v>31</v>
      </c>
      <c r="D53" s="7" t="s">
        <v>89</v>
      </c>
      <c r="E53" s="7" t="s">
        <v>89</v>
      </c>
      <c r="F53" s="7" t="n">
        <v>1</v>
      </c>
      <c r="G53" s="7" t="s">
        <v>123</v>
      </c>
      <c r="H53" s="8" t="n">
        <f aca="false">INDEX(Matrix!$D$4:$BI$4,MATCH($A53,Matrix!$D$5:$BI$5,0))</f>
        <v>0</v>
      </c>
      <c r="I53" s="6" t="n">
        <f aca="false">COUNTIFS(Service_Consumables!$E$5:$E$856,$A53,Service_Consumables!$H$5:$H$856,"Aftercare (sell/dispense)")</f>
        <v>1</v>
      </c>
      <c r="J53" s="3"/>
    </row>
    <row r="54" customFormat="false" ht="15" hidden="false" customHeight="false" outlineLevel="0" collapsed="false">
      <c r="A54" s="6" t="s">
        <v>135</v>
      </c>
      <c r="B54" s="6" t="s">
        <v>122</v>
      </c>
      <c r="C54" s="7" t="s">
        <v>59</v>
      </c>
      <c r="D54" s="7" t="s">
        <v>130</v>
      </c>
      <c r="E54" s="7" t="s">
        <v>70</v>
      </c>
      <c r="F54" s="7" t="n">
        <v>50</v>
      </c>
      <c r="G54" s="7" t="s">
        <v>136</v>
      </c>
      <c r="H54" s="8" t="n">
        <f aca="false">INDEX(Matrix!$D$4:$BI$4,MATCH($A54,Matrix!$D$5:$BI$5,0))</f>
        <v>31</v>
      </c>
      <c r="I54" s="6" t="n">
        <f aca="false">COUNTIFS(Service_Consumables!$E$5:$E$856,$A54,Service_Consumables!$H$5:$H$856,"Aftercare (sell/dispense)")</f>
        <v>0</v>
      </c>
      <c r="J54" s="3" t="s">
        <v>137</v>
      </c>
    </row>
    <row r="55" customFormat="false" ht="15" hidden="false" customHeight="false" outlineLevel="0" collapsed="false">
      <c r="A55" s="6" t="s">
        <v>138</v>
      </c>
      <c r="B55" s="6" t="s">
        <v>122</v>
      </c>
      <c r="C55" s="7" t="s">
        <v>31</v>
      </c>
      <c r="D55" s="7" t="s">
        <v>89</v>
      </c>
      <c r="E55" s="7" t="s">
        <v>89</v>
      </c>
      <c r="F55" s="7" t="n">
        <v>1</v>
      </c>
      <c r="G55" s="7" t="s">
        <v>123</v>
      </c>
      <c r="H55" s="8" t="n">
        <f aca="false">INDEX(Matrix!$D$4:$BI$4,MATCH($A55,Matrix!$D$5:$BI$5,0))</f>
        <v>0</v>
      </c>
      <c r="I55" s="6" t="n">
        <f aca="false">COUNTIFS(Service_Consumables!$E$5:$E$856,$A55,Service_Consumables!$H$5:$H$856,"Aftercare (sell/dispense)")</f>
        <v>1</v>
      </c>
      <c r="J55" s="3"/>
    </row>
    <row r="56" customFormat="false" ht="15" hidden="false" customHeight="false" outlineLevel="0" collapsed="false">
      <c r="A56" s="6" t="s">
        <v>139</v>
      </c>
      <c r="B56" s="6" t="s">
        <v>140</v>
      </c>
      <c r="C56" s="7" t="s">
        <v>31</v>
      </c>
      <c r="D56" s="7" t="s">
        <v>141</v>
      </c>
      <c r="E56" s="7" t="s">
        <v>141</v>
      </c>
      <c r="F56" s="7" t="n">
        <v>1</v>
      </c>
      <c r="G56" s="7" t="s">
        <v>123</v>
      </c>
      <c r="H56" s="8" t="n">
        <f aca="false">INDEX(Matrix!$D$4:$BI$4,MATCH($A56,Matrix!$D$5:$BI$5,0))</f>
        <v>0</v>
      </c>
      <c r="I56" s="6" t="n">
        <f aca="false">COUNTIFS(Service_Consumables!$E$5:$E$856,$A56,Service_Consumables!$H$5:$H$856,"Aftercare (sell/dispense)")</f>
        <v>0</v>
      </c>
      <c r="J56" s="3" t="s">
        <v>142</v>
      </c>
    </row>
    <row r="57" customFormat="false" ht="15" hidden="false" customHeight="false" outlineLevel="0" collapsed="false">
      <c r="A57" s="6" t="s">
        <v>143</v>
      </c>
      <c r="B57" s="6" t="s">
        <v>140</v>
      </c>
      <c r="C57" s="7" t="s">
        <v>31</v>
      </c>
      <c r="D57" s="7" t="s">
        <v>141</v>
      </c>
      <c r="E57" s="7" t="s">
        <v>141</v>
      </c>
      <c r="F57" s="7" t="n">
        <v>1</v>
      </c>
      <c r="G57" s="7" t="s">
        <v>123</v>
      </c>
      <c r="H57" s="8" t="n">
        <f aca="false">INDEX(Matrix!$D$4:$BI$4,MATCH($A57,Matrix!$D$5:$BI$5,0))</f>
        <v>0</v>
      </c>
      <c r="I57" s="6" t="n">
        <f aca="false">COUNTIFS(Service_Consumables!$E$5:$E$856,$A57,Service_Consumables!$H$5:$H$856,"Aftercare (sell/dispense)")</f>
        <v>2</v>
      </c>
      <c r="J57" s="3"/>
    </row>
    <row r="58" customFormat="false" ht="15" hidden="false" customHeight="false" outlineLevel="0" collapsed="false">
      <c r="A58" s="6" t="s">
        <v>144</v>
      </c>
      <c r="B58" s="6" t="s">
        <v>140</v>
      </c>
      <c r="C58" s="7" t="s">
        <v>31</v>
      </c>
      <c r="D58" s="7" t="s">
        <v>141</v>
      </c>
      <c r="E58" s="7" t="s">
        <v>141</v>
      </c>
      <c r="F58" s="7" t="n">
        <v>1</v>
      </c>
      <c r="G58" s="7" t="s">
        <v>123</v>
      </c>
      <c r="H58" s="8" t="n">
        <f aca="false">INDEX(Matrix!$D$4:$BI$4,MATCH($A58,Matrix!$D$5:$BI$5,0))</f>
        <v>0</v>
      </c>
      <c r="I58" s="6" t="n">
        <f aca="false">COUNTIFS(Service_Consumables!$E$5:$E$856,$A58,Service_Consumables!$H$5:$H$856,"Aftercare (sell/dispense)")</f>
        <v>3</v>
      </c>
      <c r="J58" s="3"/>
    </row>
    <row r="59" customFormat="false" ht="15" hidden="false" customHeight="false" outlineLevel="0" collapsed="false">
      <c r="A59" s="6" t="s">
        <v>145</v>
      </c>
      <c r="B59" s="6" t="s">
        <v>140</v>
      </c>
      <c r="C59" s="7" t="s">
        <v>31</v>
      </c>
      <c r="D59" s="7" t="s">
        <v>141</v>
      </c>
      <c r="E59" s="7" t="s">
        <v>141</v>
      </c>
      <c r="F59" s="7" t="n">
        <v>1</v>
      </c>
      <c r="G59" s="7" t="s">
        <v>123</v>
      </c>
      <c r="H59" s="8" t="n">
        <f aca="false">INDEX(Matrix!$D$4:$BI$4,MATCH($A59,Matrix!$D$5:$BI$5,0))</f>
        <v>0</v>
      </c>
      <c r="I59" s="6" t="n">
        <f aca="false">COUNTIFS(Service_Consumables!$E$5:$E$856,$A59,Service_Consumables!$H$5:$H$856,"Aftercare (sell/dispense)")</f>
        <v>0</v>
      </c>
      <c r="J59" s="3" t="s">
        <v>142</v>
      </c>
    </row>
    <row r="60" customFormat="false" ht="15" hidden="false" customHeight="false" outlineLevel="0" collapsed="false">
      <c r="A60" s="6" t="s">
        <v>146</v>
      </c>
      <c r="B60" s="6" t="s">
        <v>140</v>
      </c>
      <c r="C60" s="7" t="s">
        <v>31</v>
      </c>
      <c r="D60" s="7" t="s">
        <v>141</v>
      </c>
      <c r="E60" s="7" t="s">
        <v>141</v>
      </c>
      <c r="F60" s="7" t="n">
        <v>1</v>
      </c>
      <c r="G60" s="7" t="s">
        <v>123</v>
      </c>
      <c r="H60" s="8" t="n">
        <f aca="false">INDEX(Matrix!$D$4:$BI$4,MATCH($A60,Matrix!$D$5:$BI$5,0))</f>
        <v>0</v>
      </c>
      <c r="I60" s="6" t="n">
        <f aca="false">COUNTIFS(Service_Consumables!$E$5:$E$856,$A60,Service_Consumables!$H$5:$H$856,"Aftercare (sell/dispense)")</f>
        <v>0</v>
      </c>
      <c r="J60" s="3" t="s">
        <v>142</v>
      </c>
    </row>
    <row r="61" customFormat="false" ht="15" hidden="false" customHeight="false" outlineLevel="0" collapsed="false">
      <c r="A61" s="6" t="s">
        <v>147</v>
      </c>
      <c r="B61" s="6" t="s">
        <v>148</v>
      </c>
      <c r="C61" s="7" t="s">
        <v>31</v>
      </c>
      <c r="D61" s="7" t="s">
        <v>32</v>
      </c>
      <c r="E61" s="7" t="s">
        <v>32</v>
      </c>
      <c r="F61" s="7" t="n">
        <v>1</v>
      </c>
      <c r="G61" s="7" t="s">
        <v>33</v>
      </c>
      <c r="H61" s="8" t="n">
        <f aca="false">INDEX(Matrix!$D$4:$BI$4,MATCH($A61,Matrix!$D$5:$BI$5,0))</f>
        <v>9</v>
      </c>
      <c r="I61" s="6" t="n">
        <f aca="false">COUNTIFS(Service_Consumables!$E$5:$E$856,$A61,Service_Consumables!$H$5:$H$856,"Aftercare (sell/dispense)")</f>
        <v>0</v>
      </c>
      <c r="J61" s="3" t="s">
        <v>149</v>
      </c>
    </row>
    <row r="62" customFormat="false" ht="15" hidden="false" customHeight="false" outlineLevel="0" collapsed="false">
      <c r="A62" s="6" t="s">
        <v>150</v>
      </c>
      <c r="B62" s="6" t="s">
        <v>148</v>
      </c>
      <c r="C62" s="7" t="s">
        <v>59</v>
      </c>
      <c r="D62" s="7" t="s">
        <v>130</v>
      </c>
      <c r="E62" s="7" t="s">
        <v>70</v>
      </c>
      <c r="F62" s="7" t="n">
        <v>30</v>
      </c>
      <c r="G62" s="7" t="s">
        <v>33</v>
      </c>
      <c r="H62" s="8" t="n">
        <f aca="false">INDEX(Matrix!$D$4:$BI$4,MATCH($A62,Matrix!$D$5:$BI$5,0))</f>
        <v>11</v>
      </c>
      <c r="I62" s="6" t="n">
        <f aca="false">COUNTIFS(Service_Consumables!$E$5:$E$856,$A62,Service_Consumables!$H$5:$H$856,"Aftercare (sell/dispense)")</f>
        <v>0</v>
      </c>
      <c r="J62" s="3" t="s">
        <v>151</v>
      </c>
    </row>
  </sheetData>
  <autoFilter ref="A4:J62"/>
  <conditionalFormatting sqref="H5:H62">
    <cfRule type="cellIs" priority="2" operator="equal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152</v>
      </c>
    </row>
    <row r="2" customFormat="false" ht="15" hidden="false" customHeight="false" outlineLevel="0" collapsed="false">
      <c r="A2" s="4" t="s">
        <v>153</v>
      </c>
    </row>
    <row r="4" customFormat="false" ht="42" hidden="false" customHeight="true" outlineLevel="0" collapsed="false">
      <c r="A4" s="5" t="s">
        <v>154</v>
      </c>
      <c r="B4" s="5" t="s">
        <v>19</v>
      </c>
      <c r="C4" s="5" t="s">
        <v>155</v>
      </c>
      <c r="D4" s="5" t="s">
        <v>156</v>
      </c>
      <c r="E4" s="5" t="s">
        <v>157</v>
      </c>
      <c r="F4" s="5" t="s">
        <v>158</v>
      </c>
    </row>
    <row r="5" customFormat="false" ht="15" hidden="false" customHeight="false" outlineLevel="0" collapsed="false">
      <c r="A5" s="6" t="s">
        <v>159</v>
      </c>
      <c r="B5" s="6" t="s">
        <v>52</v>
      </c>
      <c r="C5" s="7" t="n">
        <v>1</v>
      </c>
      <c r="D5" s="7" t="s">
        <v>160</v>
      </c>
      <c r="E5" s="7" t="s">
        <v>161</v>
      </c>
      <c r="F5" s="6" t="s">
        <v>162</v>
      </c>
    </row>
    <row r="6" customFormat="false" ht="15" hidden="false" customHeight="false" outlineLevel="0" collapsed="false">
      <c r="A6" s="6" t="s">
        <v>159</v>
      </c>
      <c r="B6" s="6" t="s">
        <v>53</v>
      </c>
      <c r="C6" s="7" t="n">
        <v>1</v>
      </c>
      <c r="D6" s="7" t="s">
        <v>160</v>
      </c>
      <c r="E6" s="7" t="s">
        <v>161</v>
      </c>
      <c r="F6" s="6" t="s">
        <v>162</v>
      </c>
    </row>
    <row r="7" customFormat="false" ht="15" hidden="false" customHeight="false" outlineLevel="0" collapsed="false">
      <c r="A7" s="6" t="s">
        <v>159</v>
      </c>
      <c r="B7" s="6" t="s">
        <v>88</v>
      </c>
      <c r="C7" s="7" t="n">
        <v>5</v>
      </c>
      <c r="D7" s="7" t="s">
        <v>160</v>
      </c>
      <c r="E7" s="7" t="s">
        <v>161</v>
      </c>
      <c r="F7" s="6" t="s">
        <v>162</v>
      </c>
    </row>
    <row r="8" customFormat="false" ht="15" hidden="false" customHeight="false" outlineLevel="0" collapsed="false">
      <c r="A8" s="6" t="s">
        <v>163</v>
      </c>
      <c r="B8" s="6" t="s">
        <v>50</v>
      </c>
      <c r="C8" s="7" t="n">
        <v>1</v>
      </c>
      <c r="D8" s="7" t="s">
        <v>160</v>
      </c>
      <c r="E8" s="7" t="s">
        <v>161</v>
      </c>
      <c r="F8" s="6" t="s">
        <v>164</v>
      </c>
    </row>
    <row r="9" customFormat="false" ht="15" hidden="false" customHeight="false" outlineLevel="0" collapsed="false">
      <c r="A9" s="6" t="s">
        <v>165</v>
      </c>
      <c r="B9" s="6" t="s">
        <v>50</v>
      </c>
      <c r="C9" s="7" t="n">
        <v>1</v>
      </c>
      <c r="D9" s="7" t="s">
        <v>160</v>
      </c>
      <c r="E9" s="7" t="s">
        <v>161</v>
      </c>
      <c r="F9" s="6" t="s">
        <v>166</v>
      </c>
    </row>
    <row r="10" customFormat="false" ht="15" hidden="false" customHeight="false" outlineLevel="0" collapsed="false">
      <c r="A10" s="6" t="s">
        <v>165</v>
      </c>
      <c r="B10" s="6" t="s">
        <v>98</v>
      </c>
      <c r="C10" s="7" t="n">
        <v>5</v>
      </c>
      <c r="D10" s="7" t="s">
        <v>160</v>
      </c>
      <c r="E10" s="7" t="s">
        <v>161</v>
      </c>
      <c r="F10" s="6" t="s">
        <v>166</v>
      </c>
    </row>
    <row r="11" customFormat="false" ht="15" hidden="false" customHeight="false" outlineLevel="0" collapsed="false">
      <c r="A11" s="6" t="s">
        <v>165</v>
      </c>
      <c r="B11" s="6" t="s">
        <v>92</v>
      </c>
      <c r="C11" s="7" t="n">
        <v>10</v>
      </c>
      <c r="D11" s="7" t="s">
        <v>160</v>
      </c>
      <c r="E11" s="7" t="s">
        <v>161</v>
      </c>
      <c r="F11" s="6" t="s">
        <v>166</v>
      </c>
    </row>
    <row r="12" customFormat="false" ht="15" hidden="false" customHeight="false" outlineLevel="0" collapsed="false">
      <c r="A12" s="6" t="s">
        <v>165</v>
      </c>
      <c r="B12" s="6" t="s">
        <v>69</v>
      </c>
      <c r="C12" s="7" t="n">
        <v>5</v>
      </c>
      <c r="D12" s="7" t="s">
        <v>160</v>
      </c>
      <c r="E12" s="7" t="s">
        <v>161</v>
      </c>
      <c r="F12" s="6" t="s">
        <v>166</v>
      </c>
    </row>
    <row r="13" customFormat="false" ht="15" hidden="false" customHeight="false" outlineLevel="0" collapsed="false">
      <c r="A13" s="6" t="s">
        <v>165</v>
      </c>
      <c r="B13" s="6" t="s">
        <v>58</v>
      </c>
      <c r="C13" s="7" t="n">
        <v>6</v>
      </c>
      <c r="D13" s="7" t="s">
        <v>160</v>
      </c>
      <c r="E13" s="7" t="s">
        <v>161</v>
      </c>
      <c r="F13" s="6" t="s">
        <v>166</v>
      </c>
    </row>
    <row r="14" customFormat="false" ht="15" hidden="false" customHeight="false" outlineLevel="0" collapsed="false">
      <c r="A14" s="6" t="s">
        <v>167</v>
      </c>
      <c r="B14" s="6" t="s">
        <v>72</v>
      </c>
      <c r="C14" s="7" t="n">
        <v>4</v>
      </c>
      <c r="D14" s="7" t="s">
        <v>160</v>
      </c>
      <c r="E14" s="7" t="s">
        <v>161</v>
      </c>
      <c r="F14" s="6" t="s">
        <v>168</v>
      </c>
    </row>
    <row r="15" customFormat="false" ht="15" hidden="false" customHeight="false" outlineLevel="0" collapsed="false">
      <c r="A15" s="6" t="s">
        <v>167</v>
      </c>
      <c r="B15" s="6" t="s">
        <v>81</v>
      </c>
      <c r="C15" s="7" t="n">
        <v>2</v>
      </c>
      <c r="D15" s="7" t="s">
        <v>160</v>
      </c>
      <c r="E15" s="7" t="s">
        <v>161</v>
      </c>
      <c r="F15" s="6" t="s">
        <v>168</v>
      </c>
    </row>
    <row r="16" customFormat="false" ht="15" hidden="false" customHeight="false" outlineLevel="0" collapsed="false">
      <c r="A16" s="6" t="s">
        <v>167</v>
      </c>
      <c r="B16" s="6" t="s">
        <v>88</v>
      </c>
      <c r="C16" s="7" t="n">
        <v>5</v>
      </c>
      <c r="D16" s="7" t="s">
        <v>160</v>
      </c>
      <c r="E16" s="7" t="s">
        <v>161</v>
      </c>
      <c r="F16" s="6" t="s">
        <v>168</v>
      </c>
    </row>
    <row r="17" customFormat="false" ht="15" hidden="false" customHeight="false" outlineLevel="0" collapsed="false">
      <c r="A17" s="6" t="s">
        <v>169</v>
      </c>
      <c r="B17" s="6" t="s">
        <v>100</v>
      </c>
      <c r="C17" s="7" t="n">
        <v>5</v>
      </c>
      <c r="D17" s="7" t="s">
        <v>160</v>
      </c>
      <c r="E17" s="7" t="s">
        <v>161</v>
      </c>
      <c r="F17" s="6" t="s">
        <v>170</v>
      </c>
    </row>
    <row r="18" customFormat="false" ht="15" hidden="false" customHeight="false" outlineLevel="0" collapsed="false">
      <c r="A18" s="6" t="s">
        <v>171</v>
      </c>
      <c r="B18" s="6" t="s">
        <v>109</v>
      </c>
      <c r="C18" s="7" t="n">
        <v>30</v>
      </c>
      <c r="D18" s="7" t="s">
        <v>160</v>
      </c>
      <c r="E18" s="7" t="s">
        <v>161</v>
      </c>
      <c r="F18" s="6" t="s">
        <v>172</v>
      </c>
    </row>
    <row r="19" customFormat="false" ht="15" hidden="false" customHeight="false" outlineLevel="0" collapsed="false">
      <c r="A19" s="6" t="s">
        <v>171</v>
      </c>
      <c r="B19" s="6" t="s">
        <v>74</v>
      </c>
      <c r="C19" s="7" t="n">
        <v>1</v>
      </c>
      <c r="D19" s="7" t="s">
        <v>160</v>
      </c>
      <c r="E19" s="7" t="s">
        <v>161</v>
      </c>
      <c r="F19" s="6" t="s">
        <v>172</v>
      </c>
    </row>
    <row r="20" customFormat="false" ht="15" hidden="false" customHeight="false" outlineLevel="0" collapsed="false">
      <c r="A20" s="6" t="s">
        <v>171</v>
      </c>
      <c r="B20" s="6" t="s">
        <v>135</v>
      </c>
      <c r="C20" s="7" t="n">
        <v>3</v>
      </c>
      <c r="D20" s="7" t="s">
        <v>160</v>
      </c>
      <c r="E20" s="7" t="s">
        <v>161</v>
      </c>
      <c r="F20" s="6" t="s">
        <v>172</v>
      </c>
    </row>
    <row r="21" customFormat="false" ht="15" hidden="false" customHeight="false" outlineLevel="0" collapsed="false">
      <c r="A21" s="6" t="s">
        <v>173</v>
      </c>
      <c r="B21" s="6" t="s">
        <v>107</v>
      </c>
      <c r="C21" s="7" t="n">
        <v>30</v>
      </c>
      <c r="D21" s="7" t="s">
        <v>160</v>
      </c>
      <c r="E21" s="7" t="s">
        <v>161</v>
      </c>
      <c r="F21" s="6" t="s">
        <v>174</v>
      </c>
    </row>
    <row r="22" customFormat="false" ht="15" hidden="false" customHeight="false" outlineLevel="0" collapsed="false">
      <c r="A22" s="6" t="s">
        <v>173</v>
      </c>
      <c r="B22" s="6" t="s">
        <v>74</v>
      </c>
      <c r="C22" s="7" t="n">
        <v>1</v>
      </c>
      <c r="D22" s="7" t="s">
        <v>160</v>
      </c>
      <c r="E22" s="7" t="s">
        <v>161</v>
      </c>
      <c r="F22" s="6" t="s">
        <v>174</v>
      </c>
    </row>
    <row r="23" customFormat="false" ht="15" hidden="false" customHeight="false" outlineLevel="0" collapsed="false">
      <c r="A23" s="6" t="s">
        <v>173</v>
      </c>
      <c r="B23" s="6" t="s">
        <v>135</v>
      </c>
      <c r="C23" s="7" t="n">
        <v>3</v>
      </c>
      <c r="D23" s="7" t="s">
        <v>160</v>
      </c>
      <c r="E23" s="7" t="s">
        <v>161</v>
      </c>
      <c r="F23" s="6" t="s">
        <v>174</v>
      </c>
    </row>
    <row r="24" customFormat="false" ht="15" hidden="false" customHeight="false" outlineLevel="0" collapsed="false">
      <c r="A24" s="6" t="s">
        <v>175</v>
      </c>
      <c r="B24" s="6" t="s">
        <v>86</v>
      </c>
      <c r="C24" s="7" t="n">
        <v>3</v>
      </c>
      <c r="D24" s="7" t="s">
        <v>160</v>
      </c>
      <c r="E24" s="7" t="s">
        <v>161</v>
      </c>
      <c r="F24" s="6" t="s">
        <v>176</v>
      </c>
    </row>
    <row r="25" customFormat="false" ht="15" hidden="false" customHeight="false" outlineLevel="0" collapsed="false">
      <c r="A25" s="6" t="s">
        <v>177</v>
      </c>
      <c r="B25" s="6" t="s">
        <v>116</v>
      </c>
      <c r="C25" s="7" t="n">
        <v>1</v>
      </c>
      <c r="D25" s="7" t="s">
        <v>160</v>
      </c>
      <c r="E25" s="7" t="s">
        <v>161</v>
      </c>
      <c r="F25" s="6" t="s">
        <v>178</v>
      </c>
    </row>
    <row r="26" customFormat="false" ht="15" hidden="false" customHeight="false" outlineLevel="0" collapsed="false">
      <c r="A26" s="6" t="s">
        <v>177</v>
      </c>
      <c r="B26" s="6" t="s">
        <v>120</v>
      </c>
      <c r="C26" s="7" t="n">
        <v>1</v>
      </c>
      <c r="D26" s="7" t="s">
        <v>160</v>
      </c>
      <c r="E26" s="7" t="s">
        <v>161</v>
      </c>
      <c r="F26" s="6" t="s">
        <v>178</v>
      </c>
    </row>
    <row r="27" customFormat="false" ht="15" hidden="false" customHeight="false" outlineLevel="0" collapsed="false">
      <c r="A27" s="6" t="s">
        <v>177</v>
      </c>
      <c r="B27" s="6" t="s">
        <v>114</v>
      </c>
      <c r="C27" s="7" t="n">
        <v>10</v>
      </c>
      <c r="D27" s="7" t="s">
        <v>160</v>
      </c>
      <c r="E27" s="7" t="s">
        <v>161</v>
      </c>
      <c r="F27" s="6" t="s">
        <v>178</v>
      </c>
    </row>
    <row r="28" customFormat="false" ht="15" hidden="false" customHeight="false" outlineLevel="0" collapsed="false">
      <c r="A28" s="6" t="s">
        <v>177</v>
      </c>
      <c r="B28" s="6" t="s">
        <v>72</v>
      </c>
      <c r="C28" s="7" t="n">
        <v>4</v>
      </c>
      <c r="D28" s="7" t="s">
        <v>160</v>
      </c>
      <c r="E28" s="7" t="s">
        <v>161</v>
      </c>
      <c r="F28" s="6" t="s">
        <v>178</v>
      </c>
    </row>
    <row r="29" customFormat="false" ht="15" hidden="false" customHeight="false" outlineLevel="0" collapsed="false">
      <c r="A29" s="6" t="s">
        <v>179</v>
      </c>
      <c r="B29" s="6" t="s">
        <v>112</v>
      </c>
      <c r="C29" s="7" t="n">
        <v>8</v>
      </c>
      <c r="D29" s="7" t="s">
        <v>160</v>
      </c>
      <c r="E29" s="7" t="s">
        <v>161</v>
      </c>
      <c r="F29" s="6" t="s">
        <v>180</v>
      </c>
    </row>
    <row r="30" customFormat="false" ht="15" hidden="false" customHeight="false" outlineLevel="0" collapsed="false">
      <c r="A30" s="6" t="s">
        <v>179</v>
      </c>
      <c r="B30" s="6" t="s">
        <v>114</v>
      </c>
      <c r="C30" s="7" t="n">
        <v>10</v>
      </c>
      <c r="D30" s="7" t="s">
        <v>160</v>
      </c>
      <c r="E30" s="7" t="s">
        <v>161</v>
      </c>
      <c r="F30" s="6" t="s">
        <v>180</v>
      </c>
    </row>
    <row r="31" customFormat="false" ht="15" hidden="false" customHeight="false" outlineLevel="0" collapsed="false">
      <c r="A31" s="6" t="s">
        <v>179</v>
      </c>
      <c r="B31" s="6" t="s">
        <v>67</v>
      </c>
      <c r="C31" s="7" t="n">
        <v>6</v>
      </c>
      <c r="D31" s="7" t="s">
        <v>160</v>
      </c>
      <c r="E31" s="7" t="s">
        <v>161</v>
      </c>
      <c r="F31" s="6" t="s">
        <v>180</v>
      </c>
    </row>
    <row r="32" customFormat="false" ht="15" hidden="false" customHeight="false" outlineLevel="0" collapsed="false">
      <c r="A32" s="6" t="s">
        <v>181</v>
      </c>
      <c r="B32" s="6" t="s">
        <v>104</v>
      </c>
      <c r="C32" s="7" t="n">
        <v>30</v>
      </c>
      <c r="D32" s="7" t="s">
        <v>160</v>
      </c>
      <c r="E32" s="7" t="s">
        <v>161</v>
      </c>
      <c r="F32" s="6" t="s">
        <v>182</v>
      </c>
    </row>
    <row r="33" customFormat="false" ht="15" hidden="false" customHeight="false" outlineLevel="0" collapsed="false">
      <c r="A33" s="6" t="s">
        <v>181</v>
      </c>
      <c r="B33" s="6" t="s">
        <v>118</v>
      </c>
      <c r="C33" s="7" t="n">
        <v>1</v>
      </c>
      <c r="D33" s="7" t="s">
        <v>160</v>
      </c>
      <c r="E33" s="7" t="s">
        <v>161</v>
      </c>
      <c r="F33" s="6" t="s">
        <v>182</v>
      </c>
    </row>
    <row r="34" customFormat="false" ht="15" hidden="false" customHeight="false" outlineLevel="0" collapsed="false">
      <c r="A34" s="6" t="s">
        <v>181</v>
      </c>
      <c r="B34" s="6" t="s">
        <v>74</v>
      </c>
      <c r="C34" s="7" t="n">
        <v>1</v>
      </c>
      <c r="D34" s="7" t="s">
        <v>160</v>
      </c>
      <c r="E34" s="7" t="s">
        <v>161</v>
      </c>
      <c r="F34" s="6" t="s">
        <v>182</v>
      </c>
    </row>
    <row r="35" customFormat="false" ht="15" hidden="false" customHeight="false" outlineLevel="0" collapsed="false">
      <c r="A35" s="6" t="s">
        <v>181</v>
      </c>
      <c r="B35" s="6" t="s">
        <v>135</v>
      </c>
      <c r="C35" s="7" t="n">
        <v>3</v>
      </c>
      <c r="D35" s="7" t="s">
        <v>160</v>
      </c>
      <c r="E35" s="7" t="s">
        <v>161</v>
      </c>
      <c r="F35" s="6" t="s">
        <v>182</v>
      </c>
    </row>
    <row r="36" customFormat="false" ht="15" hidden="false" customHeight="false" outlineLevel="0" collapsed="false">
      <c r="A36" s="6" t="s">
        <v>183</v>
      </c>
      <c r="B36" s="6" t="s">
        <v>96</v>
      </c>
      <c r="C36" s="7" t="n">
        <v>10</v>
      </c>
      <c r="D36" s="7" t="s">
        <v>160</v>
      </c>
      <c r="E36" s="7" t="s">
        <v>161</v>
      </c>
      <c r="F36" s="6" t="s">
        <v>184</v>
      </c>
    </row>
    <row r="37" customFormat="false" ht="15" hidden="false" customHeight="false" outlineLevel="0" collapsed="false">
      <c r="A37" s="6" t="s">
        <v>183</v>
      </c>
      <c r="B37" s="6" t="s">
        <v>95</v>
      </c>
      <c r="C37" s="7" t="n">
        <v>5</v>
      </c>
      <c r="D37" s="7" t="s">
        <v>160</v>
      </c>
      <c r="E37" s="7" t="s">
        <v>161</v>
      </c>
      <c r="F37" s="6" t="s">
        <v>184</v>
      </c>
    </row>
    <row r="38" customFormat="false" ht="15" hidden="false" customHeight="false" outlineLevel="0" collapsed="false">
      <c r="A38" s="6" t="s">
        <v>183</v>
      </c>
      <c r="B38" s="6" t="s">
        <v>97</v>
      </c>
      <c r="C38" s="7" t="n">
        <v>5</v>
      </c>
      <c r="D38" s="7" t="s">
        <v>160</v>
      </c>
      <c r="E38" s="7" t="s">
        <v>161</v>
      </c>
      <c r="F38" s="6" t="s">
        <v>184</v>
      </c>
    </row>
    <row r="39" customFormat="false" ht="15" hidden="false" customHeight="false" outlineLevel="0" collapsed="false">
      <c r="A39" s="6" t="s">
        <v>183</v>
      </c>
      <c r="B39" s="6" t="s">
        <v>84</v>
      </c>
      <c r="C39" s="7" t="n">
        <v>2</v>
      </c>
      <c r="D39" s="7" t="s">
        <v>160</v>
      </c>
      <c r="E39" s="7" t="s">
        <v>161</v>
      </c>
      <c r="F39" s="6" t="s">
        <v>184</v>
      </c>
    </row>
    <row r="40" customFormat="false" ht="15" hidden="false" customHeight="false" outlineLevel="0" collapsed="false">
      <c r="A40" s="6" t="s">
        <v>183</v>
      </c>
      <c r="B40" s="6" t="s">
        <v>74</v>
      </c>
      <c r="C40" s="7" t="n">
        <v>2</v>
      </c>
      <c r="D40" s="7" t="s">
        <v>160</v>
      </c>
      <c r="E40" s="7" t="s">
        <v>161</v>
      </c>
      <c r="F40" s="6" t="s">
        <v>184</v>
      </c>
    </row>
    <row r="41" customFormat="false" ht="15" hidden="false" customHeight="false" outlineLevel="0" collapsed="false">
      <c r="A41" s="6" t="s">
        <v>183</v>
      </c>
      <c r="B41" s="6" t="s">
        <v>109</v>
      </c>
      <c r="C41" s="7" t="n">
        <v>30</v>
      </c>
      <c r="D41" s="7" t="s">
        <v>160</v>
      </c>
      <c r="E41" s="7" t="s">
        <v>161</v>
      </c>
      <c r="F41" s="6" t="s">
        <v>184</v>
      </c>
    </row>
    <row r="42" customFormat="false" ht="15" hidden="false" customHeight="false" outlineLevel="0" collapsed="false">
      <c r="A42" s="6" t="s">
        <v>183</v>
      </c>
      <c r="B42" s="6" t="s">
        <v>135</v>
      </c>
      <c r="C42" s="7" t="n">
        <v>3</v>
      </c>
      <c r="D42" s="7" t="s">
        <v>160</v>
      </c>
      <c r="E42" s="7" t="s">
        <v>161</v>
      </c>
      <c r="F42" s="6" t="s">
        <v>184</v>
      </c>
    </row>
    <row r="43" customFormat="false" ht="15" hidden="false" customHeight="false" outlineLevel="0" collapsed="false">
      <c r="A43" s="6" t="s">
        <v>183</v>
      </c>
      <c r="B43" s="6" t="s">
        <v>121</v>
      </c>
      <c r="C43" s="7" t="n">
        <v>1</v>
      </c>
      <c r="D43" s="7" t="s">
        <v>160</v>
      </c>
      <c r="E43" s="7" t="s">
        <v>185</v>
      </c>
      <c r="F43" s="6" t="s">
        <v>184</v>
      </c>
    </row>
    <row r="44" customFormat="false" ht="15" hidden="false" customHeight="false" outlineLevel="0" collapsed="false">
      <c r="A44" s="6" t="s">
        <v>183</v>
      </c>
      <c r="B44" s="6" t="s">
        <v>143</v>
      </c>
      <c r="C44" s="7" t="n">
        <v>1</v>
      </c>
      <c r="D44" s="7" t="s">
        <v>160</v>
      </c>
      <c r="E44" s="7" t="s">
        <v>185</v>
      </c>
      <c r="F44" s="6" t="s">
        <v>184</v>
      </c>
    </row>
    <row r="45" customFormat="false" ht="15" hidden="false" customHeight="false" outlineLevel="0" collapsed="false">
      <c r="A45" s="6" t="s">
        <v>186</v>
      </c>
      <c r="B45" s="6" t="s">
        <v>132</v>
      </c>
      <c r="C45" s="7" t="n">
        <v>3</v>
      </c>
      <c r="D45" s="7" t="s">
        <v>160</v>
      </c>
      <c r="E45" s="7" t="s">
        <v>161</v>
      </c>
      <c r="F45" s="6" t="s">
        <v>187</v>
      </c>
    </row>
    <row r="46" customFormat="false" ht="15" hidden="false" customHeight="false" outlineLevel="0" collapsed="false">
      <c r="A46" s="6" t="s">
        <v>186</v>
      </c>
      <c r="B46" s="6" t="s">
        <v>125</v>
      </c>
      <c r="C46" s="7" t="n">
        <v>1</v>
      </c>
      <c r="D46" s="7" t="s">
        <v>160</v>
      </c>
      <c r="E46" s="7" t="s">
        <v>185</v>
      </c>
      <c r="F46" s="6" t="s">
        <v>187</v>
      </c>
    </row>
    <row r="47" customFormat="false" ht="15" hidden="false" customHeight="false" outlineLevel="0" collapsed="false">
      <c r="A47" s="6" t="s">
        <v>188</v>
      </c>
      <c r="B47" s="6" t="s">
        <v>150</v>
      </c>
      <c r="C47" s="7" t="n">
        <v>3</v>
      </c>
      <c r="D47" s="7" t="s">
        <v>160</v>
      </c>
      <c r="E47" s="7" t="s">
        <v>161</v>
      </c>
      <c r="F47" s="6" t="s">
        <v>189</v>
      </c>
    </row>
    <row r="48" customFormat="false" ht="15" hidden="false" customHeight="false" outlineLevel="0" collapsed="false">
      <c r="A48" s="6" t="s">
        <v>188</v>
      </c>
      <c r="B48" s="6" t="s">
        <v>79</v>
      </c>
      <c r="C48" s="7" t="n">
        <v>20</v>
      </c>
      <c r="D48" s="7" t="s">
        <v>160</v>
      </c>
      <c r="E48" s="7" t="s">
        <v>161</v>
      </c>
      <c r="F48" s="6" t="s">
        <v>189</v>
      </c>
    </row>
    <row r="49" customFormat="false" ht="15" hidden="false" customHeight="false" outlineLevel="0" collapsed="false">
      <c r="A49" s="6" t="s">
        <v>188</v>
      </c>
      <c r="B49" s="6" t="s">
        <v>42</v>
      </c>
      <c r="C49" s="7" t="n">
        <v>1</v>
      </c>
      <c r="D49" s="7" t="s">
        <v>160</v>
      </c>
      <c r="E49" s="7" t="s">
        <v>161</v>
      </c>
      <c r="F49" s="6" t="s">
        <v>189</v>
      </c>
    </row>
    <row r="50" customFormat="false" ht="15" hidden="false" customHeight="false" outlineLevel="0" collapsed="false">
      <c r="A50" s="6" t="s">
        <v>188</v>
      </c>
      <c r="B50" s="6" t="s">
        <v>29</v>
      </c>
      <c r="C50" s="7" t="n">
        <v>1</v>
      </c>
      <c r="D50" s="7" t="s">
        <v>160</v>
      </c>
      <c r="E50" s="7" t="s">
        <v>161</v>
      </c>
      <c r="F50" s="6" t="s">
        <v>189</v>
      </c>
    </row>
    <row r="51" customFormat="false" ht="15" hidden="false" customHeight="false" outlineLevel="0" collapsed="false">
      <c r="A51" s="6" t="s">
        <v>188</v>
      </c>
      <c r="B51" s="6" t="s">
        <v>120</v>
      </c>
      <c r="C51" s="7" t="n">
        <v>1</v>
      </c>
      <c r="D51" s="7" t="s">
        <v>160</v>
      </c>
      <c r="E51" s="7" t="s">
        <v>161</v>
      </c>
      <c r="F51" s="6" t="s">
        <v>189</v>
      </c>
    </row>
    <row r="52" customFormat="false" ht="15" hidden="false" customHeight="false" outlineLevel="0" collapsed="false">
      <c r="A52" s="6" t="s">
        <v>188</v>
      </c>
      <c r="B52" s="6" t="s">
        <v>84</v>
      </c>
      <c r="C52" s="7" t="n">
        <v>2</v>
      </c>
      <c r="D52" s="7" t="s">
        <v>160</v>
      </c>
      <c r="E52" s="7" t="s">
        <v>161</v>
      </c>
      <c r="F52" s="6" t="s">
        <v>189</v>
      </c>
    </row>
    <row r="53" customFormat="false" ht="15" hidden="false" customHeight="false" outlineLevel="0" collapsed="false">
      <c r="A53" s="6" t="s">
        <v>188</v>
      </c>
      <c r="B53" s="6" t="s">
        <v>46</v>
      </c>
      <c r="C53" s="7" t="n">
        <v>1</v>
      </c>
      <c r="D53" s="7" t="s">
        <v>160</v>
      </c>
      <c r="E53" s="7" t="s">
        <v>161</v>
      </c>
      <c r="F53" s="6" t="s">
        <v>189</v>
      </c>
    </row>
    <row r="54" customFormat="false" ht="15" hidden="false" customHeight="false" outlineLevel="0" collapsed="false">
      <c r="A54" s="6" t="s">
        <v>190</v>
      </c>
      <c r="B54" s="6" t="s">
        <v>95</v>
      </c>
      <c r="C54" s="7" t="n">
        <v>5</v>
      </c>
      <c r="D54" s="7" t="s">
        <v>191</v>
      </c>
      <c r="E54" s="7" t="s">
        <v>161</v>
      </c>
      <c r="F54" s="6" t="s">
        <v>192</v>
      </c>
    </row>
    <row r="55" customFormat="false" ht="15" hidden="false" customHeight="false" outlineLevel="0" collapsed="false">
      <c r="A55" s="6" t="s">
        <v>190</v>
      </c>
      <c r="B55" s="6" t="s">
        <v>69</v>
      </c>
      <c r="C55" s="7" t="n">
        <v>5</v>
      </c>
      <c r="D55" s="7" t="s">
        <v>191</v>
      </c>
      <c r="E55" s="7" t="s">
        <v>161</v>
      </c>
      <c r="F55" s="6" t="s">
        <v>192</v>
      </c>
    </row>
    <row r="56" customFormat="false" ht="15" hidden="false" customHeight="false" outlineLevel="0" collapsed="false">
      <c r="A56" s="6" t="s">
        <v>190</v>
      </c>
      <c r="B56" s="6" t="s">
        <v>72</v>
      </c>
      <c r="C56" s="7" t="n">
        <v>6</v>
      </c>
      <c r="D56" s="7" t="s">
        <v>191</v>
      </c>
      <c r="E56" s="7" t="s">
        <v>161</v>
      </c>
      <c r="F56" s="6" t="s">
        <v>192</v>
      </c>
    </row>
    <row r="57" customFormat="false" ht="15" hidden="false" customHeight="false" outlineLevel="0" collapsed="false">
      <c r="A57" s="6" t="s">
        <v>190</v>
      </c>
      <c r="B57" s="6" t="s">
        <v>81</v>
      </c>
      <c r="C57" s="7" t="n">
        <v>4</v>
      </c>
      <c r="D57" s="7" t="s">
        <v>191</v>
      </c>
      <c r="E57" s="7" t="s">
        <v>161</v>
      </c>
      <c r="F57" s="6" t="s">
        <v>192</v>
      </c>
    </row>
    <row r="58" customFormat="false" ht="15" hidden="false" customHeight="false" outlineLevel="0" collapsed="false">
      <c r="A58" s="6" t="s">
        <v>190</v>
      </c>
      <c r="B58" s="6" t="s">
        <v>58</v>
      </c>
      <c r="C58" s="7" t="n">
        <v>4</v>
      </c>
      <c r="D58" s="7" t="s">
        <v>191</v>
      </c>
      <c r="E58" s="7" t="s">
        <v>161</v>
      </c>
      <c r="F58" s="6" t="s">
        <v>192</v>
      </c>
    </row>
    <row r="59" customFormat="false" ht="15" hidden="false" customHeight="false" outlineLevel="0" collapsed="false">
      <c r="A59" s="6" t="s">
        <v>190</v>
      </c>
      <c r="B59" s="6" t="s">
        <v>86</v>
      </c>
      <c r="C59" s="7" t="n">
        <v>2</v>
      </c>
      <c r="D59" s="7" t="s">
        <v>191</v>
      </c>
      <c r="E59" s="7" t="s">
        <v>161</v>
      </c>
      <c r="F59" s="6" t="s">
        <v>192</v>
      </c>
    </row>
    <row r="60" customFormat="false" ht="15" hidden="false" customHeight="false" outlineLevel="0" collapsed="false">
      <c r="A60" s="6" t="s">
        <v>190</v>
      </c>
      <c r="B60" s="6" t="s">
        <v>110</v>
      </c>
      <c r="C60" s="7" t="n">
        <v>20</v>
      </c>
      <c r="D60" s="7" t="s">
        <v>191</v>
      </c>
      <c r="E60" s="7" t="s">
        <v>161</v>
      </c>
      <c r="F60" s="6" t="s">
        <v>192</v>
      </c>
    </row>
    <row r="61" customFormat="false" ht="15" hidden="false" customHeight="false" outlineLevel="0" collapsed="false">
      <c r="A61" s="6" t="s">
        <v>190</v>
      </c>
      <c r="B61" s="6" t="s">
        <v>135</v>
      </c>
      <c r="C61" s="7" t="n">
        <v>3</v>
      </c>
      <c r="D61" s="7" t="s">
        <v>191</v>
      </c>
      <c r="E61" s="7" t="s">
        <v>161</v>
      </c>
      <c r="F61" s="6" t="s">
        <v>192</v>
      </c>
    </row>
    <row r="62" customFormat="false" ht="15" hidden="false" customHeight="false" outlineLevel="0" collapsed="false">
      <c r="A62" s="6" t="s">
        <v>190</v>
      </c>
      <c r="B62" s="6" t="s">
        <v>129</v>
      </c>
      <c r="C62" s="7" t="n">
        <v>1</v>
      </c>
      <c r="D62" s="7" t="s">
        <v>160</v>
      </c>
      <c r="E62" s="7" t="s">
        <v>185</v>
      </c>
      <c r="F62" s="6" t="s">
        <v>192</v>
      </c>
    </row>
    <row r="63" customFormat="false" ht="15" hidden="false" customHeight="false" outlineLevel="0" collapsed="false">
      <c r="A63" s="6" t="s">
        <v>193</v>
      </c>
      <c r="B63" s="6" t="s">
        <v>147</v>
      </c>
      <c r="C63" s="7" t="n">
        <v>1</v>
      </c>
      <c r="D63" s="7" t="s">
        <v>160</v>
      </c>
      <c r="E63" s="7" t="s">
        <v>161</v>
      </c>
      <c r="F63" s="6" t="s">
        <v>194</v>
      </c>
    </row>
    <row r="64" customFormat="false" ht="15" hidden="false" customHeight="false" outlineLevel="0" collapsed="false">
      <c r="A64" s="6" t="s">
        <v>193</v>
      </c>
      <c r="B64" s="6" t="s">
        <v>114</v>
      </c>
      <c r="C64" s="7" t="n">
        <v>15</v>
      </c>
      <c r="D64" s="7" t="s">
        <v>191</v>
      </c>
      <c r="E64" s="7" t="s">
        <v>161</v>
      </c>
      <c r="F64" s="6" t="s">
        <v>194</v>
      </c>
    </row>
    <row r="65" customFormat="false" ht="15" hidden="false" customHeight="false" outlineLevel="0" collapsed="false">
      <c r="A65" s="6" t="s">
        <v>193</v>
      </c>
      <c r="B65" s="6" t="s">
        <v>86</v>
      </c>
      <c r="C65" s="7" t="n">
        <v>3</v>
      </c>
      <c r="D65" s="7" t="s">
        <v>160</v>
      </c>
      <c r="E65" s="7" t="s">
        <v>161</v>
      </c>
      <c r="F65" s="6" t="s">
        <v>194</v>
      </c>
    </row>
    <row r="66" customFormat="false" ht="15" hidden="false" customHeight="false" outlineLevel="0" collapsed="false">
      <c r="A66" s="6" t="s">
        <v>193</v>
      </c>
      <c r="B66" s="6" t="s">
        <v>58</v>
      </c>
      <c r="C66" s="7" t="n">
        <v>4</v>
      </c>
      <c r="D66" s="7" t="s">
        <v>160</v>
      </c>
      <c r="E66" s="7" t="s">
        <v>161</v>
      </c>
      <c r="F66" s="6" t="s">
        <v>194</v>
      </c>
    </row>
    <row r="67" customFormat="false" ht="15" hidden="false" customHeight="false" outlineLevel="0" collapsed="false">
      <c r="A67" s="6" t="s">
        <v>193</v>
      </c>
      <c r="B67" s="6" t="s">
        <v>135</v>
      </c>
      <c r="C67" s="7" t="n">
        <v>3</v>
      </c>
      <c r="D67" s="7" t="s">
        <v>191</v>
      </c>
      <c r="E67" s="7" t="s">
        <v>161</v>
      </c>
      <c r="F67" s="6" t="s">
        <v>194</v>
      </c>
    </row>
    <row r="68" customFormat="false" ht="15" hidden="false" customHeight="false" outlineLevel="0" collapsed="false">
      <c r="A68" s="6" t="s">
        <v>195</v>
      </c>
      <c r="B68" s="6" t="s">
        <v>50</v>
      </c>
      <c r="C68" s="7" t="n">
        <v>1</v>
      </c>
      <c r="D68" s="7" t="s">
        <v>160</v>
      </c>
      <c r="E68" s="7" t="s">
        <v>161</v>
      </c>
      <c r="F68" s="6" t="s">
        <v>196</v>
      </c>
    </row>
    <row r="69" customFormat="false" ht="15" hidden="false" customHeight="false" outlineLevel="0" collapsed="false">
      <c r="A69" s="6" t="s">
        <v>195</v>
      </c>
      <c r="B69" s="6" t="s">
        <v>110</v>
      </c>
      <c r="C69" s="7" t="n">
        <v>30</v>
      </c>
      <c r="D69" s="7" t="s">
        <v>160</v>
      </c>
      <c r="E69" s="7" t="s">
        <v>161</v>
      </c>
      <c r="F69" s="6" t="s">
        <v>196</v>
      </c>
    </row>
    <row r="70" customFormat="false" ht="15" hidden="false" customHeight="false" outlineLevel="0" collapsed="false">
      <c r="A70" s="6" t="s">
        <v>197</v>
      </c>
      <c r="B70" s="6" t="s">
        <v>150</v>
      </c>
      <c r="C70" s="7" t="n">
        <v>5</v>
      </c>
      <c r="D70" s="7" t="s">
        <v>191</v>
      </c>
      <c r="E70" s="7" t="s">
        <v>161</v>
      </c>
      <c r="F70" s="6" t="s">
        <v>198</v>
      </c>
    </row>
    <row r="71" customFormat="false" ht="15" hidden="false" customHeight="false" outlineLevel="0" collapsed="false">
      <c r="A71" s="6" t="s">
        <v>197</v>
      </c>
      <c r="B71" s="6" t="s">
        <v>79</v>
      </c>
      <c r="C71" s="7" t="n">
        <v>30</v>
      </c>
      <c r="D71" s="7" t="s">
        <v>191</v>
      </c>
      <c r="E71" s="7" t="s">
        <v>161</v>
      </c>
      <c r="F71" s="6" t="s">
        <v>198</v>
      </c>
    </row>
    <row r="72" customFormat="false" ht="15" hidden="false" customHeight="false" outlineLevel="0" collapsed="false">
      <c r="A72" s="6" t="s">
        <v>199</v>
      </c>
      <c r="B72" s="6" t="s">
        <v>134</v>
      </c>
      <c r="C72" s="7" t="n">
        <v>1</v>
      </c>
      <c r="D72" s="7" t="s">
        <v>160</v>
      </c>
      <c r="E72" s="7" t="s">
        <v>185</v>
      </c>
      <c r="F72" s="6" t="s">
        <v>200</v>
      </c>
    </row>
    <row r="73" customFormat="false" ht="15" hidden="false" customHeight="false" outlineLevel="0" collapsed="false">
      <c r="A73" s="6" t="s">
        <v>199</v>
      </c>
      <c r="B73" s="6" t="s">
        <v>138</v>
      </c>
      <c r="C73" s="7" t="n">
        <v>1</v>
      </c>
      <c r="D73" s="7" t="s">
        <v>160</v>
      </c>
      <c r="E73" s="7" t="s">
        <v>185</v>
      </c>
      <c r="F73" s="6" t="s">
        <v>200</v>
      </c>
    </row>
    <row r="74" customFormat="false" ht="15" hidden="false" customHeight="false" outlineLevel="0" collapsed="false">
      <c r="A74" s="6" t="s">
        <v>201</v>
      </c>
      <c r="B74" s="6" t="s">
        <v>129</v>
      </c>
      <c r="C74" s="7" t="n">
        <v>1</v>
      </c>
      <c r="D74" s="7" t="s">
        <v>160</v>
      </c>
      <c r="E74" s="7" t="s">
        <v>185</v>
      </c>
      <c r="F74" s="6" t="s">
        <v>202</v>
      </c>
    </row>
    <row r="75" customFormat="false" ht="15" hidden="false" customHeight="false" outlineLevel="0" collapsed="false">
      <c r="A75" s="6" t="s">
        <v>203</v>
      </c>
      <c r="B75" s="6" t="s">
        <v>150</v>
      </c>
      <c r="C75" s="7" t="n">
        <v>3</v>
      </c>
      <c r="D75" s="7" t="s">
        <v>160</v>
      </c>
      <c r="E75" s="7" t="s">
        <v>161</v>
      </c>
      <c r="F75" s="6" t="s">
        <v>204</v>
      </c>
    </row>
    <row r="76" customFormat="false" ht="15" hidden="false" customHeight="false" outlineLevel="0" collapsed="false">
      <c r="A76" s="6" t="s">
        <v>203</v>
      </c>
      <c r="B76" s="6" t="s">
        <v>79</v>
      </c>
      <c r="C76" s="7" t="n">
        <v>20</v>
      </c>
      <c r="D76" s="7" t="s">
        <v>160</v>
      </c>
      <c r="E76" s="7" t="s">
        <v>161</v>
      </c>
      <c r="F76" s="6" t="s">
        <v>204</v>
      </c>
    </row>
    <row r="77" customFormat="false" ht="15" hidden="false" customHeight="false" outlineLevel="0" collapsed="false">
      <c r="A77" s="6" t="s">
        <v>203</v>
      </c>
      <c r="B77" s="6" t="s">
        <v>84</v>
      </c>
      <c r="C77" s="7" t="n">
        <v>3</v>
      </c>
      <c r="D77" s="7" t="s">
        <v>160</v>
      </c>
      <c r="E77" s="7" t="s">
        <v>161</v>
      </c>
      <c r="F77" s="6" t="s">
        <v>204</v>
      </c>
    </row>
    <row r="78" customFormat="false" ht="15" hidden="false" customHeight="false" outlineLevel="0" collapsed="false">
      <c r="A78" s="6" t="s">
        <v>203</v>
      </c>
      <c r="B78" s="6" t="s">
        <v>72</v>
      </c>
      <c r="C78" s="7" t="n">
        <v>4</v>
      </c>
      <c r="D78" s="7" t="s">
        <v>160</v>
      </c>
      <c r="E78" s="7" t="s">
        <v>161</v>
      </c>
      <c r="F78" s="6" t="s">
        <v>204</v>
      </c>
    </row>
    <row r="79" customFormat="false" ht="15" hidden="false" customHeight="false" outlineLevel="0" collapsed="false">
      <c r="A79" s="6" t="s">
        <v>203</v>
      </c>
      <c r="B79" s="6" t="s">
        <v>81</v>
      </c>
      <c r="C79" s="7" t="n">
        <v>2</v>
      </c>
      <c r="D79" s="7" t="s">
        <v>160</v>
      </c>
      <c r="E79" s="7" t="s">
        <v>161</v>
      </c>
      <c r="F79" s="6" t="s">
        <v>204</v>
      </c>
    </row>
    <row r="80" customFormat="false" ht="15" hidden="false" customHeight="false" outlineLevel="0" collapsed="false">
      <c r="A80" s="6" t="s">
        <v>203</v>
      </c>
      <c r="B80" s="6" t="s">
        <v>125</v>
      </c>
      <c r="C80" s="7" t="n">
        <v>1</v>
      </c>
      <c r="D80" s="7" t="s">
        <v>160</v>
      </c>
      <c r="E80" s="7" t="s">
        <v>185</v>
      </c>
      <c r="F80" s="6" t="s">
        <v>204</v>
      </c>
    </row>
    <row r="81" customFormat="false" ht="15" hidden="false" customHeight="false" outlineLevel="0" collapsed="false">
      <c r="A81" s="6" t="s">
        <v>205</v>
      </c>
      <c r="B81" s="6" t="s">
        <v>79</v>
      </c>
      <c r="C81" s="7" t="n">
        <v>60</v>
      </c>
      <c r="D81" s="7" t="s">
        <v>191</v>
      </c>
      <c r="E81" s="7" t="s">
        <v>161</v>
      </c>
      <c r="F81" s="6" t="s">
        <v>206</v>
      </c>
    </row>
    <row r="82" customFormat="false" ht="15" hidden="false" customHeight="false" outlineLevel="0" collapsed="false">
      <c r="A82" s="6" t="s">
        <v>205</v>
      </c>
      <c r="B82" s="6" t="s">
        <v>86</v>
      </c>
      <c r="C82" s="7" t="n">
        <v>2</v>
      </c>
      <c r="D82" s="7" t="s">
        <v>160</v>
      </c>
      <c r="E82" s="7" t="s">
        <v>161</v>
      </c>
      <c r="F82" s="6" t="s">
        <v>206</v>
      </c>
    </row>
    <row r="83" customFormat="false" ht="15" hidden="false" customHeight="false" outlineLevel="0" collapsed="false">
      <c r="A83" s="6" t="s">
        <v>205</v>
      </c>
      <c r="B83" s="6" t="s">
        <v>58</v>
      </c>
      <c r="C83" s="7" t="n">
        <v>4</v>
      </c>
      <c r="D83" s="7" t="s">
        <v>160</v>
      </c>
      <c r="E83" s="7" t="s">
        <v>161</v>
      </c>
      <c r="F83" s="6" t="s">
        <v>206</v>
      </c>
    </row>
    <row r="84" customFormat="false" ht="15" hidden="false" customHeight="false" outlineLevel="0" collapsed="false">
      <c r="A84" s="6" t="s">
        <v>207</v>
      </c>
      <c r="B84" s="6" t="s">
        <v>86</v>
      </c>
      <c r="C84" s="7" t="n">
        <v>3</v>
      </c>
      <c r="D84" s="7" t="s">
        <v>160</v>
      </c>
      <c r="E84" s="7" t="s">
        <v>161</v>
      </c>
      <c r="F84" s="6" t="s">
        <v>208</v>
      </c>
    </row>
    <row r="85" customFormat="false" ht="15" hidden="false" customHeight="false" outlineLevel="0" collapsed="false">
      <c r="A85" s="6" t="s">
        <v>207</v>
      </c>
      <c r="B85" s="6" t="s">
        <v>58</v>
      </c>
      <c r="C85" s="7" t="n">
        <v>6</v>
      </c>
      <c r="D85" s="7" t="s">
        <v>160</v>
      </c>
      <c r="E85" s="7" t="s">
        <v>161</v>
      </c>
      <c r="F85" s="6" t="s">
        <v>208</v>
      </c>
    </row>
    <row r="86" customFormat="false" ht="15" hidden="false" customHeight="false" outlineLevel="0" collapsed="false">
      <c r="A86" s="6" t="s">
        <v>207</v>
      </c>
      <c r="B86" s="6" t="s">
        <v>88</v>
      </c>
      <c r="C86" s="7" t="n">
        <v>15</v>
      </c>
      <c r="D86" s="7" t="s">
        <v>160</v>
      </c>
      <c r="E86" s="7" t="s">
        <v>161</v>
      </c>
      <c r="F86" s="6" t="s">
        <v>208</v>
      </c>
    </row>
    <row r="87" customFormat="false" ht="15" hidden="false" customHeight="false" outlineLevel="0" collapsed="false">
      <c r="A87" s="6" t="s">
        <v>207</v>
      </c>
      <c r="B87" s="6" t="s">
        <v>69</v>
      </c>
      <c r="C87" s="7" t="n">
        <v>5</v>
      </c>
      <c r="D87" s="7" t="s">
        <v>160</v>
      </c>
      <c r="E87" s="7" t="s">
        <v>161</v>
      </c>
      <c r="F87" s="6" t="s">
        <v>208</v>
      </c>
    </row>
    <row r="88" customFormat="false" ht="15" hidden="false" customHeight="false" outlineLevel="0" collapsed="false">
      <c r="A88" s="6" t="s">
        <v>209</v>
      </c>
      <c r="B88" s="6" t="s">
        <v>69</v>
      </c>
      <c r="C88" s="7" t="n">
        <v>5</v>
      </c>
      <c r="D88" s="7" t="s">
        <v>160</v>
      </c>
      <c r="E88" s="7" t="s">
        <v>161</v>
      </c>
      <c r="F88" s="6" t="s">
        <v>210</v>
      </c>
    </row>
    <row r="89" customFormat="false" ht="15" hidden="false" customHeight="false" outlineLevel="0" collapsed="false">
      <c r="A89" s="6" t="s">
        <v>209</v>
      </c>
      <c r="B89" s="6" t="s">
        <v>72</v>
      </c>
      <c r="C89" s="7" t="n">
        <v>4</v>
      </c>
      <c r="D89" s="7" t="s">
        <v>160</v>
      </c>
      <c r="E89" s="7" t="s">
        <v>161</v>
      </c>
      <c r="F89" s="6" t="s">
        <v>210</v>
      </c>
    </row>
    <row r="90" customFormat="false" ht="15" hidden="false" customHeight="false" outlineLevel="0" collapsed="false">
      <c r="A90" s="6" t="s">
        <v>209</v>
      </c>
      <c r="B90" s="6" t="s">
        <v>81</v>
      </c>
      <c r="C90" s="7" t="n">
        <v>2</v>
      </c>
      <c r="D90" s="7" t="s">
        <v>160</v>
      </c>
      <c r="E90" s="7" t="s">
        <v>161</v>
      </c>
      <c r="F90" s="6" t="s">
        <v>210</v>
      </c>
    </row>
    <row r="91" customFormat="false" ht="15" hidden="false" customHeight="false" outlineLevel="0" collapsed="false">
      <c r="A91" s="6" t="s">
        <v>209</v>
      </c>
      <c r="B91" s="6" t="s">
        <v>86</v>
      </c>
      <c r="C91" s="7" t="n">
        <v>2</v>
      </c>
      <c r="D91" s="7" t="s">
        <v>160</v>
      </c>
      <c r="E91" s="7" t="s">
        <v>161</v>
      </c>
      <c r="F91" s="6" t="s">
        <v>210</v>
      </c>
    </row>
    <row r="92" customFormat="false" ht="15" hidden="false" customHeight="false" outlineLevel="0" collapsed="false">
      <c r="A92" s="6" t="s">
        <v>209</v>
      </c>
      <c r="B92" s="6" t="s">
        <v>58</v>
      </c>
      <c r="C92" s="7" t="n">
        <v>4</v>
      </c>
      <c r="D92" s="7" t="s">
        <v>160</v>
      </c>
      <c r="E92" s="7" t="s">
        <v>161</v>
      </c>
      <c r="F92" s="6" t="s">
        <v>210</v>
      </c>
    </row>
    <row r="93" customFormat="false" ht="15" hidden="false" customHeight="false" outlineLevel="0" collapsed="false">
      <c r="A93" s="6" t="s">
        <v>209</v>
      </c>
      <c r="B93" s="6" t="s">
        <v>88</v>
      </c>
      <c r="C93" s="7" t="n">
        <v>10</v>
      </c>
      <c r="D93" s="7" t="s">
        <v>160</v>
      </c>
      <c r="E93" s="7" t="s">
        <v>161</v>
      </c>
      <c r="F93" s="6" t="s">
        <v>210</v>
      </c>
    </row>
    <row r="94" customFormat="false" ht="15" hidden="false" customHeight="false" outlineLevel="0" collapsed="false">
      <c r="A94" s="6" t="s">
        <v>211</v>
      </c>
      <c r="B94" s="6" t="s">
        <v>79</v>
      </c>
      <c r="C94" s="7" t="n">
        <v>60</v>
      </c>
      <c r="D94" s="7" t="s">
        <v>160</v>
      </c>
      <c r="E94" s="7" t="s">
        <v>161</v>
      </c>
      <c r="F94" s="6" t="s">
        <v>212</v>
      </c>
    </row>
    <row r="95" customFormat="false" ht="15" hidden="false" customHeight="false" outlineLevel="0" collapsed="false">
      <c r="A95" s="6" t="s">
        <v>211</v>
      </c>
      <c r="B95" s="6" t="s">
        <v>86</v>
      </c>
      <c r="C95" s="7" t="n">
        <v>2</v>
      </c>
      <c r="D95" s="7" t="s">
        <v>160</v>
      </c>
      <c r="E95" s="7" t="s">
        <v>161</v>
      </c>
      <c r="F95" s="6" t="s">
        <v>212</v>
      </c>
    </row>
    <row r="96" customFormat="false" ht="15" hidden="false" customHeight="false" outlineLevel="0" collapsed="false">
      <c r="A96" s="6" t="s">
        <v>213</v>
      </c>
      <c r="B96" s="6" t="s">
        <v>69</v>
      </c>
      <c r="C96" s="7" t="n">
        <v>5</v>
      </c>
      <c r="D96" s="7" t="s">
        <v>160</v>
      </c>
      <c r="E96" s="7" t="s">
        <v>161</v>
      </c>
      <c r="F96" s="6" t="s">
        <v>214</v>
      </c>
    </row>
    <row r="97" customFormat="false" ht="15" hidden="false" customHeight="false" outlineLevel="0" collapsed="false">
      <c r="A97" s="6" t="s">
        <v>213</v>
      </c>
      <c r="B97" s="6" t="s">
        <v>72</v>
      </c>
      <c r="C97" s="7" t="n">
        <v>4</v>
      </c>
      <c r="D97" s="7" t="s">
        <v>160</v>
      </c>
      <c r="E97" s="7" t="s">
        <v>161</v>
      </c>
      <c r="F97" s="6" t="s">
        <v>214</v>
      </c>
    </row>
    <row r="98" customFormat="false" ht="15" hidden="false" customHeight="false" outlineLevel="0" collapsed="false">
      <c r="A98" s="6" t="s">
        <v>213</v>
      </c>
      <c r="B98" s="6" t="s">
        <v>86</v>
      </c>
      <c r="C98" s="7" t="n">
        <v>2</v>
      </c>
      <c r="D98" s="7" t="s">
        <v>160</v>
      </c>
      <c r="E98" s="7" t="s">
        <v>161</v>
      </c>
      <c r="F98" s="6" t="s">
        <v>214</v>
      </c>
    </row>
    <row r="99" customFormat="false" ht="15" hidden="false" customHeight="false" outlineLevel="0" collapsed="false">
      <c r="A99" s="6" t="s">
        <v>213</v>
      </c>
      <c r="B99" s="6" t="s">
        <v>58</v>
      </c>
      <c r="C99" s="7" t="n">
        <v>4</v>
      </c>
      <c r="D99" s="7" t="s">
        <v>160</v>
      </c>
      <c r="E99" s="7" t="s">
        <v>161</v>
      </c>
      <c r="F99" s="6" t="s">
        <v>214</v>
      </c>
    </row>
    <row r="100" customFormat="false" ht="15" hidden="false" customHeight="false" outlineLevel="0" collapsed="false">
      <c r="A100" s="6" t="s">
        <v>215</v>
      </c>
      <c r="B100" s="6" t="s">
        <v>88</v>
      </c>
      <c r="C100" s="7" t="n">
        <v>5</v>
      </c>
      <c r="D100" s="7" t="s">
        <v>191</v>
      </c>
      <c r="E100" s="7" t="s">
        <v>161</v>
      </c>
      <c r="F100" s="6" t="s">
        <v>216</v>
      </c>
    </row>
    <row r="101" customFormat="false" ht="15" hidden="false" customHeight="false" outlineLevel="0" collapsed="false">
      <c r="A101" s="6" t="s">
        <v>215</v>
      </c>
      <c r="B101" s="6" t="s">
        <v>86</v>
      </c>
      <c r="C101" s="7" t="n">
        <v>3</v>
      </c>
      <c r="D101" s="7" t="s">
        <v>191</v>
      </c>
      <c r="E101" s="7" t="s">
        <v>161</v>
      </c>
      <c r="F101" s="6" t="s">
        <v>216</v>
      </c>
    </row>
    <row r="102" customFormat="false" ht="15" hidden="false" customHeight="false" outlineLevel="0" collapsed="false">
      <c r="A102" s="6" t="s">
        <v>215</v>
      </c>
      <c r="B102" s="6" t="s">
        <v>72</v>
      </c>
      <c r="C102" s="7" t="n">
        <v>2</v>
      </c>
      <c r="D102" s="7" t="s">
        <v>160</v>
      </c>
      <c r="E102" s="7" t="s">
        <v>161</v>
      </c>
      <c r="F102" s="6" t="s">
        <v>216</v>
      </c>
    </row>
    <row r="103" customFormat="false" ht="15" hidden="false" customHeight="false" outlineLevel="0" collapsed="false">
      <c r="A103" s="6" t="s">
        <v>217</v>
      </c>
      <c r="B103" s="6" t="s">
        <v>86</v>
      </c>
      <c r="C103" s="7" t="n">
        <v>1</v>
      </c>
      <c r="D103" s="7" t="s">
        <v>160</v>
      </c>
      <c r="E103" s="7" t="s">
        <v>161</v>
      </c>
      <c r="F103" s="6" t="s">
        <v>218</v>
      </c>
    </row>
    <row r="104" customFormat="false" ht="15" hidden="false" customHeight="false" outlineLevel="0" collapsed="false">
      <c r="A104" s="6" t="s">
        <v>217</v>
      </c>
      <c r="B104" s="6" t="s">
        <v>72</v>
      </c>
      <c r="C104" s="7" t="n">
        <v>2</v>
      </c>
      <c r="D104" s="7" t="s">
        <v>160</v>
      </c>
      <c r="E104" s="7" t="s">
        <v>161</v>
      </c>
      <c r="F104" s="6" t="s">
        <v>218</v>
      </c>
    </row>
    <row r="105" customFormat="false" ht="15" hidden="false" customHeight="false" outlineLevel="0" collapsed="false">
      <c r="A105" s="6" t="s">
        <v>219</v>
      </c>
      <c r="B105" s="6" t="s">
        <v>86</v>
      </c>
      <c r="C105" s="7" t="n">
        <v>2</v>
      </c>
      <c r="D105" s="7" t="s">
        <v>160</v>
      </c>
      <c r="E105" s="7" t="s">
        <v>161</v>
      </c>
      <c r="F105" s="6" t="s">
        <v>220</v>
      </c>
    </row>
    <row r="106" customFormat="false" ht="15" hidden="false" customHeight="false" outlineLevel="0" collapsed="false">
      <c r="A106" s="6" t="s">
        <v>219</v>
      </c>
      <c r="B106" s="6" t="s">
        <v>72</v>
      </c>
      <c r="C106" s="7" t="n">
        <v>4</v>
      </c>
      <c r="D106" s="7" t="s">
        <v>160</v>
      </c>
      <c r="E106" s="7" t="s">
        <v>161</v>
      </c>
      <c r="F106" s="6" t="s">
        <v>220</v>
      </c>
    </row>
    <row r="107" customFormat="false" ht="15" hidden="false" customHeight="false" outlineLevel="0" collapsed="false">
      <c r="A107" s="6" t="s">
        <v>221</v>
      </c>
      <c r="B107" s="6" t="s">
        <v>72</v>
      </c>
      <c r="C107" s="7" t="n">
        <v>2</v>
      </c>
      <c r="D107" s="7" t="s">
        <v>160</v>
      </c>
      <c r="E107" s="7" t="s">
        <v>161</v>
      </c>
      <c r="F107" s="6" t="s">
        <v>222</v>
      </c>
    </row>
    <row r="108" customFormat="false" ht="15" hidden="false" customHeight="false" outlineLevel="0" collapsed="false">
      <c r="A108" s="6" t="s">
        <v>223</v>
      </c>
      <c r="B108" s="6" t="s">
        <v>69</v>
      </c>
      <c r="C108" s="7" t="n">
        <v>10</v>
      </c>
      <c r="D108" s="7" t="s">
        <v>160</v>
      </c>
      <c r="E108" s="7" t="s">
        <v>161</v>
      </c>
      <c r="F108" s="6" t="s">
        <v>224</v>
      </c>
    </row>
    <row r="109" customFormat="false" ht="15" hidden="false" customHeight="false" outlineLevel="0" collapsed="false">
      <c r="A109" s="6" t="s">
        <v>223</v>
      </c>
      <c r="B109" s="6" t="s">
        <v>86</v>
      </c>
      <c r="C109" s="7" t="n">
        <v>4</v>
      </c>
      <c r="D109" s="7" t="s">
        <v>160</v>
      </c>
      <c r="E109" s="7" t="s">
        <v>161</v>
      </c>
      <c r="F109" s="6" t="s">
        <v>224</v>
      </c>
    </row>
    <row r="110" customFormat="false" ht="15" hidden="false" customHeight="false" outlineLevel="0" collapsed="false">
      <c r="A110" s="6" t="s">
        <v>223</v>
      </c>
      <c r="B110" s="6" t="s">
        <v>72</v>
      </c>
      <c r="C110" s="7" t="n">
        <v>2</v>
      </c>
      <c r="D110" s="7" t="s">
        <v>160</v>
      </c>
      <c r="E110" s="7" t="s">
        <v>161</v>
      </c>
      <c r="F110" s="6" t="s">
        <v>224</v>
      </c>
    </row>
    <row r="111" customFormat="false" ht="15" hidden="false" customHeight="false" outlineLevel="0" collapsed="false">
      <c r="A111" s="6" t="s">
        <v>225</v>
      </c>
      <c r="B111" s="6" t="s">
        <v>50</v>
      </c>
      <c r="C111" s="7" t="n">
        <v>1</v>
      </c>
      <c r="D111" s="7" t="s">
        <v>160</v>
      </c>
      <c r="E111" s="7" t="s">
        <v>161</v>
      </c>
      <c r="F111" s="6" t="s">
        <v>226</v>
      </c>
    </row>
    <row r="112" customFormat="false" ht="15" hidden="false" customHeight="false" outlineLevel="0" collapsed="false">
      <c r="A112" s="6" t="s">
        <v>225</v>
      </c>
      <c r="B112" s="6" t="s">
        <v>72</v>
      </c>
      <c r="C112" s="7" t="n">
        <v>4</v>
      </c>
      <c r="D112" s="7" t="s">
        <v>160</v>
      </c>
      <c r="E112" s="7" t="s">
        <v>161</v>
      </c>
      <c r="F112" s="6" t="s">
        <v>226</v>
      </c>
    </row>
    <row r="113" customFormat="false" ht="15" hidden="false" customHeight="false" outlineLevel="0" collapsed="false">
      <c r="A113" s="6" t="s">
        <v>225</v>
      </c>
      <c r="B113" s="6" t="s">
        <v>69</v>
      </c>
      <c r="C113" s="7" t="n">
        <v>3</v>
      </c>
      <c r="D113" s="7" t="s">
        <v>160</v>
      </c>
      <c r="E113" s="7" t="s">
        <v>161</v>
      </c>
      <c r="F113" s="6" t="s">
        <v>226</v>
      </c>
    </row>
    <row r="114" customFormat="false" ht="15" hidden="false" customHeight="false" outlineLevel="0" collapsed="false">
      <c r="A114" s="6" t="s">
        <v>225</v>
      </c>
      <c r="B114" s="6" t="s">
        <v>58</v>
      </c>
      <c r="C114" s="7" t="n">
        <v>4</v>
      </c>
      <c r="D114" s="7" t="s">
        <v>160</v>
      </c>
      <c r="E114" s="7" t="s">
        <v>161</v>
      </c>
      <c r="F114" s="6" t="s">
        <v>226</v>
      </c>
    </row>
    <row r="115" customFormat="false" ht="15" hidden="false" customHeight="false" outlineLevel="0" collapsed="false">
      <c r="A115" s="6" t="s">
        <v>225</v>
      </c>
      <c r="B115" s="6" t="s">
        <v>76</v>
      </c>
      <c r="C115" s="7" t="n">
        <v>30</v>
      </c>
      <c r="D115" s="7" t="s">
        <v>160</v>
      </c>
      <c r="E115" s="7" t="s">
        <v>161</v>
      </c>
      <c r="F115" s="6" t="s">
        <v>226</v>
      </c>
    </row>
    <row r="116" customFormat="false" ht="15" hidden="false" customHeight="false" outlineLevel="0" collapsed="false">
      <c r="A116" s="6" t="s">
        <v>225</v>
      </c>
      <c r="B116" s="6" t="s">
        <v>88</v>
      </c>
      <c r="C116" s="7" t="n">
        <v>5</v>
      </c>
      <c r="D116" s="7" t="s">
        <v>160</v>
      </c>
      <c r="E116" s="7" t="s">
        <v>161</v>
      </c>
      <c r="F116" s="6" t="s">
        <v>226</v>
      </c>
    </row>
    <row r="117" customFormat="false" ht="15" hidden="false" customHeight="false" outlineLevel="0" collapsed="false">
      <c r="A117" s="6" t="s">
        <v>225</v>
      </c>
      <c r="B117" s="6" t="s">
        <v>86</v>
      </c>
      <c r="C117" s="7" t="n">
        <v>2</v>
      </c>
      <c r="D117" s="7" t="s">
        <v>160</v>
      </c>
      <c r="E117" s="7" t="s">
        <v>161</v>
      </c>
      <c r="F117" s="6" t="s">
        <v>226</v>
      </c>
    </row>
    <row r="118" customFormat="false" ht="15" hidden="false" customHeight="false" outlineLevel="0" collapsed="false">
      <c r="A118" s="6" t="s">
        <v>227</v>
      </c>
      <c r="B118" s="6" t="s">
        <v>50</v>
      </c>
      <c r="C118" s="7" t="n">
        <v>1</v>
      </c>
      <c r="D118" s="7" t="s">
        <v>160</v>
      </c>
      <c r="E118" s="7" t="s">
        <v>161</v>
      </c>
      <c r="F118" s="6" t="s">
        <v>228</v>
      </c>
    </row>
    <row r="119" customFormat="false" ht="15" hidden="false" customHeight="false" outlineLevel="0" collapsed="false">
      <c r="A119" s="6" t="s">
        <v>227</v>
      </c>
      <c r="B119" s="6" t="s">
        <v>72</v>
      </c>
      <c r="C119" s="7" t="n">
        <v>4</v>
      </c>
      <c r="D119" s="7" t="s">
        <v>160</v>
      </c>
      <c r="E119" s="7" t="s">
        <v>161</v>
      </c>
      <c r="F119" s="6" t="s">
        <v>228</v>
      </c>
    </row>
    <row r="120" customFormat="false" ht="15" hidden="false" customHeight="false" outlineLevel="0" collapsed="false">
      <c r="A120" s="6" t="s">
        <v>227</v>
      </c>
      <c r="B120" s="6" t="s">
        <v>69</v>
      </c>
      <c r="C120" s="7" t="n">
        <v>5</v>
      </c>
      <c r="D120" s="7" t="s">
        <v>160</v>
      </c>
      <c r="E120" s="7" t="s">
        <v>161</v>
      </c>
      <c r="F120" s="6" t="s">
        <v>228</v>
      </c>
    </row>
    <row r="121" customFormat="false" ht="15" hidden="false" customHeight="false" outlineLevel="0" collapsed="false">
      <c r="A121" s="6" t="s">
        <v>227</v>
      </c>
      <c r="B121" s="6" t="s">
        <v>86</v>
      </c>
      <c r="C121" s="7" t="n">
        <v>2</v>
      </c>
      <c r="D121" s="7" t="s">
        <v>160</v>
      </c>
      <c r="E121" s="7" t="s">
        <v>161</v>
      </c>
      <c r="F121" s="6" t="s">
        <v>228</v>
      </c>
    </row>
    <row r="122" customFormat="false" ht="15" hidden="false" customHeight="false" outlineLevel="0" collapsed="false">
      <c r="A122" s="6" t="s">
        <v>227</v>
      </c>
      <c r="B122" s="6" t="s">
        <v>76</v>
      </c>
      <c r="C122" s="7" t="n">
        <v>30</v>
      </c>
      <c r="D122" s="7" t="s">
        <v>160</v>
      </c>
      <c r="E122" s="7" t="s">
        <v>161</v>
      </c>
      <c r="F122" s="6" t="s">
        <v>228</v>
      </c>
    </row>
    <row r="123" customFormat="false" ht="15" hidden="false" customHeight="false" outlineLevel="0" collapsed="false">
      <c r="A123" s="6" t="s">
        <v>229</v>
      </c>
      <c r="B123" s="6" t="s">
        <v>50</v>
      </c>
      <c r="C123" s="7" t="n">
        <v>1</v>
      </c>
      <c r="D123" s="7" t="s">
        <v>160</v>
      </c>
      <c r="E123" s="7" t="s">
        <v>161</v>
      </c>
      <c r="F123" s="6" t="s">
        <v>230</v>
      </c>
    </row>
    <row r="124" customFormat="false" ht="15" hidden="false" customHeight="false" outlineLevel="0" collapsed="false">
      <c r="A124" s="6" t="s">
        <v>229</v>
      </c>
      <c r="B124" s="6" t="s">
        <v>58</v>
      </c>
      <c r="C124" s="7" t="n">
        <v>2</v>
      </c>
      <c r="D124" s="7" t="s">
        <v>191</v>
      </c>
      <c r="E124" s="7" t="s">
        <v>161</v>
      </c>
      <c r="F124" s="6" t="s">
        <v>230</v>
      </c>
    </row>
    <row r="125" customFormat="false" ht="15" hidden="false" customHeight="false" outlineLevel="0" collapsed="false">
      <c r="A125" s="6" t="s">
        <v>229</v>
      </c>
      <c r="B125" s="6" t="s">
        <v>69</v>
      </c>
      <c r="C125" s="7" t="n">
        <v>3</v>
      </c>
      <c r="D125" s="7" t="s">
        <v>191</v>
      </c>
      <c r="E125" s="7" t="s">
        <v>161</v>
      </c>
      <c r="F125" s="6" t="s">
        <v>230</v>
      </c>
    </row>
    <row r="126" customFormat="false" ht="15" hidden="false" customHeight="false" outlineLevel="0" collapsed="false">
      <c r="A126" s="6" t="s">
        <v>229</v>
      </c>
      <c r="B126" s="6" t="s">
        <v>86</v>
      </c>
      <c r="C126" s="7" t="n">
        <v>2</v>
      </c>
      <c r="D126" s="7" t="s">
        <v>191</v>
      </c>
      <c r="E126" s="7" t="s">
        <v>161</v>
      </c>
      <c r="F126" s="6" t="s">
        <v>230</v>
      </c>
    </row>
    <row r="127" customFormat="false" ht="15" hidden="false" customHeight="false" outlineLevel="0" collapsed="false">
      <c r="A127" s="6" t="s">
        <v>231</v>
      </c>
      <c r="B127" s="6" t="s">
        <v>40</v>
      </c>
      <c r="C127" s="7" t="n">
        <v>1</v>
      </c>
      <c r="D127" s="7" t="s">
        <v>160</v>
      </c>
      <c r="E127" s="7" t="s">
        <v>161</v>
      </c>
      <c r="F127" s="6" t="s">
        <v>232</v>
      </c>
    </row>
    <row r="128" customFormat="false" ht="15" hidden="false" customHeight="false" outlineLevel="0" collapsed="false">
      <c r="A128" s="6" t="s">
        <v>231</v>
      </c>
      <c r="B128" s="6" t="s">
        <v>49</v>
      </c>
      <c r="C128" s="7" t="n">
        <v>1</v>
      </c>
      <c r="D128" s="7" t="s">
        <v>160</v>
      </c>
      <c r="E128" s="7" t="s">
        <v>161</v>
      </c>
      <c r="F128" s="6" t="s">
        <v>232</v>
      </c>
    </row>
    <row r="129" customFormat="false" ht="15" hidden="false" customHeight="false" outlineLevel="0" collapsed="false">
      <c r="A129" s="6" t="s">
        <v>231</v>
      </c>
      <c r="B129" s="6" t="s">
        <v>35</v>
      </c>
      <c r="C129" s="7" t="n">
        <v>1</v>
      </c>
      <c r="D129" s="7" t="s">
        <v>160</v>
      </c>
      <c r="E129" s="7" t="s">
        <v>161</v>
      </c>
      <c r="F129" s="6" t="s">
        <v>232</v>
      </c>
    </row>
    <row r="130" customFormat="false" ht="15" hidden="false" customHeight="false" outlineLevel="0" collapsed="false">
      <c r="A130" s="6" t="s">
        <v>231</v>
      </c>
      <c r="B130" s="6" t="s">
        <v>46</v>
      </c>
      <c r="C130" s="7" t="n">
        <v>1</v>
      </c>
      <c r="D130" s="7" t="s">
        <v>160</v>
      </c>
      <c r="E130" s="7" t="s">
        <v>161</v>
      </c>
      <c r="F130" s="6" t="s">
        <v>232</v>
      </c>
    </row>
    <row r="131" customFormat="false" ht="15" hidden="false" customHeight="false" outlineLevel="0" collapsed="false">
      <c r="A131" s="6" t="s">
        <v>231</v>
      </c>
      <c r="B131" s="6" t="s">
        <v>84</v>
      </c>
      <c r="C131" s="7" t="n">
        <v>2</v>
      </c>
      <c r="D131" s="7" t="s">
        <v>160</v>
      </c>
      <c r="E131" s="7" t="s">
        <v>161</v>
      </c>
      <c r="F131" s="6" t="s">
        <v>232</v>
      </c>
    </row>
    <row r="132" customFormat="false" ht="15" hidden="false" customHeight="false" outlineLevel="0" collapsed="false">
      <c r="A132" s="6" t="s">
        <v>231</v>
      </c>
      <c r="B132" s="6" t="s">
        <v>76</v>
      </c>
      <c r="C132" s="7" t="n">
        <v>20</v>
      </c>
      <c r="D132" s="7" t="s">
        <v>160</v>
      </c>
      <c r="E132" s="7" t="s">
        <v>161</v>
      </c>
      <c r="F132" s="6" t="s">
        <v>232</v>
      </c>
    </row>
    <row r="133" customFormat="false" ht="15" hidden="false" customHeight="false" outlineLevel="0" collapsed="false">
      <c r="A133" s="6" t="s">
        <v>233</v>
      </c>
      <c r="B133" s="6" t="s">
        <v>36</v>
      </c>
      <c r="C133" s="7" t="n">
        <v>1</v>
      </c>
      <c r="D133" s="7" t="s">
        <v>160</v>
      </c>
      <c r="E133" s="7" t="s">
        <v>161</v>
      </c>
      <c r="F133" s="6" t="s">
        <v>234</v>
      </c>
    </row>
    <row r="134" customFormat="false" ht="15" hidden="false" customHeight="false" outlineLevel="0" collapsed="false">
      <c r="A134" s="6" t="s">
        <v>233</v>
      </c>
      <c r="B134" s="6" t="s">
        <v>35</v>
      </c>
      <c r="C134" s="7" t="n">
        <v>1</v>
      </c>
      <c r="D134" s="7" t="s">
        <v>160</v>
      </c>
      <c r="E134" s="7" t="s">
        <v>161</v>
      </c>
      <c r="F134" s="6" t="s">
        <v>234</v>
      </c>
    </row>
    <row r="135" customFormat="false" ht="15" hidden="false" customHeight="false" outlineLevel="0" collapsed="false">
      <c r="A135" s="6" t="s">
        <v>233</v>
      </c>
      <c r="B135" s="6" t="s">
        <v>46</v>
      </c>
      <c r="C135" s="7" t="n">
        <v>1</v>
      </c>
      <c r="D135" s="7" t="s">
        <v>160</v>
      </c>
      <c r="E135" s="7" t="s">
        <v>161</v>
      </c>
      <c r="F135" s="6" t="s">
        <v>234</v>
      </c>
    </row>
    <row r="136" customFormat="false" ht="15" hidden="false" customHeight="false" outlineLevel="0" collapsed="false">
      <c r="A136" s="6" t="s">
        <v>233</v>
      </c>
      <c r="B136" s="6" t="s">
        <v>84</v>
      </c>
      <c r="C136" s="7" t="n">
        <v>1</v>
      </c>
      <c r="D136" s="7" t="s">
        <v>160</v>
      </c>
      <c r="E136" s="7" t="s">
        <v>161</v>
      </c>
      <c r="F136" s="6" t="s">
        <v>234</v>
      </c>
    </row>
    <row r="137" customFormat="false" ht="15" hidden="false" customHeight="false" outlineLevel="0" collapsed="false">
      <c r="A137" s="6" t="s">
        <v>233</v>
      </c>
      <c r="B137" s="6" t="s">
        <v>76</v>
      </c>
      <c r="C137" s="7" t="n">
        <v>10</v>
      </c>
      <c r="D137" s="7" t="s">
        <v>160</v>
      </c>
      <c r="E137" s="7" t="s">
        <v>161</v>
      </c>
      <c r="F137" s="6" t="s">
        <v>234</v>
      </c>
    </row>
    <row r="138" customFormat="false" ht="15" hidden="false" customHeight="false" outlineLevel="0" collapsed="false">
      <c r="A138" s="6" t="s">
        <v>235</v>
      </c>
      <c r="B138" s="6" t="s">
        <v>34</v>
      </c>
      <c r="C138" s="7" t="n">
        <v>1</v>
      </c>
      <c r="D138" s="7" t="s">
        <v>160</v>
      </c>
      <c r="E138" s="7" t="s">
        <v>161</v>
      </c>
      <c r="F138" s="6" t="s">
        <v>236</v>
      </c>
    </row>
    <row r="139" customFormat="false" ht="15" hidden="false" customHeight="false" outlineLevel="0" collapsed="false">
      <c r="A139" s="6" t="s">
        <v>237</v>
      </c>
      <c r="B139" s="6" t="s">
        <v>127</v>
      </c>
      <c r="C139" s="7" t="n">
        <v>1</v>
      </c>
      <c r="D139" s="7" t="s">
        <v>160</v>
      </c>
      <c r="E139" s="7" t="s">
        <v>185</v>
      </c>
      <c r="F139" s="6" t="s">
        <v>238</v>
      </c>
    </row>
    <row r="140" customFormat="false" ht="15" hidden="false" customHeight="false" outlineLevel="0" collapsed="false">
      <c r="A140" s="6" t="s">
        <v>237</v>
      </c>
      <c r="B140" s="6" t="s">
        <v>144</v>
      </c>
      <c r="C140" s="7" t="n">
        <v>1</v>
      </c>
      <c r="D140" s="7" t="s">
        <v>160</v>
      </c>
      <c r="E140" s="7" t="s">
        <v>185</v>
      </c>
      <c r="F140" s="6" t="s">
        <v>238</v>
      </c>
    </row>
    <row r="141" customFormat="false" ht="15" hidden="false" customHeight="false" outlineLevel="0" collapsed="false">
      <c r="A141" s="6" t="s">
        <v>239</v>
      </c>
      <c r="B141" s="6" t="s">
        <v>144</v>
      </c>
      <c r="C141" s="7" t="n">
        <v>1</v>
      </c>
      <c r="D141" s="7" t="s">
        <v>160</v>
      </c>
      <c r="E141" s="7" t="s">
        <v>185</v>
      </c>
      <c r="F141" s="6" t="s">
        <v>240</v>
      </c>
    </row>
    <row r="142" customFormat="false" ht="15" hidden="false" customHeight="false" outlineLevel="0" collapsed="false">
      <c r="A142" s="6" t="s">
        <v>241</v>
      </c>
      <c r="B142" s="6" t="s">
        <v>34</v>
      </c>
      <c r="C142" s="7" t="n">
        <v>2</v>
      </c>
      <c r="D142" s="7" t="s">
        <v>191</v>
      </c>
      <c r="E142" s="7" t="s">
        <v>161</v>
      </c>
      <c r="F142" s="6" t="s">
        <v>242</v>
      </c>
    </row>
    <row r="143" customFormat="false" ht="15" hidden="false" customHeight="false" outlineLevel="0" collapsed="false">
      <c r="A143" s="6" t="s">
        <v>241</v>
      </c>
      <c r="B143" s="6" t="s">
        <v>39</v>
      </c>
      <c r="C143" s="7" t="n">
        <v>2</v>
      </c>
      <c r="D143" s="7" t="s">
        <v>191</v>
      </c>
      <c r="E143" s="7" t="s">
        <v>161</v>
      </c>
      <c r="F143" s="6" t="s">
        <v>242</v>
      </c>
    </row>
    <row r="144" customFormat="false" ht="15" hidden="false" customHeight="false" outlineLevel="0" collapsed="false">
      <c r="A144" s="6" t="s">
        <v>241</v>
      </c>
      <c r="B144" s="6" t="s">
        <v>37</v>
      </c>
      <c r="C144" s="7" t="n">
        <v>2</v>
      </c>
      <c r="D144" s="7" t="s">
        <v>191</v>
      </c>
      <c r="E144" s="7" t="s">
        <v>161</v>
      </c>
      <c r="F144" s="6" t="s">
        <v>242</v>
      </c>
    </row>
    <row r="145" customFormat="false" ht="15" hidden="false" customHeight="false" outlineLevel="0" collapsed="false">
      <c r="A145" s="6" t="s">
        <v>241</v>
      </c>
      <c r="B145" s="6" t="s">
        <v>84</v>
      </c>
      <c r="C145" s="7" t="n">
        <v>3</v>
      </c>
      <c r="D145" s="7" t="s">
        <v>191</v>
      </c>
      <c r="E145" s="7" t="s">
        <v>161</v>
      </c>
      <c r="F145" s="6" t="s">
        <v>242</v>
      </c>
    </row>
    <row r="146" customFormat="false" ht="15" hidden="false" customHeight="false" outlineLevel="0" collapsed="false">
      <c r="A146" s="6" t="s">
        <v>241</v>
      </c>
      <c r="B146" s="6" t="s">
        <v>44</v>
      </c>
      <c r="C146" s="7" t="n">
        <v>1</v>
      </c>
      <c r="D146" s="7" t="s">
        <v>160</v>
      </c>
      <c r="E146" s="7" t="s">
        <v>161</v>
      </c>
      <c r="F146" s="6" t="s">
        <v>242</v>
      </c>
    </row>
    <row r="147" customFormat="false" ht="15" hidden="false" customHeight="false" outlineLevel="0" collapsed="false">
      <c r="A147" s="6" t="s">
        <v>241</v>
      </c>
      <c r="B147" s="6" t="s">
        <v>150</v>
      </c>
      <c r="C147" s="7" t="n">
        <v>3</v>
      </c>
      <c r="D147" s="7" t="s">
        <v>191</v>
      </c>
      <c r="E147" s="7" t="s">
        <v>161</v>
      </c>
      <c r="F147" s="6" t="s">
        <v>242</v>
      </c>
    </row>
    <row r="148" customFormat="false" ht="15" hidden="false" customHeight="false" outlineLevel="0" collapsed="false">
      <c r="A148" s="6" t="s">
        <v>241</v>
      </c>
      <c r="B148" s="6" t="s">
        <v>79</v>
      </c>
      <c r="C148" s="7" t="n">
        <v>20</v>
      </c>
      <c r="D148" s="7" t="s">
        <v>191</v>
      </c>
      <c r="E148" s="7" t="s">
        <v>161</v>
      </c>
      <c r="F148" s="6" t="s">
        <v>242</v>
      </c>
    </row>
    <row r="149" customFormat="false" ht="15" hidden="false" customHeight="false" outlineLevel="0" collapsed="false">
      <c r="A149" s="6" t="s">
        <v>243</v>
      </c>
      <c r="B149" s="6" t="s">
        <v>86</v>
      </c>
      <c r="C149" s="7" t="n">
        <v>3</v>
      </c>
      <c r="D149" s="7" t="s">
        <v>191</v>
      </c>
      <c r="E149" s="7" t="s">
        <v>161</v>
      </c>
      <c r="F149" s="6" t="s">
        <v>244</v>
      </c>
    </row>
    <row r="150" customFormat="false" ht="15" hidden="false" customHeight="false" outlineLevel="0" collapsed="false">
      <c r="A150" s="6" t="s">
        <v>243</v>
      </c>
      <c r="B150" s="6" t="s">
        <v>88</v>
      </c>
      <c r="C150" s="7" t="n">
        <v>10</v>
      </c>
      <c r="D150" s="7" t="s">
        <v>191</v>
      </c>
      <c r="E150" s="7" t="s">
        <v>161</v>
      </c>
      <c r="F150" s="6" t="s">
        <v>244</v>
      </c>
    </row>
    <row r="151" customFormat="false" ht="15" hidden="false" customHeight="false" outlineLevel="0" collapsed="false">
      <c r="A151" s="6" t="s">
        <v>245</v>
      </c>
      <c r="B151" s="6" t="s">
        <v>112</v>
      </c>
      <c r="C151" s="7" t="n">
        <v>20</v>
      </c>
      <c r="D151" s="7" t="s">
        <v>191</v>
      </c>
      <c r="E151" s="7" t="s">
        <v>161</v>
      </c>
      <c r="F151" s="6" t="s">
        <v>246</v>
      </c>
    </row>
    <row r="152" customFormat="false" ht="15" hidden="false" customHeight="false" outlineLevel="0" collapsed="false">
      <c r="A152" s="6" t="s">
        <v>245</v>
      </c>
      <c r="B152" s="6" t="s">
        <v>67</v>
      </c>
      <c r="C152" s="7" t="n">
        <v>10</v>
      </c>
      <c r="D152" s="7" t="s">
        <v>191</v>
      </c>
      <c r="E152" s="7" t="s">
        <v>161</v>
      </c>
      <c r="F152" s="6" t="s">
        <v>246</v>
      </c>
    </row>
    <row r="153" customFormat="false" ht="15" hidden="false" customHeight="false" outlineLevel="0" collapsed="false">
      <c r="A153" s="6" t="s">
        <v>245</v>
      </c>
      <c r="B153" s="6" t="s">
        <v>86</v>
      </c>
      <c r="C153" s="7" t="n">
        <v>3</v>
      </c>
      <c r="D153" s="7" t="s">
        <v>160</v>
      </c>
      <c r="E153" s="7" t="s">
        <v>161</v>
      </c>
      <c r="F153" s="6" t="s">
        <v>246</v>
      </c>
    </row>
    <row r="154" customFormat="false" ht="15" hidden="false" customHeight="false" outlineLevel="0" collapsed="false">
      <c r="A154" s="6" t="s">
        <v>245</v>
      </c>
      <c r="B154" s="6" t="s">
        <v>58</v>
      </c>
      <c r="C154" s="7" t="n">
        <v>4</v>
      </c>
      <c r="D154" s="7" t="s">
        <v>160</v>
      </c>
      <c r="E154" s="7" t="s">
        <v>161</v>
      </c>
      <c r="F154" s="6" t="s">
        <v>246</v>
      </c>
    </row>
    <row r="155" customFormat="false" ht="15" hidden="false" customHeight="false" outlineLevel="0" collapsed="false">
      <c r="A155" s="6" t="s">
        <v>247</v>
      </c>
      <c r="B155" s="6" t="s">
        <v>114</v>
      </c>
      <c r="C155" s="7" t="n">
        <v>30</v>
      </c>
      <c r="D155" s="7" t="s">
        <v>191</v>
      </c>
      <c r="E155" s="7" t="s">
        <v>161</v>
      </c>
      <c r="F155" s="6" t="s">
        <v>248</v>
      </c>
    </row>
    <row r="156" customFormat="false" ht="15" hidden="false" customHeight="false" outlineLevel="0" collapsed="false">
      <c r="A156" s="6" t="s">
        <v>247</v>
      </c>
      <c r="B156" s="6" t="s">
        <v>67</v>
      </c>
      <c r="C156" s="7" t="n">
        <v>10</v>
      </c>
      <c r="D156" s="7" t="s">
        <v>191</v>
      </c>
      <c r="E156" s="7" t="s">
        <v>161</v>
      </c>
      <c r="F156" s="6" t="s">
        <v>248</v>
      </c>
    </row>
    <row r="157" customFormat="false" ht="15" hidden="false" customHeight="false" outlineLevel="0" collapsed="false">
      <c r="A157" s="6" t="s">
        <v>247</v>
      </c>
      <c r="B157" s="6" t="s">
        <v>86</v>
      </c>
      <c r="C157" s="7" t="n">
        <v>3</v>
      </c>
      <c r="D157" s="7" t="s">
        <v>160</v>
      </c>
      <c r="E157" s="7" t="s">
        <v>161</v>
      </c>
      <c r="F157" s="6" t="s">
        <v>248</v>
      </c>
    </row>
    <row r="158" customFormat="false" ht="15" hidden="false" customHeight="false" outlineLevel="0" collapsed="false">
      <c r="A158" s="6" t="s">
        <v>247</v>
      </c>
      <c r="B158" s="6" t="s">
        <v>58</v>
      </c>
      <c r="C158" s="7" t="n">
        <v>4</v>
      </c>
      <c r="D158" s="7" t="s">
        <v>160</v>
      </c>
      <c r="E158" s="7" t="s">
        <v>161</v>
      </c>
      <c r="F158" s="6" t="s">
        <v>248</v>
      </c>
    </row>
    <row r="159" customFormat="false" ht="15" hidden="false" customHeight="false" outlineLevel="0" collapsed="false">
      <c r="A159" s="6" t="s">
        <v>249</v>
      </c>
      <c r="B159" s="6" t="s">
        <v>112</v>
      </c>
      <c r="C159" s="7" t="n">
        <v>20</v>
      </c>
      <c r="D159" s="7" t="s">
        <v>191</v>
      </c>
      <c r="E159" s="7" t="s">
        <v>161</v>
      </c>
      <c r="F159" s="6" t="s">
        <v>250</v>
      </c>
    </row>
    <row r="160" customFormat="false" ht="15" hidden="false" customHeight="false" outlineLevel="0" collapsed="false">
      <c r="A160" s="6" t="s">
        <v>249</v>
      </c>
      <c r="B160" s="6" t="s">
        <v>114</v>
      </c>
      <c r="C160" s="7" t="n">
        <v>30</v>
      </c>
      <c r="D160" s="7" t="s">
        <v>191</v>
      </c>
      <c r="E160" s="7" t="s">
        <v>161</v>
      </c>
      <c r="F160" s="6" t="s">
        <v>250</v>
      </c>
    </row>
    <row r="161" customFormat="false" ht="15" hidden="false" customHeight="false" outlineLevel="0" collapsed="false">
      <c r="A161" s="6" t="s">
        <v>249</v>
      </c>
      <c r="B161" s="6" t="s">
        <v>67</v>
      </c>
      <c r="C161" s="7" t="n">
        <v>12</v>
      </c>
      <c r="D161" s="7" t="s">
        <v>191</v>
      </c>
      <c r="E161" s="7" t="s">
        <v>161</v>
      </c>
      <c r="F161" s="6" t="s">
        <v>250</v>
      </c>
    </row>
    <row r="162" customFormat="false" ht="15" hidden="false" customHeight="false" outlineLevel="0" collapsed="false">
      <c r="A162" s="6" t="s">
        <v>249</v>
      </c>
      <c r="B162" s="6" t="s">
        <v>86</v>
      </c>
      <c r="C162" s="7" t="n">
        <v>3</v>
      </c>
      <c r="D162" s="7" t="s">
        <v>160</v>
      </c>
      <c r="E162" s="7" t="s">
        <v>161</v>
      </c>
      <c r="F162" s="6" t="s">
        <v>250</v>
      </c>
    </row>
    <row r="163" customFormat="false" ht="15" hidden="false" customHeight="false" outlineLevel="0" collapsed="false">
      <c r="A163" s="6" t="s">
        <v>249</v>
      </c>
      <c r="B163" s="6" t="s">
        <v>58</v>
      </c>
      <c r="C163" s="7" t="n">
        <v>4</v>
      </c>
      <c r="D163" s="7" t="s">
        <v>160</v>
      </c>
      <c r="E163" s="7" t="s">
        <v>161</v>
      </c>
      <c r="F163" s="6" t="s">
        <v>250</v>
      </c>
    </row>
  </sheetData>
  <autoFilter ref="A4:F1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12"/>
    <col collapsed="false" customWidth="true" hidden="false" outlineLevel="0" max="7" min="7" style="0" width="60"/>
    <col collapsed="false" customWidth="true" hidden="false" outlineLevel="0" max="9" min="8" style="0" width="12"/>
  </cols>
  <sheetData>
    <row r="1" customFormat="false" ht="17.35" hidden="false" customHeight="false" outlineLevel="0" collapsed="false">
      <c r="A1" s="1" t="s">
        <v>251</v>
      </c>
    </row>
    <row r="2" customFormat="false" ht="15" hidden="false" customHeight="false" outlineLevel="0" collapsed="false">
      <c r="A2" s="4" t="s">
        <v>252</v>
      </c>
    </row>
    <row r="4" customFormat="false" ht="42" hidden="false" customHeight="true" outlineLevel="0" collapsed="false">
      <c r="A4" s="5" t="s">
        <v>253</v>
      </c>
      <c r="B4" s="5" t="s">
        <v>254</v>
      </c>
      <c r="C4" s="5" t="s">
        <v>255</v>
      </c>
      <c r="D4" s="5" t="s">
        <v>256</v>
      </c>
      <c r="E4" s="5" t="s">
        <v>257</v>
      </c>
      <c r="F4" s="5" t="s">
        <v>13</v>
      </c>
      <c r="G4" s="5" t="s">
        <v>258</v>
      </c>
      <c r="H4" s="5" t="s">
        <v>259</v>
      </c>
      <c r="I4" s="5" t="s">
        <v>260</v>
      </c>
    </row>
    <row r="5" customFormat="false" ht="15" hidden="false" customHeight="false" outlineLevel="0" collapsed="false">
      <c r="A5" s="6" t="n">
        <v>1</v>
      </c>
      <c r="B5" s="6" t="s">
        <v>261</v>
      </c>
      <c r="C5" s="6" t="s">
        <v>262</v>
      </c>
      <c r="D5" s="7" t="n">
        <v>600</v>
      </c>
      <c r="E5" s="6" t="s">
        <v>263</v>
      </c>
      <c r="F5" s="7" t="n">
        <v>1</v>
      </c>
      <c r="G5" s="9"/>
      <c r="H5" s="6" t="n">
        <f aca="false">COUNTIF(Service_Consumables!$A$5:$A$856,$A5)</f>
        <v>10</v>
      </c>
      <c r="I5" s="6" t="n">
        <f aca="false">COUNTIFS(Service_Consumables!$A$5:$A$856,$A5,Service_Consumables!$H$5:$H$856,"Auto-deduct")</f>
        <v>10</v>
      </c>
    </row>
    <row r="6" customFormat="false" ht="15" hidden="false" customHeight="false" outlineLevel="0" collapsed="false">
      <c r="A6" s="6" t="n">
        <v>2</v>
      </c>
      <c r="B6" s="6" t="s">
        <v>261</v>
      </c>
      <c r="C6" s="6" t="s">
        <v>264</v>
      </c>
      <c r="D6" s="7" t="n">
        <v>800</v>
      </c>
      <c r="E6" s="6" t="s">
        <v>263</v>
      </c>
      <c r="F6" s="7" t="n">
        <v>1</v>
      </c>
      <c r="G6" s="9"/>
      <c r="H6" s="6" t="n">
        <f aca="false">COUNTIF(Service_Consumables!$A$5:$A$856,$A6)</f>
        <v>10</v>
      </c>
      <c r="I6" s="6" t="n">
        <f aca="false">COUNTIFS(Service_Consumables!$A$5:$A$856,$A6,Service_Consumables!$H$5:$H$856,"Auto-deduct")</f>
        <v>10</v>
      </c>
    </row>
    <row r="7" customFormat="false" ht="15" hidden="false" customHeight="false" outlineLevel="0" collapsed="false">
      <c r="A7" s="6" t="n">
        <v>3</v>
      </c>
      <c r="B7" s="6" t="s">
        <v>261</v>
      </c>
      <c r="C7" s="6" t="s">
        <v>265</v>
      </c>
      <c r="D7" s="7" t="n">
        <v>1300</v>
      </c>
      <c r="E7" s="6" t="s">
        <v>263</v>
      </c>
      <c r="F7" s="7" t="n">
        <v>1</v>
      </c>
      <c r="G7" s="9"/>
      <c r="H7" s="6" t="n">
        <f aca="false">COUNTIF(Service_Consumables!$A$5:$A$856,$A7)</f>
        <v>10</v>
      </c>
      <c r="I7" s="6" t="n">
        <f aca="false">COUNTIFS(Service_Consumables!$A$5:$A$856,$A7,Service_Consumables!$H$5:$H$856,"Auto-deduct")</f>
        <v>10</v>
      </c>
    </row>
    <row r="8" customFormat="false" ht="15" hidden="false" customHeight="false" outlineLevel="0" collapsed="false">
      <c r="A8" s="6" t="n">
        <v>4</v>
      </c>
      <c r="B8" s="6" t="s">
        <v>261</v>
      </c>
      <c r="C8" s="6" t="s">
        <v>266</v>
      </c>
      <c r="D8" s="7" t="n">
        <v>1700</v>
      </c>
      <c r="E8" s="6" t="s">
        <v>263</v>
      </c>
      <c r="F8" s="7" t="n">
        <v>1</v>
      </c>
      <c r="G8" s="9"/>
      <c r="H8" s="6" t="n">
        <f aca="false">COUNTIF(Service_Consumables!$A$5:$A$856,$A8)</f>
        <v>10</v>
      </c>
      <c r="I8" s="6" t="n">
        <f aca="false">COUNTIFS(Service_Consumables!$A$5:$A$856,$A8,Service_Consumables!$H$5:$H$856,"Auto-deduct")</f>
        <v>10</v>
      </c>
    </row>
    <row r="9" customFormat="false" ht="15" hidden="false" customHeight="false" outlineLevel="0" collapsed="false">
      <c r="A9" s="6" t="n">
        <v>5</v>
      </c>
      <c r="B9" s="6" t="s">
        <v>261</v>
      </c>
      <c r="C9" s="6" t="s">
        <v>267</v>
      </c>
      <c r="D9" s="7" t="n">
        <v>350</v>
      </c>
      <c r="E9" s="6" t="s">
        <v>263</v>
      </c>
      <c r="F9" s="7" t="n">
        <v>1</v>
      </c>
      <c r="G9" s="9" t="s">
        <v>268</v>
      </c>
      <c r="H9" s="6" t="n">
        <f aca="false">COUNTIF(Service_Consumables!$A$5:$A$856,$A9)</f>
        <v>10</v>
      </c>
      <c r="I9" s="6" t="n">
        <f aca="false">COUNTIFS(Service_Consumables!$A$5:$A$856,$A9,Service_Consumables!$H$5:$H$856,"Auto-deduct")</f>
        <v>10</v>
      </c>
    </row>
    <row r="10" customFormat="false" ht="15" hidden="false" customHeight="false" outlineLevel="0" collapsed="false">
      <c r="A10" s="6" t="n">
        <v>6</v>
      </c>
      <c r="B10" s="6" t="s">
        <v>261</v>
      </c>
      <c r="C10" s="6" t="s">
        <v>269</v>
      </c>
      <c r="D10" s="7" t="n">
        <v>500</v>
      </c>
      <c r="E10" s="6" t="s">
        <v>270</v>
      </c>
      <c r="F10" s="7" t="n">
        <v>1</v>
      </c>
      <c r="G10" s="9"/>
      <c r="H10" s="6" t="n">
        <f aca="false">COUNTIF(Service_Consumables!$A$5:$A$856,$A10)</f>
        <v>8</v>
      </c>
      <c r="I10" s="6" t="n">
        <f aca="false">COUNTIFS(Service_Consumables!$A$5:$A$856,$A10,Service_Consumables!$H$5:$H$856,"Auto-deduct")</f>
        <v>8</v>
      </c>
    </row>
    <row r="11" customFormat="false" ht="15" hidden="false" customHeight="false" outlineLevel="0" collapsed="false">
      <c r="A11" s="6" t="n">
        <v>7</v>
      </c>
      <c r="B11" s="6" t="s">
        <v>271</v>
      </c>
      <c r="C11" s="6" t="s">
        <v>272</v>
      </c>
      <c r="D11" s="7" t="n">
        <v>200</v>
      </c>
      <c r="E11" s="6" t="s">
        <v>273</v>
      </c>
      <c r="F11" s="7" t="n">
        <v>1</v>
      </c>
      <c r="G11" s="9"/>
      <c r="H11" s="6" t="n">
        <f aca="false">COUNTIF(Service_Consumables!$A$5:$A$856,$A11)</f>
        <v>7</v>
      </c>
      <c r="I11" s="6" t="n">
        <f aca="false">COUNTIFS(Service_Consumables!$A$5:$A$856,$A11,Service_Consumables!$H$5:$H$856,"Auto-deduct")</f>
        <v>7</v>
      </c>
    </row>
    <row r="12" customFormat="false" ht="15" hidden="false" customHeight="false" outlineLevel="0" collapsed="false">
      <c r="A12" s="6" t="n">
        <v>8</v>
      </c>
      <c r="B12" s="6" t="s">
        <v>271</v>
      </c>
      <c r="C12" s="6" t="s">
        <v>274</v>
      </c>
      <c r="D12" s="7" t="n">
        <v>200</v>
      </c>
      <c r="E12" s="6" t="s">
        <v>273</v>
      </c>
      <c r="F12" s="7" t="n">
        <v>1</v>
      </c>
      <c r="G12" s="9"/>
      <c r="H12" s="6" t="n">
        <f aca="false">COUNTIF(Service_Consumables!$A$5:$A$856,$A12)</f>
        <v>7</v>
      </c>
      <c r="I12" s="6" t="n">
        <f aca="false">COUNTIFS(Service_Consumables!$A$5:$A$856,$A12,Service_Consumables!$H$5:$H$856,"Auto-deduct")</f>
        <v>7</v>
      </c>
    </row>
    <row r="13" customFormat="false" ht="15" hidden="false" customHeight="false" outlineLevel="0" collapsed="false">
      <c r="A13" s="6" t="n">
        <v>9</v>
      </c>
      <c r="B13" s="6" t="s">
        <v>271</v>
      </c>
      <c r="C13" s="6" t="s">
        <v>275</v>
      </c>
      <c r="D13" s="7" t="n">
        <v>200</v>
      </c>
      <c r="E13" s="6" t="s">
        <v>273</v>
      </c>
      <c r="F13" s="7" t="n">
        <v>1</v>
      </c>
      <c r="G13" s="9"/>
      <c r="H13" s="6" t="n">
        <f aca="false">COUNTIF(Service_Consumables!$A$5:$A$856,$A13)</f>
        <v>7</v>
      </c>
      <c r="I13" s="6" t="n">
        <f aca="false">COUNTIFS(Service_Consumables!$A$5:$A$856,$A13,Service_Consumables!$H$5:$H$856,"Auto-deduct")</f>
        <v>7</v>
      </c>
    </row>
    <row r="14" customFormat="false" ht="15" hidden="false" customHeight="false" outlineLevel="0" collapsed="false">
      <c r="A14" s="6" t="n">
        <v>10</v>
      </c>
      <c r="B14" s="6" t="s">
        <v>271</v>
      </c>
      <c r="C14" s="6" t="s">
        <v>276</v>
      </c>
      <c r="D14" s="7" t="n">
        <v>500</v>
      </c>
      <c r="E14" s="6" t="s">
        <v>273</v>
      </c>
      <c r="F14" s="7" t="n">
        <v>2.5</v>
      </c>
      <c r="G14" s="9" t="s">
        <v>277</v>
      </c>
      <c r="H14" s="6" t="n">
        <f aca="false">COUNTIF(Service_Consumables!$A$5:$A$856,$A14)</f>
        <v>7</v>
      </c>
      <c r="I14" s="6" t="n">
        <f aca="false">COUNTIFS(Service_Consumables!$A$5:$A$856,$A14,Service_Consumables!$H$5:$H$856,"Auto-deduct")</f>
        <v>7</v>
      </c>
    </row>
    <row r="15" customFormat="false" ht="15" hidden="false" customHeight="false" outlineLevel="0" collapsed="false">
      <c r="A15" s="6" t="n">
        <v>11</v>
      </c>
      <c r="B15" s="6" t="s">
        <v>278</v>
      </c>
      <c r="C15" s="6" t="s">
        <v>279</v>
      </c>
      <c r="D15" s="7" t="n">
        <v>2000</v>
      </c>
      <c r="E15" s="6" t="s">
        <v>280</v>
      </c>
      <c r="F15" s="7" t="n">
        <v>1</v>
      </c>
      <c r="G15" s="9"/>
      <c r="H15" s="6" t="n">
        <f aca="false">COUNTIF(Service_Consumables!$A$5:$A$856,$A15)</f>
        <v>10</v>
      </c>
      <c r="I15" s="6" t="n">
        <f aca="false">COUNTIFS(Service_Consumables!$A$5:$A$856,$A15,Service_Consumables!$H$5:$H$856,"Auto-deduct")</f>
        <v>8</v>
      </c>
    </row>
    <row r="16" customFormat="false" ht="15" hidden="false" customHeight="false" outlineLevel="0" collapsed="false">
      <c r="A16" s="6" t="n">
        <v>12</v>
      </c>
      <c r="B16" s="6" t="s">
        <v>278</v>
      </c>
      <c r="C16" s="6" t="s">
        <v>281</v>
      </c>
      <c r="D16" s="7" t="n">
        <v>2000</v>
      </c>
      <c r="E16" s="6" t="s">
        <v>282</v>
      </c>
      <c r="F16" s="7" t="n">
        <v>1</v>
      </c>
      <c r="G16" s="9"/>
      <c r="H16" s="6" t="n">
        <f aca="false">COUNTIF(Service_Consumables!$A$5:$A$856,$A16)</f>
        <v>11</v>
      </c>
      <c r="I16" s="6" t="n">
        <f aca="false">COUNTIFS(Service_Consumables!$A$5:$A$856,$A16,Service_Consumables!$H$5:$H$856,"Auto-deduct")</f>
        <v>10</v>
      </c>
    </row>
    <row r="17" customFormat="false" ht="15" hidden="false" customHeight="false" outlineLevel="0" collapsed="false">
      <c r="A17" s="6" t="n">
        <v>13</v>
      </c>
      <c r="B17" s="6" t="s">
        <v>278</v>
      </c>
      <c r="C17" s="6" t="s">
        <v>283</v>
      </c>
      <c r="D17" s="7" t="n">
        <v>2000</v>
      </c>
      <c r="E17" s="6" t="s">
        <v>284</v>
      </c>
      <c r="F17" s="7" t="n">
        <v>1</v>
      </c>
      <c r="G17" s="9"/>
      <c r="H17" s="6" t="n">
        <f aca="false">COUNTIF(Service_Consumables!$A$5:$A$856,$A17)</f>
        <v>10</v>
      </c>
      <c r="I17" s="6" t="n">
        <f aca="false">COUNTIFS(Service_Consumables!$A$5:$A$856,$A17,Service_Consumables!$H$5:$H$856,"Auto-deduct")</f>
        <v>10</v>
      </c>
    </row>
    <row r="18" customFormat="false" ht="15" hidden="false" customHeight="false" outlineLevel="0" collapsed="false">
      <c r="A18" s="6" t="n">
        <v>14</v>
      </c>
      <c r="B18" s="6" t="s">
        <v>278</v>
      </c>
      <c r="C18" s="6" t="s">
        <v>274</v>
      </c>
      <c r="D18" s="7" t="n">
        <v>2000</v>
      </c>
      <c r="E18" s="6" t="s">
        <v>285</v>
      </c>
      <c r="F18" s="7" t="n">
        <v>0.5</v>
      </c>
      <c r="G18" s="9"/>
      <c r="H18" s="6" t="n">
        <f aca="false">COUNTIF(Service_Consumables!$A$5:$A$856,$A18)</f>
        <v>9</v>
      </c>
      <c r="I18" s="6" t="n">
        <f aca="false">COUNTIFS(Service_Consumables!$A$5:$A$856,$A18,Service_Consumables!$H$5:$H$856,"Auto-deduct")</f>
        <v>9</v>
      </c>
    </row>
    <row r="19" customFormat="false" ht="15" hidden="false" customHeight="false" outlineLevel="0" collapsed="false">
      <c r="A19" s="6" t="n">
        <v>15</v>
      </c>
      <c r="B19" s="6" t="s">
        <v>278</v>
      </c>
      <c r="C19" s="6" t="s">
        <v>286</v>
      </c>
      <c r="D19" s="7" t="n">
        <v>10000</v>
      </c>
      <c r="E19" s="6" t="s">
        <v>287</v>
      </c>
      <c r="F19" s="7" t="n">
        <v>4</v>
      </c>
      <c r="G19" s="9" t="s">
        <v>288</v>
      </c>
      <c r="H19" s="6" t="n">
        <f aca="false">COUNTIF(Service_Consumables!$A$5:$A$856,$A19)</f>
        <v>8</v>
      </c>
      <c r="I19" s="6" t="n">
        <f aca="false">COUNTIFS(Service_Consumables!$A$5:$A$856,$A19,Service_Consumables!$H$5:$H$856,"Auto-deduct")</f>
        <v>8</v>
      </c>
    </row>
    <row r="20" customFormat="false" ht="15" hidden="false" customHeight="false" outlineLevel="0" collapsed="false">
      <c r="A20" s="6" t="n">
        <v>16</v>
      </c>
      <c r="B20" s="6" t="s">
        <v>278</v>
      </c>
      <c r="C20" s="6" t="s">
        <v>289</v>
      </c>
      <c r="D20" s="7" t="n">
        <v>4000</v>
      </c>
      <c r="E20" s="6" t="s">
        <v>282</v>
      </c>
      <c r="F20" s="7" t="n">
        <v>1.5</v>
      </c>
      <c r="G20" s="9"/>
      <c r="H20" s="6" t="n">
        <f aca="false">COUNTIF(Service_Consumables!$A$5:$A$856,$A20)</f>
        <v>11</v>
      </c>
      <c r="I20" s="6" t="n">
        <f aca="false">COUNTIFS(Service_Consumables!$A$5:$A$856,$A20,Service_Consumables!$H$5:$H$856,"Auto-deduct")</f>
        <v>10</v>
      </c>
    </row>
    <row r="21" customFormat="false" ht="15" hidden="false" customHeight="false" outlineLevel="0" collapsed="false">
      <c r="A21" s="6" t="n">
        <v>17</v>
      </c>
      <c r="B21" s="6" t="s">
        <v>278</v>
      </c>
      <c r="C21" s="6" t="s">
        <v>290</v>
      </c>
      <c r="D21" s="7" t="n">
        <v>4000</v>
      </c>
      <c r="E21" s="6" t="s">
        <v>287</v>
      </c>
      <c r="F21" s="7" t="n">
        <v>2</v>
      </c>
      <c r="G21" s="9"/>
      <c r="H21" s="6" t="n">
        <f aca="false">COUNTIF(Service_Consumables!$A$5:$A$856,$A21)</f>
        <v>8</v>
      </c>
      <c r="I21" s="6" t="n">
        <f aca="false">COUNTIFS(Service_Consumables!$A$5:$A$856,$A21,Service_Consumables!$H$5:$H$856,"Auto-deduct")</f>
        <v>8</v>
      </c>
    </row>
    <row r="22" customFormat="false" ht="15" hidden="false" customHeight="false" outlineLevel="0" collapsed="false">
      <c r="A22" s="6" t="n">
        <v>18</v>
      </c>
      <c r="B22" s="6" t="s">
        <v>278</v>
      </c>
      <c r="C22" s="6" t="s">
        <v>291</v>
      </c>
      <c r="D22" s="7" t="n">
        <v>4000</v>
      </c>
      <c r="E22" s="6" t="s">
        <v>287</v>
      </c>
      <c r="F22" s="7" t="n">
        <v>2</v>
      </c>
      <c r="G22" s="9"/>
      <c r="H22" s="6" t="n">
        <f aca="false">COUNTIF(Service_Consumables!$A$5:$A$856,$A22)</f>
        <v>8</v>
      </c>
      <c r="I22" s="6" t="n">
        <f aca="false">COUNTIFS(Service_Consumables!$A$5:$A$856,$A22,Service_Consumables!$H$5:$H$856,"Auto-deduct")</f>
        <v>8</v>
      </c>
    </row>
    <row r="23" customFormat="false" ht="15" hidden="false" customHeight="false" outlineLevel="0" collapsed="false">
      <c r="A23" s="6" t="n">
        <v>19</v>
      </c>
      <c r="B23" s="6" t="s">
        <v>278</v>
      </c>
      <c r="C23" s="6" t="s">
        <v>292</v>
      </c>
      <c r="D23" s="7" t="n">
        <v>4000</v>
      </c>
      <c r="E23" s="6" t="s">
        <v>287</v>
      </c>
      <c r="F23" s="7" t="n">
        <v>2</v>
      </c>
      <c r="G23" s="9"/>
      <c r="H23" s="6" t="n">
        <f aca="false">COUNTIF(Service_Consumables!$A$5:$A$856,$A23)</f>
        <v>8</v>
      </c>
      <c r="I23" s="6" t="n">
        <f aca="false">COUNTIFS(Service_Consumables!$A$5:$A$856,$A23,Service_Consumables!$H$5:$H$856,"Auto-deduct")</f>
        <v>8</v>
      </c>
    </row>
    <row r="24" customFormat="false" ht="15" hidden="false" customHeight="false" outlineLevel="0" collapsed="false">
      <c r="A24" s="6" t="n">
        <v>20</v>
      </c>
      <c r="B24" s="6" t="s">
        <v>293</v>
      </c>
      <c r="C24" s="6" t="s">
        <v>294</v>
      </c>
      <c r="D24" s="7" t="n">
        <v>3000</v>
      </c>
      <c r="E24" s="6" t="s">
        <v>295</v>
      </c>
      <c r="F24" s="7" t="n">
        <v>1</v>
      </c>
      <c r="G24" s="9" t="s">
        <v>296</v>
      </c>
      <c r="H24" s="6" t="n">
        <f aca="false">COUNTIF(Service_Consumables!$A$5:$A$856,$A24)</f>
        <v>10</v>
      </c>
      <c r="I24" s="6" t="n">
        <f aca="false">COUNTIFS(Service_Consumables!$A$5:$A$856,$A24,Service_Consumables!$H$5:$H$856,"Auto-deduct")</f>
        <v>9</v>
      </c>
    </row>
    <row r="25" customFormat="false" ht="15" hidden="false" customHeight="false" outlineLevel="0" collapsed="false">
      <c r="A25" s="6" t="n">
        <v>21</v>
      </c>
      <c r="B25" s="6" t="s">
        <v>297</v>
      </c>
      <c r="C25" s="6" t="s">
        <v>298</v>
      </c>
      <c r="D25" s="7" t="n">
        <v>299</v>
      </c>
      <c r="E25" s="6" t="s">
        <v>299</v>
      </c>
      <c r="F25" s="7" t="n">
        <v>1</v>
      </c>
      <c r="G25" s="9"/>
      <c r="H25" s="6" t="n">
        <f aca="false">COUNTIF(Service_Consumables!$A$5:$A$856,$A25)</f>
        <v>6</v>
      </c>
      <c r="I25" s="6" t="n">
        <f aca="false">COUNTIFS(Service_Consumables!$A$5:$A$856,$A25,Service_Consumables!$H$5:$H$856,"Auto-deduct")</f>
        <v>6</v>
      </c>
    </row>
    <row r="26" customFormat="false" ht="15" hidden="false" customHeight="false" outlineLevel="0" collapsed="false">
      <c r="A26" s="6" t="n">
        <v>22</v>
      </c>
      <c r="B26" s="6" t="s">
        <v>297</v>
      </c>
      <c r="C26" s="6" t="s">
        <v>300</v>
      </c>
      <c r="D26" s="7" t="n">
        <v>349</v>
      </c>
      <c r="E26" s="6" t="s">
        <v>299</v>
      </c>
      <c r="F26" s="7" t="n">
        <v>1</v>
      </c>
      <c r="G26" s="9"/>
      <c r="H26" s="6" t="n">
        <f aca="false">COUNTIF(Service_Consumables!$A$5:$A$856,$A26)</f>
        <v>6</v>
      </c>
      <c r="I26" s="6" t="n">
        <f aca="false">COUNTIFS(Service_Consumables!$A$5:$A$856,$A26,Service_Consumables!$H$5:$H$856,"Auto-deduct")</f>
        <v>6</v>
      </c>
    </row>
    <row r="27" customFormat="false" ht="15" hidden="false" customHeight="false" outlineLevel="0" collapsed="false">
      <c r="A27" s="6" t="n">
        <v>23</v>
      </c>
      <c r="B27" s="6" t="s">
        <v>297</v>
      </c>
      <c r="C27" s="6" t="s">
        <v>301</v>
      </c>
      <c r="D27" s="7" t="n">
        <v>599</v>
      </c>
      <c r="E27" s="6" t="s">
        <v>299</v>
      </c>
      <c r="F27" s="7" t="n">
        <v>2</v>
      </c>
      <c r="G27" s="9"/>
      <c r="H27" s="6" t="n">
        <f aca="false">COUNTIF(Service_Consumables!$A$5:$A$856,$A27)</f>
        <v>6</v>
      </c>
      <c r="I27" s="6" t="n">
        <f aca="false">COUNTIFS(Service_Consumables!$A$5:$A$856,$A27,Service_Consumables!$H$5:$H$856,"Auto-deduct")</f>
        <v>6</v>
      </c>
    </row>
    <row r="28" customFormat="false" ht="15" hidden="false" customHeight="false" outlineLevel="0" collapsed="false">
      <c r="A28" s="6" t="n">
        <v>24</v>
      </c>
      <c r="B28" s="6" t="s">
        <v>302</v>
      </c>
      <c r="C28" s="6" t="s">
        <v>303</v>
      </c>
      <c r="D28" s="7" t="n">
        <v>399</v>
      </c>
      <c r="E28" s="6" t="s">
        <v>304</v>
      </c>
      <c r="F28" s="7" t="n">
        <v>1</v>
      </c>
      <c r="G28" s="9"/>
      <c r="H28" s="6" t="n">
        <f aca="false">COUNTIF(Service_Consumables!$A$5:$A$856,$A28)</f>
        <v>7</v>
      </c>
      <c r="I28" s="6" t="n">
        <f aca="false">COUNTIFS(Service_Consumables!$A$5:$A$856,$A28,Service_Consumables!$H$5:$H$856,"Auto-deduct")</f>
        <v>7</v>
      </c>
    </row>
    <row r="29" customFormat="false" ht="15" hidden="false" customHeight="false" outlineLevel="0" collapsed="false">
      <c r="A29" s="6" t="n">
        <v>25</v>
      </c>
      <c r="B29" s="6" t="s">
        <v>302</v>
      </c>
      <c r="C29" s="6" t="s">
        <v>210</v>
      </c>
      <c r="D29" s="7" t="n">
        <v>299</v>
      </c>
      <c r="E29" s="6" t="s">
        <v>305</v>
      </c>
      <c r="F29" s="7" t="n">
        <v>1</v>
      </c>
      <c r="G29" s="9"/>
      <c r="H29" s="6" t="n">
        <f aca="false">COUNTIF(Service_Consumables!$A$5:$A$856,$A29)</f>
        <v>9</v>
      </c>
      <c r="I29" s="6" t="n">
        <f aca="false">COUNTIFS(Service_Consumables!$A$5:$A$856,$A29,Service_Consumables!$H$5:$H$856,"Auto-deduct")</f>
        <v>9</v>
      </c>
    </row>
    <row r="30" customFormat="false" ht="15" hidden="false" customHeight="false" outlineLevel="0" collapsed="false">
      <c r="A30" s="6" t="n">
        <v>26</v>
      </c>
      <c r="B30" s="6" t="s">
        <v>302</v>
      </c>
      <c r="C30" s="6" t="s">
        <v>306</v>
      </c>
      <c r="D30" s="7" t="n">
        <v>649</v>
      </c>
      <c r="E30" s="6" t="s">
        <v>307</v>
      </c>
      <c r="F30" s="7" t="n">
        <v>1</v>
      </c>
      <c r="G30" s="9"/>
      <c r="H30" s="6" t="n">
        <f aca="false">COUNTIF(Service_Consumables!$A$5:$A$856,$A30)</f>
        <v>13</v>
      </c>
      <c r="I30" s="6" t="n">
        <f aca="false">COUNTIFS(Service_Consumables!$A$5:$A$856,$A30,Service_Consumables!$H$5:$H$856,"Auto-deduct")</f>
        <v>13</v>
      </c>
    </row>
    <row r="31" customFormat="false" ht="23.85" hidden="false" customHeight="false" outlineLevel="0" collapsed="false">
      <c r="A31" s="6" t="n">
        <v>27</v>
      </c>
      <c r="B31" s="6" t="s">
        <v>302</v>
      </c>
      <c r="C31" s="6" t="s">
        <v>308</v>
      </c>
      <c r="D31" s="7" t="n">
        <v>799</v>
      </c>
      <c r="E31" s="6" t="s">
        <v>309</v>
      </c>
      <c r="F31" s="7" t="n">
        <v>1</v>
      </c>
      <c r="G31" s="9" t="s">
        <v>310</v>
      </c>
      <c r="H31" s="6" t="n">
        <f aca="false">COUNTIF(Service_Consumables!$A$5:$A$856,$A31)</f>
        <v>15</v>
      </c>
      <c r="I31" s="6" t="n">
        <f aca="false">COUNTIFS(Service_Consumables!$A$5:$A$856,$A31,Service_Consumables!$H$5:$H$856,"Auto-deduct")</f>
        <v>15</v>
      </c>
    </row>
    <row r="32" customFormat="false" ht="15" hidden="false" customHeight="false" outlineLevel="0" collapsed="false">
      <c r="A32" s="6" t="n">
        <v>28</v>
      </c>
      <c r="B32" s="6" t="s">
        <v>311</v>
      </c>
      <c r="C32" s="6" t="s">
        <v>312</v>
      </c>
      <c r="D32" s="7" t="n">
        <v>3000</v>
      </c>
      <c r="E32" s="6" t="s">
        <v>313</v>
      </c>
      <c r="F32" s="7" t="n">
        <v>1</v>
      </c>
      <c r="G32" s="9"/>
      <c r="H32" s="6" t="n">
        <f aca="false">COUNTIF(Service_Consumables!$A$5:$A$856,$A32)</f>
        <v>9</v>
      </c>
      <c r="I32" s="6" t="n">
        <f aca="false">COUNTIFS(Service_Consumables!$A$5:$A$856,$A32,Service_Consumables!$H$5:$H$856,"Auto-deduct")</f>
        <v>9</v>
      </c>
    </row>
    <row r="33" customFormat="false" ht="15" hidden="false" customHeight="false" outlineLevel="0" collapsed="false">
      <c r="A33" s="6" t="n">
        <v>29</v>
      </c>
      <c r="B33" s="6" t="s">
        <v>311</v>
      </c>
      <c r="C33" s="6" t="s">
        <v>314</v>
      </c>
      <c r="D33" s="7" t="n">
        <v>3000</v>
      </c>
      <c r="E33" s="6" t="s">
        <v>313</v>
      </c>
      <c r="F33" s="7" t="n">
        <v>1</v>
      </c>
      <c r="G33" s="9"/>
      <c r="H33" s="6" t="n">
        <f aca="false">COUNTIF(Service_Consumables!$A$5:$A$856,$A33)</f>
        <v>9</v>
      </c>
      <c r="I33" s="6" t="n">
        <f aca="false">COUNTIFS(Service_Consumables!$A$5:$A$856,$A33,Service_Consumables!$H$5:$H$856,"Auto-deduct")</f>
        <v>9</v>
      </c>
    </row>
    <row r="34" customFormat="false" ht="15" hidden="false" customHeight="false" outlineLevel="0" collapsed="false">
      <c r="A34" s="6" t="n">
        <v>30</v>
      </c>
      <c r="B34" s="6" t="s">
        <v>311</v>
      </c>
      <c r="C34" s="6" t="s">
        <v>315</v>
      </c>
      <c r="D34" s="7" t="n">
        <v>3000</v>
      </c>
      <c r="E34" s="6" t="s">
        <v>313</v>
      </c>
      <c r="F34" s="7" t="n">
        <v>1</v>
      </c>
      <c r="G34" s="9"/>
      <c r="H34" s="6" t="n">
        <f aca="false">COUNTIF(Service_Consumables!$A$5:$A$856,$A34)</f>
        <v>9</v>
      </c>
      <c r="I34" s="6" t="n">
        <f aca="false">COUNTIFS(Service_Consumables!$A$5:$A$856,$A34,Service_Consumables!$H$5:$H$856,"Auto-deduct")</f>
        <v>9</v>
      </c>
    </row>
    <row r="35" customFormat="false" ht="15" hidden="false" customHeight="false" outlineLevel="0" collapsed="false">
      <c r="A35" s="6" t="n">
        <v>31</v>
      </c>
      <c r="B35" s="6" t="s">
        <v>311</v>
      </c>
      <c r="C35" s="6" t="s">
        <v>316</v>
      </c>
      <c r="D35" s="7" t="n">
        <v>3000</v>
      </c>
      <c r="E35" s="6" t="s">
        <v>317</v>
      </c>
      <c r="F35" s="7" t="n">
        <v>1</v>
      </c>
      <c r="G35" s="9"/>
      <c r="H35" s="6" t="n">
        <f aca="false">COUNTIF(Service_Consumables!$A$5:$A$856,$A35)</f>
        <v>11</v>
      </c>
      <c r="I35" s="6" t="n">
        <f aca="false">COUNTIFS(Service_Consumables!$A$5:$A$856,$A35,Service_Consumables!$H$5:$H$856,"Auto-deduct")</f>
        <v>9</v>
      </c>
    </row>
    <row r="36" customFormat="false" ht="15" hidden="false" customHeight="false" outlineLevel="0" collapsed="false">
      <c r="A36" s="6" t="n">
        <v>32</v>
      </c>
      <c r="B36" s="6" t="s">
        <v>311</v>
      </c>
      <c r="C36" s="6" t="s">
        <v>318</v>
      </c>
      <c r="D36" s="7" t="n">
        <v>4000</v>
      </c>
      <c r="E36" s="6" t="s">
        <v>313</v>
      </c>
      <c r="F36" s="7" t="n">
        <v>1</v>
      </c>
      <c r="G36" s="9"/>
      <c r="H36" s="6" t="n">
        <f aca="false">COUNTIF(Service_Consumables!$A$5:$A$856,$A36)</f>
        <v>9</v>
      </c>
      <c r="I36" s="6" t="n">
        <f aca="false">COUNTIFS(Service_Consumables!$A$5:$A$856,$A36,Service_Consumables!$H$5:$H$856,"Auto-deduct")</f>
        <v>9</v>
      </c>
    </row>
    <row r="37" customFormat="false" ht="15" hidden="false" customHeight="false" outlineLevel="0" collapsed="false">
      <c r="A37" s="6" t="n">
        <v>33</v>
      </c>
      <c r="B37" s="6" t="s">
        <v>311</v>
      </c>
      <c r="C37" s="6" t="s">
        <v>319</v>
      </c>
      <c r="D37" s="7" t="n">
        <v>2000</v>
      </c>
      <c r="E37" s="6" t="s">
        <v>320</v>
      </c>
      <c r="F37" s="7" t="n">
        <v>1</v>
      </c>
      <c r="G37" s="9"/>
      <c r="H37" s="6" t="n">
        <f aca="false">COUNTIF(Service_Consumables!$A$5:$A$856,$A37)</f>
        <v>10</v>
      </c>
      <c r="I37" s="6" t="n">
        <f aca="false">COUNTIFS(Service_Consumables!$A$5:$A$856,$A37,Service_Consumables!$H$5:$H$856,"Auto-deduct")</f>
        <v>9</v>
      </c>
    </row>
    <row r="38" customFormat="false" ht="15" hidden="false" customHeight="false" outlineLevel="0" collapsed="false">
      <c r="A38" s="6" t="n">
        <v>34</v>
      </c>
      <c r="B38" s="6" t="s">
        <v>311</v>
      </c>
      <c r="C38" s="6" t="s">
        <v>321</v>
      </c>
      <c r="D38" s="7" t="n">
        <v>1000</v>
      </c>
      <c r="E38" s="6" t="s">
        <v>322</v>
      </c>
      <c r="F38" s="7" t="n">
        <v>1</v>
      </c>
      <c r="G38" s="9"/>
      <c r="H38" s="6" t="n">
        <f aca="false">COUNTIF(Service_Consumables!$A$5:$A$856,$A38)</f>
        <v>9</v>
      </c>
      <c r="I38" s="6" t="n">
        <f aca="false">COUNTIFS(Service_Consumables!$A$5:$A$856,$A38,Service_Consumables!$H$5:$H$856,"Auto-deduct")</f>
        <v>8</v>
      </c>
    </row>
    <row r="39" customFormat="false" ht="15" hidden="false" customHeight="false" outlineLevel="0" collapsed="false">
      <c r="A39" s="6" t="n">
        <v>35</v>
      </c>
      <c r="B39" s="6" t="s">
        <v>311</v>
      </c>
      <c r="C39" s="6" t="s">
        <v>323</v>
      </c>
      <c r="D39" s="7" t="n">
        <v>4500</v>
      </c>
      <c r="E39" s="6" t="s">
        <v>313</v>
      </c>
      <c r="F39" s="7" t="n">
        <v>1</v>
      </c>
      <c r="G39" s="9"/>
      <c r="H39" s="6" t="n">
        <f aca="false">COUNTIF(Service_Consumables!$A$5:$A$856,$A39)</f>
        <v>9</v>
      </c>
      <c r="I39" s="6" t="n">
        <f aca="false">COUNTIFS(Service_Consumables!$A$5:$A$856,$A39,Service_Consumables!$H$5:$H$856,"Auto-deduct")</f>
        <v>9</v>
      </c>
    </row>
    <row r="40" customFormat="false" ht="15" hidden="false" customHeight="false" outlineLevel="0" collapsed="false">
      <c r="A40" s="6" t="n">
        <v>36</v>
      </c>
      <c r="B40" s="6" t="s">
        <v>324</v>
      </c>
      <c r="C40" s="6" t="s">
        <v>283</v>
      </c>
      <c r="D40" s="7" t="n">
        <v>3000</v>
      </c>
      <c r="E40" s="6" t="s">
        <v>325</v>
      </c>
      <c r="F40" s="7" t="n">
        <v>1</v>
      </c>
      <c r="G40" s="9"/>
      <c r="H40" s="6" t="n">
        <f aca="false">COUNTIF(Service_Consumables!$A$5:$A$856,$A40)</f>
        <v>15</v>
      </c>
      <c r="I40" s="6" t="n">
        <f aca="false">COUNTIFS(Service_Consumables!$A$5:$A$856,$A40,Service_Consumables!$H$5:$H$856,"Auto-deduct")</f>
        <v>15</v>
      </c>
    </row>
    <row r="41" customFormat="false" ht="15" hidden="false" customHeight="false" outlineLevel="0" collapsed="false">
      <c r="A41" s="6" t="n">
        <v>37</v>
      </c>
      <c r="B41" s="6" t="s">
        <v>324</v>
      </c>
      <c r="C41" s="6" t="s">
        <v>326</v>
      </c>
      <c r="D41" s="7" t="n">
        <v>3000</v>
      </c>
      <c r="E41" s="6" t="s">
        <v>327</v>
      </c>
      <c r="F41" s="7" t="n">
        <v>1</v>
      </c>
      <c r="G41" s="9"/>
      <c r="H41" s="6" t="n">
        <f aca="false">COUNTIF(Service_Consumables!$A$5:$A$856,$A41)</f>
        <v>18</v>
      </c>
      <c r="I41" s="6" t="n">
        <f aca="false">COUNTIFS(Service_Consumables!$A$5:$A$856,$A41,Service_Consumables!$H$5:$H$856,"Auto-deduct")</f>
        <v>18</v>
      </c>
    </row>
    <row r="42" customFormat="false" ht="15" hidden="false" customHeight="false" outlineLevel="0" collapsed="false">
      <c r="A42" s="6" t="n">
        <v>38</v>
      </c>
      <c r="B42" s="6" t="s">
        <v>324</v>
      </c>
      <c r="C42" s="6" t="s">
        <v>328</v>
      </c>
      <c r="D42" s="7" t="n">
        <v>5000</v>
      </c>
      <c r="E42" s="6" t="s">
        <v>329</v>
      </c>
      <c r="F42" s="7" t="n">
        <v>1.5</v>
      </c>
      <c r="G42" s="9"/>
      <c r="H42" s="6" t="n">
        <f aca="false">COUNTIF(Service_Consumables!$A$5:$A$856,$A42)</f>
        <v>12</v>
      </c>
      <c r="I42" s="6" t="n">
        <f aca="false">COUNTIFS(Service_Consumables!$A$5:$A$856,$A42,Service_Consumables!$H$5:$H$856,"Auto-deduct")</f>
        <v>12</v>
      </c>
    </row>
    <row r="43" customFormat="false" ht="15" hidden="false" customHeight="false" outlineLevel="0" collapsed="false">
      <c r="A43" s="6" t="n">
        <v>39</v>
      </c>
      <c r="B43" s="6" t="s">
        <v>324</v>
      </c>
      <c r="C43" s="6" t="s">
        <v>330</v>
      </c>
      <c r="D43" s="7" t="n">
        <v>5000</v>
      </c>
      <c r="E43" s="6" t="s">
        <v>329</v>
      </c>
      <c r="F43" s="7" t="n">
        <v>1.5</v>
      </c>
      <c r="G43" s="9"/>
      <c r="H43" s="6" t="n">
        <f aca="false">COUNTIF(Service_Consumables!$A$5:$A$856,$A43)</f>
        <v>12</v>
      </c>
      <c r="I43" s="6" t="n">
        <f aca="false">COUNTIFS(Service_Consumables!$A$5:$A$856,$A43,Service_Consumables!$H$5:$H$856,"Auto-deduct")</f>
        <v>12</v>
      </c>
    </row>
    <row r="44" customFormat="false" ht="15" hidden="false" customHeight="false" outlineLevel="0" collapsed="false">
      <c r="A44" s="6" t="n">
        <v>40</v>
      </c>
      <c r="B44" s="6" t="s">
        <v>324</v>
      </c>
      <c r="C44" s="6" t="s">
        <v>331</v>
      </c>
      <c r="D44" s="7" t="n">
        <v>5000</v>
      </c>
      <c r="E44" s="6" t="s">
        <v>329</v>
      </c>
      <c r="F44" s="7" t="n">
        <v>1.5</v>
      </c>
      <c r="G44" s="9"/>
      <c r="H44" s="6" t="n">
        <f aca="false">COUNTIF(Service_Consumables!$A$5:$A$856,$A44)</f>
        <v>12</v>
      </c>
      <c r="I44" s="6" t="n">
        <f aca="false">COUNTIFS(Service_Consumables!$A$5:$A$856,$A44,Service_Consumables!$H$5:$H$856,"Auto-deduct")</f>
        <v>12</v>
      </c>
    </row>
    <row r="45" customFormat="false" ht="15" hidden="false" customHeight="false" outlineLevel="0" collapsed="false">
      <c r="A45" s="6" t="n">
        <v>41</v>
      </c>
      <c r="B45" s="6" t="s">
        <v>324</v>
      </c>
      <c r="C45" s="6" t="s">
        <v>332</v>
      </c>
      <c r="D45" s="7" t="n">
        <v>30000</v>
      </c>
      <c r="E45" s="6" t="s">
        <v>333</v>
      </c>
      <c r="F45" s="7" t="n">
        <v>6</v>
      </c>
      <c r="G45" s="9"/>
      <c r="H45" s="6" t="n">
        <f aca="false">COUNTIF(Service_Consumables!$A$5:$A$856,$A45)</f>
        <v>17</v>
      </c>
      <c r="I45" s="6" t="n">
        <f aca="false">COUNTIFS(Service_Consumables!$A$5:$A$856,$A45,Service_Consumables!$H$5:$H$856,"Auto-deduct")</f>
        <v>17</v>
      </c>
    </row>
    <row r="46" customFormat="false" ht="15" hidden="false" customHeight="false" outlineLevel="0" collapsed="false">
      <c r="A46" s="6" t="n">
        <v>42</v>
      </c>
      <c r="B46" s="6" t="s">
        <v>334</v>
      </c>
      <c r="C46" s="6" t="s">
        <v>214</v>
      </c>
      <c r="D46" s="7" t="n">
        <v>199</v>
      </c>
      <c r="E46" s="6" t="s">
        <v>335</v>
      </c>
      <c r="F46" s="7" t="n">
        <v>1</v>
      </c>
      <c r="G46" s="9"/>
      <c r="H46" s="6" t="n">
        <f aca="false">COUNTIF(Service_Consumables!$A$5:$A$856,$A46)</f>
        <v>7</v>
      </c>
      <c r="I46" s="6" t="n">
        <f aca="false">COUNTIFS(Service_Consumables!$A$5:$A$856,$A46,Service_Consumables!$H$5:$H$856,"Auto-deduct")</f>
        <v>7</v>
      </c>
    </row>
    <row r="47" customFormat="false" ht="15" hidden="false" customHeight="false" outlineLevel="0" collapsed="false">
      <c r="A47" s="6" t="n">
        <v>43</v>
      </c>
      <c r="B47" s="6" t="s">
        <v>334</v>
      </c>
      <c r="C47" s="6" t="s">
        <v>336</v>
      </c>
      <c r="D47" s="7" t="n">
        <v>650</v>
      </c>
      <c r="E47" s="6" t="s">
        <v>337</v>
      </c>
      <c r="F47" s="7" t="n">
        <v>1</v>
      </c>
      <c r="G47" s="9" t="s">
        <v>338</v>
      </c>
      <c r="H47" s="6" t="n">
        <f aca="false">COUNTIF(Service_Consumables!$A$5:$A$856,$A47)</f>
        <v>10</v>
      </c>
      <c r="I47" s="6" t="n">
        <f aca="false">COUNTIFS(Service_Consumables!$A$5:$A$856,$A47,Service_Consumables!$H$5:$H$856,"Auto-deduct")</f>
        <v>10</v>
      </c>
    </row>
    <row r="48" customFormat="false" ht="15" hidden="false" customHeight="false" outlineLevel="0" collapsed="false">
      <c r="A48" s="6" t="n">
        <v>44</v>
      </c>
      <c r="B48" s="6" t="s">
        <v>339</v>
      </c>
      <c r="C48" s="6" t="s">
        <v>340</v>
      </c>
      <c r="D48" s="7" t="n">
        <v>1300</v>
      </c>
      <c r="E48" s="6" t="s">
        <v>337</v>
      </c>
      <c r="F48" s="7" t="n">
        <v>1</v>
      </c>
      <c r="G48" s="9" t="s">
        <v>341</v>
      </c>
      <c r="H48" s="6" t="n">
        <f aca="false">COUNTIF(Service_Consumables!$A$5:$A$856,$A48)</f>
        <v>10</v>
      </c>
      <c r="I48" s="6" t="n">
        <f aca="false">COUNTIFS(Service_Consumables!$A$5:$A$856,$A48,Service_Consumables!$H$5:$H$856,"Auto-deduct")</f>
        <v>10</v>
      </c>
    </row>
    <row r="49" customFormat="false" ht="15" hidden="false" customHeight="false" outlineLevel="0" collapsed="false">
      <c r="A49" s="6" t="n">
        <v>45</v>
      </c>
      <c r="B49" s="6" t="s">
        <v>339</v>
      </c>
      <c r="C49" s="6" t="s">
        <v>342</v>
      </c>
      <c r="D49" s="7" t="n">
        <v>1500</v>
      </c>
      <c r="E49" s="6" t="s">
        <v>337</v>
      </c>
      <c r="F49" s="7" t="n">
        <v>1.2</v>
      </c>
      <c r="G49" s="9"/>
      <c r="H49" s="6" t="n">
        <f aca="false">COUNTIF(Service_Consumables!$A$5:$A$856,$A49)</f>
        <v>10</v>
      </c>
      <c r="I49" s="6" t="n">
        <f aca="false">COUNTIFS(Service_Consumables!$A$5:$A$856,$A49,Service_Consumables!$H$5:$H$856,"Auto-deduct")</f>
        <v>10</v>
      </c>
    </row>
    <row r="50" customFormat="false" ht="15" hidden="false" customHeight="false" outlineLevel="0" collapsed="false">
      <c r="A50" s="6" t="n">
        <v>46</v>
      </c>
      <c r="B50" s="6" t="s">
        <v>339</v>
      </c>
      <c r="C50" s="6" t="s">
        <v>343</v>
      </c>
      <c r="D50" s="7" t="n">
        <v>1800</v>
      </c>
      <c r="E50" s="6" t="s">
        <v>337</v>
      </c>
      <c r="F50" s="7" t="n">
        <v>1.4</v>
      </c>
      <c r="G50" s="9"/>
      <c r="H50" s="6" t="n">
        <f aca="false">COUNTIF(Service_Consumables!$A$5:$A$856,$A50)</f>
        <v>10</v>
      </c>
      <c r="I50" s="6" t="n">
        <f aca="false">COUNTIFS(Service_Consumables!$A$5:$A$856,$A50,Service_Consumables!$H$5:$H$856,"Auto-deduct")</f>
        <v>10</v>
      </c>
    </row>
    <row r="51" customFormat="false" ht="15" hidden="false" customHeight="false" outlineLevel="0" collapsed="false">
      <c r="A51" s="6" t="n">
        <v>47</v>
      </c>
      <c r="B51" s="6" t="s">
        <v>339</v>
      </c>
      <c r="C51" s="6" t="s">
        <v>344</v>
      </c>
      <c r="D51" s="7" t="s">
        <v>345</v>
      </c>
      <c r="E51" s="6" t="s">
        <v>217</v>
      </c>
      <c r="F51" s="7" t="n">
        <v>1</v>
      </c>
      <c r="G51" s="9" t="s">
        <v>346</v>
      </c>
      <c r="H51" s="6" t="n">
        <f aca="false">COUNTIF(Service_Consumables!$A$5:$A$856,$A51)</f>
        <v>2</v>
      </c>
      <c r="I51" s="6" t="n">
        <f aca="false">COUNTIFS(Service_Consumables!$A$5:$A$856,$A51,Service_Consumables!$H$5:$H$856,"Auto-deduct")</f>
        <v>2</v>
      </c>
    </row>
    <row r="52" customFormat="false" ht="15" hidden="false" customHeight="false" outlineLevel="0" collapsed="false">
      <c r="A52" s="6" t="n">
        <v>48</v>
      </c>
      <c r="B52" s="6" t="s">
        <v>339</v>
      </c>
      <c r="C52" s="6" t="s">
        <v>347</v>
      </c>
      <c r="D52" s="7" t="n">
        <v>500</v>
      </c>
      <c r="E52" s="6" t="s">
        <v>219</v>
      </c>
      <c r="F52" s="7" t="n">
        <v>1</v>
      </c>
      <c r="G52" s="9"/>
      <c r="H52" s="6" t="n">
        <f aca="false">COUNTIF(Service_Consumables!$A$5:$A$856,$A52)</f>
        <v>2</v>
      </c>
      <c r="I52" s="6" t="n">
        <f aca="false">COUNTIFS(Service_Consumables!$A$5:$A$856,$A52,Service_Consumables!$H$5:$H$856,"Auto-deduct")</f>
        <v>2</v>
      </c>
    </row>
    <row r="53" customFormat="false" ht="15" hidden="false" customHeight="false" outlineLevel="0" collapsed="false">
      <c r="A53" s="6" t="n">
        <v>49</v>
      </c>
      <c r="B53" s="6" t="s">
        <v>339</v>
      </c>
      <c r="C53" s="6" t="s">
        <v>348</v>
      </c>
      <c r="D53" s="7" t="s">
        <v>349</v>
      </c>
      <c r="E53" s="6" t="s">
        <v>221</v>
      </c>
      <c r="F53" s="7" t="n">
        <v>1</v>
      </c>
      <c r="G53" s="9"/>
      <c r="H53" s="6" t="n">
        <f aca="false">COUNTIF(Service_Consumables!$A$5:$A$856,$A53)</f>
        <v>1</v>
      </c>
      <c r="I53" s="6" t="n">
        <f aca="false">COUNTIFS(Service_Consumables!$A$5:$A$856,$A53,Service_Consumables!$H$5:$H$856,"Auto-deduct")</f>
        <v>1</v>
      </c>
    </row>
    <row r="54" customFormat="false" ht="15" hidden="false" customHeight="false" outlineLevel="0" collapsed="false">
      <c r="A54" s="6" t="n">
        <v>50</v>
      </c>
      <c r="B54" s="6" t="s">
        <v>339</v>
      </c>
      <c r="C54" s="6" t="s">
        <v>350</v>
      </c>
      <c r="D54" s="7" t="n">
        <v>250</v>
      </c>
      <c r="E54" s="6" t="s">
        <v>223</v>
      </c>
      <c r="F54" s="7" t="n">
        <v>1</v>
      </c>
      <c r="G54" s="9" t="s">
        <v>351</v>
      </c>
      <c r="H54" s="6" t="n">
        <f aca="false">COUNTIF(Service_Consumables!$A$5:$A$856,$A54)</f>
        <v>3</v>
      </c>
      <c r="I54" s="6" t="n">
        <f aca="false">COUNTIFS(Service_Consumables!$A$5:$A$856,$A54,Service_Consumables!$H$5:$H$856,"Auto-deduct")</f>
        <v>3</v>
      </c>
    </row>
    <row r="55" customFormat="false" ht="15" hidden="false" customHeight="false" outlineLevel="0" collapsed="false">
      <c r="A55" s="6" t="n">
        <v>51</v>
      </c>
      <c r="B55" s="6" t="s">
        <v>352</v>
      </c>
      <c r="C55" s="6" t="s">
        <v>353</v>
      </c>
      <c r="D55" s="7" t="n">
        <v>1000</v>
      </c>
      <c r="E55" s="6" t="s">
        <v>354</v>
      </c>
      <c r="F55" s="7" t="n">
        <v>1</v>
      </c>
      <c r="G55" s="9"/>
      <c r="H55" s="6" t="n">
        <f aca="false">COUNTIF(Service_Consumables!$A$5:$A$856,$A55)</f>
        <v>15</v>
      </c>
      <c r="I55" s="6" t="n">
        <f aca="false">COUNTIFS(Service_Consumables!$A$5:$A$856,$A55,Service_Consumables!$H$5:$H$856,"Auto-deduct")</f>
        <v>15</v>
      </c>
    </row>
    <row r="56" customFormat="false" ht="15" hidden="false" customHeight="false" outlineLevel="0" collapsed="false">
      <c r="A56" s="6" t="n">
        <v>52</v>
      </c>
      <c r="B56" s="6" t="s">
        <v>352</v>
      </c>
      <c r="C56" s="6" t="s">
        <v>355</v>
      </c>
      <c r="D56" s="7" t="n">
        <v>1000</v>
      </c>
      <c r="E56" s="6" t="s">
        <v>356</v>
      </c>
      <c r="F56" s="7" t="n">
        <v>1</v>
      </c>
      <c r="G56" s="9"/>
      <c r="H56" s="6" t="n">
        <f aca="false">COUNTIF(Service_Consumables!$A$5:$A$856,$A56)</f>
        <v>12</v>
      </c>
      <c r="I56" s="6" t="n">
        <f aca="false">COUNTIFS(Service_Consumables!$A$5:$A$856,$A56,Service_Consumables!$H$5:$H$856,"Auto-deduct")</f>
        <v>12</v>
      </c>
    </row>
    <row r="57" customFormat="false" ht="23.85" hidden="false" customHeight="false" outlineLevel="0" collapsed="false">
      <c r="A57" s="6" t="n">
        <v>53</v>
      </c>
      <c r="B57" s="6" t="s">
        <v>352</v>
      </c>
      <c r="C57" s="6" t="s">
        <v>357</v>
      </c>
      <c r="D57" s="7" t="n">
        <v>4500</v>
      </c>
      <c r="E57" s="6" t="s">
        <v>358</v>
      </c>
      <c r="F57" s="7" t="n">
        <v>1</v>
      </c>
      <c r="G57" s="9" t="s">
        <v>359</v>
      </c>
      <c r="H57" s="6" t="n">
        <f aca="false">COUNTIF(Service_Consumables!$A$5:$A$856,$A57)</f>
        <v>15</v>
      </c>
      <c r="I57" s="6" t="n">
        <f aca="false">COUNTIFS(Service_Consumables!$A$5:$A$856,$A57,Service_Consumables!$H$5:$H$856,"Auto-deduct")</f>
        <v>15</v>
      </c>
    </row>
    <row r="58" customFormat="false" ht="15" hidden="false" customHeight="false" outlineLevel="0" collapsed="false">
      <c r="A58" s="6" t="n">
        <v>54</v>
      </c>
      <c r="B58" s="6" t="s">
        <v>352</v>
      </c>
      <c r="C58" s="6" t="s">
        <v>360</v>
      </c>
      <c r="D58" s="7" t="n">
        <v>1000</v>
      </c>
      <c r="E58" s="6" t="s">
        <v>361</v>
      </c>
      <c r="F58" s="7" t="n">
        <v>1</v>
      </c>
      <c r="G58" s="9"/>
      <c r="H58" s="6" t="n">
        <f aca="false">COUNTIF(Service_Consumables!$A$5:$A$856,$A58)</f>
        <v>14</v>
      </c>
      <c r="I58" s="6" t="n">
        <f aca="false">COUNTIFS(Service_Consumables!$A$5:$A$856,$A58,Service_Consumables!$H$5:$H$856,"Auto-deduct")</f>
        <v>14</v>
      </c>
    </row>
    <row r="59" customFormat="false" ht="15" hidden="false" customHeight="false" outlineLevel="0" collapsed="false">
      <c r="A59" s="6" t="n">
        <v>55</v>
      </c>
      <c r="B59" s="6" t="s">
        <v>352</v>
      </c>
      <c r="C59" s="6" t="s">
        <v>362</v>
      </c>
      <c r="D59" s="7" t="n">
        <v>1500</v>
      </c>
      <c r="E59" s="6" t="s">
        <v>363</v>
      </c>
      <c r="F59" s="7" t="n">
        <v>1</v>
      </c>
      <c r="G59" s="9"/>
      <c r="H59" s="6" t="n">
        <f aca="false">COUNTIF(Service_Consumables!$A$5:$A$856,$A59)</f>
        <v>16</v>
      </c>
      <c r="I59" s="6" t="n">
        <f aca="false">COUNTIFS(Service_Consumables!$A$5:$A$856,$A59,Service_Consumables!$H$5:$H$856,"Auto-deduct")</f>
        <v>16</v>
      </c>
    </row>
    <row r="60" customFormat="false" ht="15" hidden="false" customHeight="false" outlineLevel="0" collapsed="false">
      <c r="A60" s="6" t="n">
        <v>56</v>
      </c>
      <c r="B60" s="6" t="s">
        <v>352</v>
      </c>
      <c r="C60" s="6" t="s">
        <v>364</v>
      </c>
      <c r="D60" s="7" t="n">
        <v>1500</v>
      </c>
      <c r="E60" s="6" t="s">
        <v>365</v>
      </c>
      <c r="F60" s="7" t="n">
        <v>1</v>
      </c>
      <c r="G60" s="9"/>
      <c r="H60" s="6" t="n">
        <f aca="false">COUNTIF(Service_Consumables!$A$5:$A$856,$A60)</f>
        <v>20</v>
      </c>
      <c r="I60" s="6" t="n">
        <f aca="false">COUNTIFS(Service_Consumables!$A$5:$A$856,$A60,Service_Consumables!$H$5:$H$856,"Auto-deduct")</f>
        <v>18</v>
      </c>
    </row>
    <row r="61" customFormat="false" ht="15" hidden="false" customHeight="false" outlineLevel="0" collapsed="false">
      <c r="A61" s="6" t="n">
        <v>57</v>
      </c>
      <c r="B61" s="6" t="s">
        <v>352</v>
      </c>
      <c r="C61" s="6" t="s">
        <v>366</v>
      </c>
      <c r="D61" s="7" t="n">
        <v>7500</v>
      </c>
      <c r="E61" s="6" t="s">
        <v>367</v>
      </c>
      <c r="F61" s="7" t="n">
        <v>1</v>
      </c>
      <c r="G61" s="9" t="s">
        <v>368</v>
      </c>
      <c r="H61" s="6" t="n">
        <f aca="false">COUNTIF(Service_Consumables!$A$5:$A$856,$A61)</f>
        <v>22</v>
      </c>
      <c r="I61" s="6" t="n">
        <f aca="false">COUNTIFS(Service_Consumables!$A$5:$A$856,$A61,Service_Consumables!$H$5:$H$856,"Auto-deduct")</f>
        <v>19</v>
      </c>
    </row>
    <row r="62" customFormat="false" ht="15" hidden="false" customHeight="false" outlineLevel="0" collapsed="false">
      <c r="A62" s="6" t="n">
        <v>58</v>
      </c>
      <c r="B62" s="6" t="s">
        <v>352</v>
      </c>
      <c r="C62" s="6" t="s">
        <v>369</v>
      </c>
      <c r="D62" s="7" t="n">
        <v>4500</v>
      </c>
      <c r="E62" s="6" t="s">
        <v>370</v>
      </c>
      <c r="F62" s="7" t="n">
        <v>1</v>
      </c>
      <c r="G62" s="9"/>
      <c r="H62" s="6" t="n">
        <f aca="false">COUNTIF(Service_Consumables!$A$5:$A$856,$A62)</f>
        <v>18</v>
      </c>
      <c r="I62" s="6" t="n">
        <f aca="false">COUNTIFS(Service_Consumables!$A$5:$A$856,$A62,Service_Consumables!$H$5:$H$856,"Auto-deduct")</f>
        <v>18</v>
      </c>
    </row>
    <row r="63" customFormat="false" ht="15" hidden="false" customHeight="false" outlineLevel="0" collapsed="false">
      <c r="A63" s="6" t="n">
        <v>59</v>
      </c>
      <c r="B63" s="6" t="s">
        <v>352</v>
      </c>
      <c r="C63" s="6" t="s">
        <v>371</v>
      </c>
      <c r="D63" s="7" t="n">
        <v>5000</v>
      </c>
      <c r="E63" s="6" t="s">
        <v>372</v>
      </c>
      <c r="F63" s="7" t="n">
        <v>1</v>
      </c>
      <c r="G63" s="9"/>
      <c r="H63" s="6" t="n">
        <f aca="false">COUNTIF(Service_Consumables!$A$5:$A$856,$A63)</f>
        <v>22</v>
      </c>
      <c r="I63" s="6" t="n">
        <f aca="false">COUNTIFS(Service_Consumables!$A$5:$A$856,$A63,Service_Consumables!$H$5:$H$856,"Auto-deduct")</f>
        <v>22</v>
      </c>
    </row>
    <row r="64" customFormat="false" ht="15" hidden="false" customHeight="false" outlineLevel="0" collapsed="false">
      <c r="A64" s="6" t="n">
        <v>60</v>
      </c>
      <c r="B64" s="6" t="s">
        <v>373</v>
      </c>
      <c r="C64" s="6" t="s">
        <v>374</v>
      </c>
      <c r="D64" s="7" t="n">
        <v>2000</v>
      </c>
      <c r="E64" s="6" t="s">
        <v>375</v>
      </c>
      <c r="F64" s="7" t="n">
        <v>1</v>
      </c>
      <c r="G64" s="9" t="s">
        <v>376</v>
      </c>
      <c r="H64" s="6" t="n">
        <f aca="false">COUNTIF(Service_Consumables!$A$5:$A$856,$A64)</f>
        <v>13</v>
      </c>
      <c r="I64" s="6" t="n">
        <f aca="false">COUNTIFS(Service_Consumables!$A$5:$A$856,$A64,Service_Consumables!$H$5:$H$856,"Auto-deduct")</f>
        <v>12</v>
      </c>
    </row>
    <row r="65" customFormat="false" ht="15" hidden="false" customHeight="false" outlineLevel="0" collapsed="false">
      <c r="A65" s="6" t="n">
        <v>61</v>
      </c>
      <c r="B65" s="6" t="s">
        <v>373</v>
      </c>
      <c r="C65" s="6" t="s">
        <v>290</v>
      </c>
      <c r="D65" s="7" t="n">
        <v>3000</v>
      </c>
      <c r="E65" s="6" t="s">
        <v>377</v>
      </c>
      <c r="F65" s="7" t="n">
        <v>1.5</v>
      </c>
      <c r="G65" s="9"/>
      <c r="H65" s="6" t="n">
        <f aca="false">COUNTIF(Service_Consumables!$A$5:$A$856,$A65)</f>
        <v>12</v>
      </c>
      <c r="I65" s="6" t="n">
        <f aca="false">COUNTIFS(Service_Consumables!$A$5:$A$856,$A65,Service_Consumables!$H$5:$H$856,"Auto-deduct")</f>
        <v>11</v>
      </c>
    </row>
    <row r="66" customFormat="false" ht="15" hidden="false" customHeight="false" outlineLevel="0" collapsed="false">
      <c r="A66" s="6" t="n">
        <v>62</v>
      </c>
      <c r="B66" s="6" t="s">
        <v>373</v>
      </c>
      <c r="C66" s="6" t="s">
        <v>279</v>
      </c>
      <c r="D66" s="7" t="n">
        <v>2000</v>
      </c>
      <c r="E66" s="6" t="s">
        <v>377</v>
      </c>
      <c r="F66" s="7" t="n">
        <v>1</v>
      </c>
      <c r="G66" s="9"/>
      <c r="H66" s="6" t="n">
        <f aca="false">COUNTIF(Service_Consumables!$A$5:$A$856,$A66)</f>
        <v>12</v>
      </c>
      <c r="I66" s="6" t="n">
        <f aca="false">COUNTIFS(Service_Consumables!$A$5:$A$856,$A66,Service_Consumables!$H$5:$H$856,"Auto-deduct")</f>
        <v>11</v>
      </c>
    </row>
    <row r="67" customFormat="false" ht="15" hidden="false" customHeight="false" outlineLevel="0" collapsed="false">
      <c r="A67" s="6" t="n">
        <v>63</v>
      </c>
      <c r="B67" s="6" t="s">
        <v>373</v>
      </c>
      <c r="C67" s="6" t="s">
        <v>378</v>
      </c>
      <c r="D67" s="7" t="n">
        <v>2000</v>
      </c>
      <c r="E67" s="6" t="s">
        <v>377</v>
      </c>
      <c r="F67" s="7" t="n">
        <v>1</v>
      </c>
      <c r="G67" s="9"/>
      <c r="H67" s="6" t="n">
        <f aca="false">COUNTIF(Service_Consumables!$A$5:$A$856,$A67)</f>
        <v>12</v>
      </c>
      <c r="I67" s="6" t="n">
        <f aca="false">COUNTIFS(Service_Consumables!$A$5:$A$856,$A67,Service_Consumables!$H$5:$H$856,"Auto-deduct")</f>
        <v>11</v>
      </c>
    </row>
    <row r="68" customFormat="false" ht="15" hidden="false" customHeight="false" outlineLevel="0" collapsed="false">
      <c r="A68" s="6" t="n">
        <v>64</v>
      </c>
      <c r="B68" s="6" t="s">
        <v>373</v>
      </c>
      <c r="C68" s="6" t="s">
        <v>298</v>
      </c>
      <c r="D68" s="7" t="n">
        <v>2000</v>
      </c>
      <c r="E68" s="6" t="s">
        <v>377</v>
      </c>
      <c r="F68" s="7" t="n">
        <v>1</v>
      </c>
      <c r="G68" s="9"/>
      <c r="H68" s="6" t="n">
        <f aca="false">COUNTIF(Service_Consumables!$A$5:$A$856,$A68)</f>
        <v>12</v>
      </c>
      <c r="I68" s="6" t="n">
        <f aca="false">COUNTIFS(Service_Consumables!$A$5:$A$856,$A68,Service_Consumables!$H$5:$H$856,"Auto-deduct")</f>
        <v>11</v>
      </c>
    </row>
    <row r="69" customFormat="false" ht="15" hidden="false" customHeight="false" outlineLevel="0" collapsed="false">
      <c r="A69" s="6" t="n">
        <v>65</v>
      </c>
      <c r="B69" s="6" t="s">
        <v>373</v>
      </c>
      <c r="C69" s="6" t="s">
        <v>281</v>
      </c>
      <c r="D69" s="7" t="n">
        <v>2000</v>
      </c>
      <c r="E69" s="6" t="s">
        <v>377</v>
      </c>
      <c r="F69" s="7" t="n">
        <v>1</v>
      </c>
      <c r="G69" s="9"/>
      <c r="H69" s="6" t="n">
        <f aca="false">COUNTIF(Service_Consumables!$A$5:$A$856,$A69)</f>
        <v>12</v>
      </c>
      <c r="I69" s="6" t="n">
        <f aca="false">COUNTIFS(Service_Consumables!$A$5:$A$856,$A69,Service_Consumables!$H$5:$H$856,"Auto-deduct")</f>
        <v>11</v>
      </c>
    </row>
    <row r="70" customFormat="false" ht="15" hidden="false" customHeight="false" outlineLevel="0" collapsed="false">
      <c r="A70" s="6" t="n">
        <v>66</v>
      </c>
      <c r="B70" s="6" t="s">
        <v>373</v>
      </c>
      <c r="C70" s="6" t="s">
        <v>379</v>
      </c>
      <c r="D70" s="7" t="n">
        <v>2000</v>
      </c>
      <c r="E70" s="6" t="s">
        <v>377</v>
      </c>
      <c r="F70" s="7" t="n">
        <v>1</v>
      </c>
      <c r="G70" s="9"/>
      <c r="H70" s="6" t="n">
        <f aca="false">COUNTIF(Service_Consumables!$A$5:$A$856,$A70)</f>
        <v>12</v>
      </c>
      <c r="I70" s="6" t="n">
        <f aca="false">COUNTIFS(Service_Consumables!$A$5:$A$856,$A70,Service_Consumables!$H$5:$H$856,"Auto-deduct")</f>
        <v>11</v>
      </c>
    </row>
    <row r="71" customFormat="false" ht="15" hidden="false" customHeight="false" outlineLevel="0" collapsed="false">
      <c r="A71" s="6" t="n">
        <v>67</v>
      </c>
      <c r="B71" s="6" t="s">
        <v>373</v>
      </c>
      <c r="C71" s="6" t="s">
        <v>380</v>
      </c>
      <c r="D71" s="7" t="n">
        <v>2000</v>
      </c>
      <c r="E71" s="6" t="s">
        <v>377</v>
      </c>
      <c r="F71" s="7" t="n">
        <v>1</v>
      </c>
      <c r="G71" s="9"/>
      <c r="H71" s="6" t="n">
        <f aca="false">COUNTIF(Service_Consumables!$A$5:$A$856,$A71)</f>
        <v>12</v>
      </c>
      <c r="I71" s="6" t="n">
        <f aca="false">COUNTIFS(Service_Consumables!$A$5:$A$856,$A71,Service_Consumables!$H$5:$H$856,"Auto-deduct")</f>
        <v>11</v>
      </c>
    </row>
    <row r="72" customFormat="false" ht="15" hidden="false" customHeight="false" outlineLevel="0" collapsed="false">
      <c r="A72" s="6" t="n">
        <v>68</v>
      </c>
      <c r="B72" s="6" t="s">
        <v>373</v>
      </c>
      <c r="C72" s="6" t="s">
        <v>381</v>
      </c>
      <c r="D72" s="7" t="n">
        <v>2000</v>
      </c>
      <c r="E72" s="6" t="s">
        <v>377</v>
      </c>
      <c r="F72" s="7" t="n">
        <v>1</v>
      </c>
      <c r="G72" s="9"/>
      <c r="H72" s="6" t="n">
        <f aca="false">COUNTIF(Service_Consumables!$A$5:$A$856,$A72)</f>
        <v>12</v>
      </c>
      <c r="I72" s="6" t="n">
        <f aca="false">COUNTIFS(Service_Consumables!$A$5:$A$856,$A72,Service_Consumables!$H$5:$H$856,"Auto-deduct")</f>
        <v>11</v>
      </c>
    </row>
    <row r="73" customFormat="false" ht="15" hidden="false" customHeight="false" outlineLevel="0" collapsed="false">
      <c r="A73" s="6" t="n">
        <v>69</v>
      </c>
      <c r="B73" s="6" t="s">
        <v>373</v>
      </c>
      <c r="C73" s="6" t="s">
        <v>331</v>
      </c>
      <c r="D73" s="7" t="n">
        <v>4000</v>
      </c>
      <c r="E73" s="6" t="s">
        <v>377</v>
      </c>
      <c r="F73" s="7" t="n">
        <v>2</v>
      </c>
      <c r="G73" s="9"/>
      <c r="H73" s="6" t="n">
        <f aca="false">COUNTIF(Service_Consumables!$A$5:$A$856,$A73)</f>
        <v>12</v>
      </c>
      <c r="I73" s="6" t="n">
        <f aca="false">COUNTIFS(Service_Consumables!$A$5:$A$856,$A73,Service_Consumables!$H$5:$H$856,"Auto-deduct")</f>
        <v>11</v>
      </c>
    </row>
    <row r="74" customFormat="false" ht="15" hidden="false" customHeight="false" outlineLevel="0" collapsed="false">
      <c r="A74" s="6" t="n">
        <v>70</v>
      </c>
      <c r="B74" s="6" t="s">
        <v>373</v>
      </c>
      <c r="C74" s="6" t="s">
        <v>382</v>
      </c>
      <c r="D74" s="7" t="n">
        <v>4000</v>
      </c>
      <c r="E74" s="6" t="s">
        <v>377</v>
      </c>
      <c r="F74" s="7" t="n">
        <v>2</v>
      </c>
      <c r="G74" s="9"/>
      <c r="H74" s="6" t="n">
        <f aca="false">COUNTIF(Service_Consumables!$A$5:$A$856,$A74)</f>
        <v>12</v>
      </c>
      <c r="I74" s="6" t="n">
        <f aca="false">COUNTIFS(Service_Consumables!$A$5:$A$856,$A74,Service_Consumables!$H$5:$H$856,"Auto-deduct")</f>
        <v>11</v>
      </c>
    </row>
    <row r="75" customFormat="false" ht="15" hidden="false" customHeight="false" outlineLevel="0" collapsed="false">
      <c r="A75" s="6" t="n">
        <v>71</v>
      </c>
      <c r="B75" s="6" t="s">
        <v>373</v>
      </c>
      <c r="C75" s="6" t="s">
        <v>286</v>
      </c>
      <c r="D75" s="7" t="n">
        <v>6000</v>
      </c>
      <c r="E75" s="6" t="s">
        <v>377</v>
      </c>
      <c r="F75" s="7" t="n">
        <v>3</v>
      </c>
      <c r="G75" s="9"/>
      <c r="H75" s="6" t="n">
        <f aca="false">COUNTIF(Service_Consumables!$A$5:$A$856,$A75)</f>
        <v>12</v>
      </c>
      <c r="I75" s="6" t="n">
        <f aca="false">COUNTIFS(Service_Consumables!$A$5:$A$856,$A75,Service_Consumables!$H$5:$H$856,"Auto-deduct")</f>
        <v>11</v>
      </c>
    </row>
    <row r="76" customFormat="false" ht="15" hidden="false" customHeight="false" outlineLevel="0" collapsed="false">
      <c r="A76" s="6" t="n">
        <v>72</v>
      </c>
      <c r="B76" s="6" t="s">
        <v>373</v>
      </c>
      <c r="C76" s="6" t="s">
        <v>383</v>
      </c>
      <c r="D76" s="7" t="n">
        <v>30000</v>
      </c>
      <c r="E76" s="6" t="s">
        <v>377</v>
      </c>
      <c r="F76" s="7" t="n">
        <v>8</v>
      </c>
      <c r="G76" s="9"/>
      <c r="H76" s="6" t="n">
        <f aca="false">COUNTIF(Service_Consumables!$A$5:$A$856,$A76)</f>
        <v>12</v>
      </c>
      <c r="I76" s="6" t="n">
        <f aca="false">COUNTIFS(Service_Consumables!$A$5:$A$856,$A76,Service_Consumables!$H$5:$H$856,"Auto-deduct")</f>
        <v>11</v>
      </c>
    </row>
    <row r="77" customFormat="false" ht="15" hidden="false" customHeight="false" outlineLevel="0" collapsed="false">
      <c r="A77" s="6" t="n">
        <v>73</v>
      </c>
      <c r="B77" s="6" t="s">
        <v>384</v>
      </c>
      <c r="C77" s="6" t="s">
        <v>385</v>
      </c>
      <c r="D77" s="7" t="n">
        <v>2000</v>
      </c>
      <c r="E77" s="6" t="s">
        <v>386</v>
      </c>
      <c r="F77" s="7" t="n">
        <v>1</v>
      </c>
      <c r="G77" s="9"/>
      <c r="H77" s="6" t="n">
        <f aca="false">COUNTIF(Service_Consumables!$A$5:$A$856,$A77)</f>
        <v>9</v>
      </c>
      <c r="I77" s="6" t="n">
        <f aca="false">COUNTIFS(Service_Consumables!$A$5:$A$856,$A77,Service_Consumables!$H$5:$H$856,"Auto-deduct")</f>
        <v>9</v>
      </c>
    </row>
    <row r="78" customFormat="false" ht="15" hidden="false" customHeight="false" outlineLevel="0" collapsed="false">
      <c r="A78" s="6" t="n">
        <v>74</v>
      </c>
      <c r="B78" s="6" t="s">
        <v>384</v>
      </c>
      <c r="C78" s="6" t="s">
        <v>387</v>
      </c>
      <c r="D78" s="7" t="n">
        <v>2000</v>
      </c>
      <c r="E78" s="6" t="s">
        <v>388</v>
      </c>
      <c r="F78" s="7" t="n">
        <v>1</v>
      </c>
      <c r="G78" s="9"/>
      <c r="H78" s="6" t="n">
        <f aca="false">COUNTIF(Service_Consumables!$A$5:$A$856,$A78)</f>
        <v>9</v>
      </c>
      <c r="I78" s="6" t="n">
        <f aca="false">COUNTIFS(Service_Consumables!$A$5:$A$856,$A78,Service_Consumables!$H$5:$H$856,"Auto-deduct")</f>
        <v>9</v>
      </c>
    </row>
    <row r="79" customFormat="false" ht="15" hidden="false" customHeight="false" outlineLevel="0" collapsed="false">
      <c r="A79" s="6" t="n">
        <v>75</v>
      </c>
      <c r="B79" s="6" t="s">
        <v>384</v>
      </c>
      <c r="C79" s="6" t="s">
        <v>389</v>
      </c>
      <c r="D79" s="7" t="n">
        <v>4000</v>
      </c>
      <c r="E79" s="6" t="s">
        <v>390</v>
      </c>
      <c r="F79" s="7" t="n">
        <v>1</v>
      </c>
      <c r="G79" s="9"/>
      <c r="H79" s="6" t="n">
        <f aca="false">COUNTIF(Service_Consumables!$A$5:$A$856,$A79)</f>
        <v>10</v>
      </c>
      <c r="I79" s="6" t="n">
        <f aca="false">COUNTIFS(Service_Consumables!$A$5:$A$856,$A79,Service_Consumables!$H$5:$H$856,"Auto-deduct")</f>
        <v>10</v>
      </c>
    </row>
    <row r="80" customFormat="false" ht="15" hidden="false" customHeight="false" outlineLevel="0" collapsed="false">
      <c r="A80" s="6" t="n">
        <v>76</v>
      </c>
      <c r="B80" s="6" t="s">
        <v>384</v>
      </c>
      <c r="C80" s="6" t="s">
        <v>391</v>
      </c>
      <c r="D80" s="7" t="n">
        <v>1300</v>
      </c>
      <c r="E80" s="6" t="s">
        <v>386</v>
      </c>
      <c r="F80" s="7" t="n">
        <v>0.65</v>
      </c>
      <c r="G80" s="9"/>
      <c r="H80" s="6" t="n">
        <f aca="false">COUNTIF(Service_Consumables!$A$5:$A$856,$A80)</f>
        <v>9</v>
      </c>
      <c r="I80" s="6" t="n">
        <f aca="false">COUNTIFS(Service_Consumables!$A$5:$A$856,$A80,Service_Consumables!$H$5:$H$856,"Auto-deduct")</f>
        <v>9</v>
      </c>
    </row>
    <row r="81" customFormat="false" ht="15" hidden="false" customHeight="false" outlineLevel="0" collapsed="false">
      <c r="A81" s="6" t="n">
        <v>77</v>
      </c>
      <c r="B81" s="6" t="s">
        <v>384</v>
      </c>
      <c r="C81" s="6" t="s">
        <v>392</v>
      </c>
      <c r="D81" s="7" t="n">
        <v>1300</v>
      </c>
      <c r="E81" s="6" t="s">
        <v>388</v>
      </c>
      <c r="F81" s="7" t="n">
        <v>0.65</v>
      </c>
      <c r="G81" s="9"/>
      <c r="H81" s="6" t="n">
        <f aca="false">COUNTIF(Service_Consumables!$A$5:$A$856,$A81)</f>
        <v>9</v>
      </c>
      <c r="I81" s="6" t="n">
        <f aca="false">COUNTIFS(Service_Consumables!$A$5:$A$856,$A81,Service_Consumables!$H$5:$H$856,"Auto-deduct")</f>
        <v>9</v>
      </c>
    </row>
    <row r="82" customFormat="false" ht="15" hidden="false" customHeight="false" outlineLevel="0" collapsed="false">
      <c r="A82" s="6" t="n">
        <v>78</v>
      </c>
      <c r="B82" s="6" t="s">
        <v>384</v>
      </c>
      <c r="C82" s="6" t="s">
        <v>393</v>
      </c>
      <c r="D82" s="7" t="n">
        <v>2000</v>
      </c>
      <c r="E82" s="6" t="s">
        <v>390</v>
      </c>
      <c r="F82" s="7" t="n">
        <v>0.65</v>
      </c>
      <c r="G82" s="9"/>
      <c r="H82" s="6" t="n">
        <f aca="false">COUNTIF(Service_Consumables!$A$5:$A$856,$A82)</f>
        <v>10</v>
      </c>
      <c r="I82" s="6" t="n">
        <f aca="false">COUNTIFS(Service_Consumables!$A$5:$A$856,$A82,Service_Consumables!$H$5:$H$856,"Auto-deduct")</f>
        <v>10</v>
      </c>
    </row>
    <row r="83" customFormat="false" ht="15" hidden="false" customHeight="false" outlineLevel="0" collapsed="false">
      <c r="A83" s="6" t="n">
        <v>79</v>
      </c>
      <c r="B83" s="6" t="s">
        <v>384</v>
      </c>
      <c r="C83" s="6" t="s">
        <v>394</v>
      </c>
      <c r="D83" s="7" t="n">
        <v>2000</v>
      </c>
      <c r="E83" s="6" t="s">
        <v>386</v>
      </c>
      <c r="F83" s="7" t="n">
        <v>1</v>
      </c>
      <c r="G83" s="9"/>
      <c r="H83" s="6" t="n">
        <f aca="false">COUNTIF(Service_Consumables!$A$5:$A$856,$A83)</f>
        <v>9</v>
      </c>
      <c r="I83" s="6" t="n">
        <f aca="false">COUNTIFS(Service_Consumables!$A$5:$A$856,$A83,Service_Consumables!$H$5:$H$856,"Auto-deduct")</f>
        <v>9</v>
      </c>
    </row>
    <row r="84" customFormat="false" ht="15" hidden="false" customHeight="false" outlineLevel="0" collapsed="false">
      <c r="A84" s="6" t="n">
        <v>80</v>
      </c>
      <c r="B84" s="6" t="s">
        <v>384</v>
      </c>
      <c r="C84" s="6" t="s">
        <v>395</v>
      </c>
      <c r="D84" s="7" t="n">
        <v>2000</v>
      </c>
      <c r="E84" s="6" t="s">
        <v>388</v>
      </c>
      <c r="F84" s="7" t="n">
        <v>1</v>
      </c>
      <c r="G84" s="9"/>
      <c r="H84" s="6" t="n">
        <f aca="false">COUNTIF(Service_Consumables!$A$5:$A$856,$A84)</f>
        <v>9</v>
      </c>
      <c r="I84" s="6" t="n">
        <f aca="false">COUNTIFS(Service_Consumables!$A$5:$A$856,$A84,Service_Consumables!$H$5:$H$856,"Auto-deduct")</f>
        <v>9</v>
      </c>
    </row>
    <row r="85" customFormat="false" ht="15" hidden="false" customHeight="false" outlineLevel="0" collapsed="false">
      <c r="A85" s="6" t="n">
        <v>81</v>
      </c>
      <c r="B85" s="6" t="s">
        <v>384</v>
      </c>
      <c r="C85" s="6" t="s">
        <v>396</v>
      </c>
      <c r="D85" s="7" t="n">
        <v>2600</v>
      </c>
      <c r="E85" s="6" t="s">
        <v>390</v>
      </c>
      <c r="F85" s="7" t="n">
        <v>1</v>
      </c>
      <c r="G85" s="9"/>
      <c r="H85" s="6" t="n">
        <f aca="false">COUNTIF(Service_Consumables!$A$5:$A$856,$A85)</f>
        <v>10</v>
      </c>
      <c r="I85" s="6" t="n">
        <f aca="false">COUNTIFS(Service_Consumables!$A$5:$A$856,$A85,Service_Consumables!$H$5:$H$856,"Auto-deduct")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11" min="9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20"/>
  </cols>
  <sheetData>
    <row r="1" customFormat="false" ht="17.35" hidden="false" customHeight="false" outlineLevel="0" collapsed="false">
      <c r="A1" s="1" t="s">
        <v>397</v>
      </c>
    </row>
    <row r="2" customFormat="false" ht="15" hidden="false" customHeight="false" outlineLevel="0" collapsed="false">
      <c r="A2" s="4" t="s">
        <v>398</v>
      </c>
    </row>
    <row r="4" customFormat="false" ht="42" hidden="false" customHeight="true" outlineLevel="0" collapsed="false">
      <c r="A4" s="5" t="s">
        <v>399</v>
      </c>
      <c r="B4" s="5" t="s">
        <v>255</v>
      </c>
      <c r="C4" s="5" t="s">
        <v>254</v>
      </c>
      <c r="D4" s="5" t="s">
        <v>154</v>
      </c>
      <c r="E4" s="5" t="s">
        <v>19</v>
      </c>
      <c r="F4" s="5" t="s">
        <v>400</v>
      </c>
      <c r="G4" s="5" t="s">
        <v>21</v>
      </c>
      <c r="H4" s="5" t="s">
        <v>157</v>
      </c>
      <c r="I4" s="5" t="s">
        <v>401</v>
      </c>
      <c r="J4" s="5" t="s">
        <v>402</v>
      </c>
      <c r="K4" s="5" t="s">
        <v>403</v>
      </c>
      <c r="L4" s="5" t="s">
        <v>404</v>
      </c>
      <c r="M4" s="5" t="s">
        <v>23</v>
      </c>
      <c r="N4" s="5" t="s">
        <v>405</v>
      </c>
      <c r="O4" s="5" t="s">
        <v>258</v>
      </c>
    </row>
    <row r="5" customFormat="false" ht="15" hidden="false" customHeight="false" outlineLevel="0" collapsed="false">
      <c r="A5" s="6" t="n">
        <v>1</v>
      </c>
      <c r="B5" s="6" t="s">
        <v>262</v>
      </c>
      <c r="C5" s="6" t="s">
        <v>261</v>
      </c>
      <c r="D5" s="6" t="s">
        <v>159</v>
      </c>
      <c r="E5" s="6" t="s">
        <v>52</v>
      </c>
      <c r="F5" s="6" t="str">
        <f aca="false">INDEX(Items!$B$5:$B$62,MATCH($E5,Items!$A$5:$A$62,0))</f>
        <v>DISPOSABLES &amp; CLINIC CONSUMABLES</v>
      </c>
      <c r="G5" s="6" t="str">
        <f aca="false">INDEX(Items!$C$5:$C$62,MATCH($E5,Items!$A$5:$A$62,0))</f>
        <v>Countable</v>
      </c>
      <c r="H5" s="6" t="s">
        <v>161</v>
      </c>
      <c r="I5" s="6" t="s">
        <v>160</v>
      </c>
      <c r="J5" s="6" t="n">
        <f aca="false">SUMIFS(Kits!$C$5:$C$163,Kits!$A$5:$A$163,$D5,Kits!$B$5:$B$163,$E5)</f>
        <v>1</v>
      </c>
      <c r="K5" s="6" t="n">
        <f aca="false">INDEX(Services!$F$5:$F$85,MATCH($A5,Services!$A$5:$A$85,0))</f>
        <v>1</v>
      </c>
      <c r="L5" s="6" t="n">
        <f aca="false">IF($H5="Auto-deduct",IF($G5="Countable",ROUNDUP($J5*IF($I5="Y",$K5,1),0),ROUND($J5*IF($I5="Y",$K5,1),1)),$J5)</f>
        <v>1</v>
      </c>
      <c r="M5" s="6" t="str">
        <f aca="false">INDEX(Items!$E$5:$E$62,MATCH($E5,Items!$A$5:$A$62,0))</f>
        <v>pc</v>
      </c>
      <c r="N5" s="6" t="n">
        <f aca="false">ROUND($L5/INDEX(Items!$F$5:$F$62,MATCH($E5,Items!$A$5:$A$62,0)),4)</f>
        <v>1</v>
      </c>
      <c r="O5" s="6"/>
    </row>
    <row r="6" customFormat="false" ht="15" hidden="false" customHeight="false" outlineLevel="0" collapsed="false">
      <c r="A6" s="6" t="n">
        <v>1</v>
      </c>
      <c r="B6" s="6" t="s">
        <v>262</v>
      </c>
      <c r="C6" s="6" t="s">
        <v>261</v>
      </c>
      <c r="D6" s="6" t="s">
        <v>159</v>
      </c>
      <c r="E6" s="6" t="s">
        <v>53</v>
      </c>
      <c r="F6" s="6" t="str">
        <f aca="false">INDEX(Items!$B$5:$B$62,MATCH($E6,Items!$A$5:$A$62,0))</f>
        <v>DISPOSABLES &amp; CLINIC CONSUMABLES</v>
      </c>
      <c r="G6" s="6" t="str">
        <f aca="false">INDEX(Items!$C$5:$C$62,MATCH($E6,Items!$A$5:$A$62,0))</f>
        <v>Countable</v>
      </c>
      <c r="H6" s="6" t="s">
        <v>161</v>
      </c>
      <c r="I6" s="6" t="s">
        <v>160</v>
      </c>
      <c r="J6" s="6" t="n">
        <f aca="false">SUMIFS(Kits!$C$5:$C$163,Kits!$A$5:$A$163,$D6,Kits!$B$5:$B$163,$E6)</f>
        <v>1</v>
      </c>
      <c r="K6" s="6" t="n">
        <f aca="false">INDEX(Services!$F$5:$F$85,MATCH($A6,Services!$A$5:$A$85,0))</f>
        <v>1</v>
      </c>
      <c r="L6" s="6" t="n">
        <f aca="false">IF($H6="Auto-deduct",IF($G6="Countable",ROUNDUP($J6*IF($I6="Y",$K6,1),0),ROUND($J6*IF($I6="Y",$K6,1),1)),$J6)</f>
        <v>1</v>
      </c>
      <c r="M6" s="6" t="str">
        <f aca="false">INDEX(Items!$E$5:$E$62,MATCH($E6,Items!$A$5:$A$62,0))</f>
        <v>pair</v>
      </c>
      <c r="N6" s="6" t="n">
        <f aca="false">ROUND($L6/INDEX(Items!$F$5:$F$62,MATCH($E6,Items!$A$5:$A$62,0)),4)</f>
        <v>1</v>
      </c>
      <c r="O6" s="6"/>
    </row>
    <row r="7" customFormat="false" ht="15" hidden="false" customHeight="false" outlineLevel="0" collapsed="false">
      <c r="A7" s="6" t="n">
        <v>1</v>
      </c>
      <c r="B7" s="6" t="s">
        <v>262</v>
      </c>
      <c r="C7" s="6" t="s">
        <v>261</v>
      </c>
      <c r="D7" s="6" t="s">
        <v>159</v>
      </c>
      <c r="E7" s="6" t="s">
        <v>88</v>
      </c>
      <c r="F7" s="6" t="str">
        <f aca="false">INDEX(Items!$B$5:$B$62,MATCH($E7,Items!$A$5:$A$62,0))</f>
        <v>DISPOSABLES &amp; CLINIC CONSUMABLES</v>
      </c>
      <c r="G7" s="6" t="str">
        <f aca="false">INDEX(Items!$C$5:$C$62,MATCH($E7,Items!$A$5:$A$62,0))</f>
        <v>Bulk</v>
      </c>
      <c r="H7" s="6" t="s">
        <v>161</v>
      </c>
      <c r="I7" s="6" t="s">
        <v>160</v>
      </c>
      <c r="J7" s="6" t="n">
        <f aca="false">SUMIFS(Kits!$C$5:$C$163,Kits!$A$5:$A$163,$D7,Kits!$B$5:$B$163,$E7)</f>
        <v>5</v>
      </c>
      <c r="K7" s="6" t="n">
        <f aca="false">INDEX(Services!$F$5:$F$85,MATCH($A7,Services!$A$5:$A$85,0))</f>
        <v>1</v>
      </c>
      <c r="L7" s="6" t="n">
        <f aca="false">IF($H7="Auto-deduct",IF($G7="Countable",ROUNDUP($J7*IF($I7="Y",$K7,1),0),ROUND($J7*IF($I7="Y",$K7,1),1)),$J7)</f>
        <v>5</v>
      </c>
      <c r="M7" s="6" t="str">
        <f aca="false">INDEX(Items!$E$5:$E$62,MATCH($E7,Items!$A$5:$A$62,0))</f>
        <v>mL</v>
      </c>
      <c r="N7" s="6" t="n">
        <f aca="false">ROUND($L7/INDEX(Items!$F$5:$F$62,MATCH($E7,Items!$A$5:$A$62,0)),4)</f>
        <v>0.01</v>
      </c>
      <c r="O7" s="6"/>
    </row>
    <row r="8" customFormat="false" ht="15" hidden="false" customHeight="false" outlineLevel="0" collapsed="false">
      <c r="A8" s="6" t="n">
        <v>1</v>
      </c>
      <c r="B8" s="6" t="s">
        <v>262</v>
      </c>
      <c r="C8" s="6" t="s">
        <v>261</v>
      </c>
      <c r="D8" s="6" t="s">
        <v>225</v>
      </c>
      <c r="E8" s="6" t="s">
        <v>50</v>
      </c>
      <c r="F8" s="6" t="str">
        <f aca="false">INDEX(Items!$B$5:$B$62,MATCH($E8,Items!$A$5:$A$62,0))</f>
        <v>DISPOSABLES &amp; CLINIC CONSUMABLES</v>
      </c>
      <c r="G8" s="6" t="str">
        <f aca="false">INDEX(Items!$C$5:$C$62,MATCH($E8,Items!$A$5:$A$62,0))</f>
        <v>Countable</v>
      </c>
      <c r="H8" s="6" t="s">
        <v>161</v>
      </c>
      <c r="I8" s="6" t="s">
        <v>160</v>
      </c>
      <c r="J8" s="6" t="n">
        <f aca="false">SUMIFS(Kits!$C$5:$C$163,Kits!$A$5:$A$163,$D8,Kits!$B$5:$B$163,$E8)</f>
        <v>1</v>
      </c>
      <c r="K8" s="6" t="n">
        <f aca="false">INDEX(Services!$F$5:$F$85,MATCH($A8,Services!$A$5:$A$85,0))</f>
        <v>1</v>
      </c>
      <c r="L8" s="6" t="n">
        <f aca="false">IF($H8="Auto-deduct",IF($G8="Countable",ROUNDUP($J8*IF($I8="Y",$K8,1),0),ROUND($J8*IF($I8="Y",$K8,1),1)),$J8)</f>
        <v>1</v>
      </c>
      <c r="M8" s="6" t="str">
        <f aca="false">INDEX(Items!$E$5:$E$62,MATCH($E8,Items!$A$5:$A$62,0))</f>
        <v>pc</v>
      </c>
      <c r="N8" s="6" t="n">
        <f aca="false">ROUND($L8/INDEX(Items!$F$5:$F$62,MATCH($E8,Items!$A$5:$A$62,0)),4)</f>
        <v>1</v>
      </c>
      <c r="O8" s="6"/>
    </row>
    <row r="9" customFormat="false" ht="15" hidden="false" customHeight="false" outlineLevel="0" collapsed="false">
      <c r="A9" s="6" t="n">
        <v>1</v>
      </c>
      <c r="B9" s="6" t="s">
        <v>262</v>
      </c>
      <c r="C9" s="6" t="s">
        <v>261</v>
      </c>
      <c r="D9" s="6" t="s">
        <v>225</v>
      </c>
      <c r="E9" s="6" t="s">
        <v>72</v>
      </c>
      <c r="F9" s="6" t="str">
        <f aca="false">INDEX(Items!$B$5:$B$62,MATCH($E9,Items!$A$5:$A$62,0))</f>
        <v>DISPOSABLES &amp; CLINIC CONSUMABLES</v>
      </c>
      <c r="G9" s="6" t="str">
        <f aca="false">INDEX(Items!$C$5:$C$62,MATCH($E9,Items!$A$5:$A$62,0))</f>
        <v>Bulk</v>
      </c>
      <c r="H9" s="6" t="s">
        <v>161</v>
      </c>
      <c r="I9" s="6" t="s">
        <v>160</v>
      </c>
      <c r="J9" s="6" t="n">
        <f aca="false">SUMIFS(Kits!$C$5:$C$163,Kits!$A$5:$A$163,$D9,Kits!$B$5:$B$163,$E9)</f>
        <v>4</v>
      </c>
      <c r="K9" s="6" t="n">
        <f aca="false">INDEX(Services!$F$5:$F$85,MATCH($A9,Services!$A$5:$A$85,0))</f>
        <v>1</v>
      </c>
      <c r="L9" s="6" t="n">
        <f aca="false">IF($H9="Auto-deduct",IF($G9="Countable",ROUNDUP($J9*IF($I9="Y",$K9,1),0),ROUND($J9*IF($I9="Y",$K9,1),1)),$J9)</f>
        <v>4</v>
      </c>
      <c r="M9" s="6" t="str">
        <f aca="false">INDEX(Items!$E$5:$E$62,MATCH($E9,Items!$A$5:$A$62,0))</f>
        <v>pc</v>
      </c>
      <c r="N9" s="6" t="n">
        <f aca="false">ROUND($L9/INDEX(Items!$F$5:$F$62,MATCH($E9,Items!$A$5:$A$62,0)),4)</f>
        <v>0.04</v>
      </c>
      <c r="O9" s="6"/>
    </row>
    <row r="10" customFormat="false" ht="15" hidden="false" customHeight="false" outlineLevel="0" collapsed="false">
      <c r="A10" s="6" t="n">
        <v>1</v>
      </c>
      <c r="B10" s="6" t="s">
        <v>262</v>
      </c>
      <c r="C10" s="6" t="s">
        <v>261</v>
      </c>
      <c r="D10" s="6" t="s">
        <v>225</v>
      </c>
      <c r="E10" s="6" t="s">
        <v>69</v>
      </c>
      <c r="F10" s="6" t="str">
        <f aca="false">INDEX(Items!$B$5:$B$62,MATCH($E10,Items!$A$5:$A$62,0))</f>
        <v>DISPOSABLES &amp; CLINIC CONSUMABLES</v>
      </c>
      <c r="G10" s="6" t="str">
        <f aca="false">INDEX(Items!$C$5:$C$62,MATCH($E10,Items!$A$5:$A$62,0))</f>
        <v>Bulk</v>
      </c>
      <c r="H10" s="6" t="s">
        <v>161</v>
      </c>
      <c r="I10" s="6" t="s">
        <v>160</v>
      </c>
      <c r="J10" s="6" t="n">
        <f aca="false">SUMIFS(Kits!$C$5:$C$163,Kits!$A$5:$A$163,$D10,Kits!$B$5:$B$163,$E10)</f>
        <v>3</v>
      </c>
      <c r="K10" s="6" t="n">
        <f aca="false">INDEX(Services!$F$5:$F$85,MATCH($A10,Services!$A$5:$A$85,0))</f>
        <v>1</v>
      </c>
      <c r="L10" s="6" t="n">
        <f aca="false">IF($H10="Auto-deduct",IF($G10="Countable",ROUNDUP($J10*IF($I10="Y",$K10,1),0),ROUND($J10*IF($I10="Y",$K10,1),1)),$J10)</f>
        <v>3</v>
      </c>
      <c r="M10" s="6" t="str">
        <f aca="false">INDEX(Items!$E$5:$E$62,MATCH($E10,Items!$A$5:$A$62,0))</f>
        <v>g</v>
      </c>
      <c r="N10" s="6" t="n">
        <f aca="false">ROUND($L10/INDEX(Items!$F$5:$F$62,MATCH($E10,Items!$A$5:$A$62,0)),4)</f>
        <v>0.0075</v>
      </c>
      <c r="O10" s="6"/>
    </row>
    <row r="11" customFormat="false" ht="15" hidden="false" customHeight="false" outlineLevel="0" collapsed="false">
      <c r="A11" s="6" t="n">
        <v>1</v>
      </c>
      <c r="B11" s="6" t="s">
        <v>262</v>
      </c>
      <c r="C11" s="6" t="s">
        <v>261</v>
      </c>
      <c r="D11" s="6" t="s">
        <v>225</v>
      </c>
      <c r="E11" s="6" t="s">
        <v>58</v>
      </c>
      <c r="F11" s="6" t="str">
        <f aca="false">INDEX(Items!$B$5:$B$62,MATCH($E11,Items!$A$5:$A$62,0))</f>
        <v>DISPOSABLES &amp; CLINIC CONSUMABLES</v>
      </c>
      <c r="G11" s="6" t="str">
        <f aca="false">INDEX(Items!$C$5:$C$62,MATCH($E11,Items!$A$5:$A$62,0))</f>
        <v>Bulk</v>
      </c>
      <c r="H11" s="6" t="s">
        <v>161</v>
      </c>
      <c r="I11" s="6" t="s">
        <v>160</v>
      </c>
      <c r="J11" s="6" t="n">
        <f aca="false">SUMIFS(Kits!$C$5:$C$163,Kits!$A$5:$A$163,$D11,Kits!$B$5:$B$163,$E11)</f>
        <v>4</v>
      </c>
      <c r="K11" s="6" t="n">
        <f aca="false">INDEX(Services!$F$5:$F$85,MATCH($A11,Services!$A$5:$A$85,0))</f>
        <v>1</v>
      </c>
      <c r="L11" s="6" t="n">
        <f aca="false">IF($H11="Auto-deduct",IF($G11="Countable",ROUNDUP($J11*IF($I11="Y",$K11,1),0),ROUND($J11*IF($I11="Y",$K11,1),1)),$J11)</f>
        <v>4</v>
      </c>
      <c r="M11" s="6" t="str">
        <f aca="false">INDEX(Items!$E$5:$E$62,MATCH($E11,Items!$A$5:$A$62,0))</f>
        <v>sheet</v>
      </c>
      <c r="N11" s="6" t="n">
        <f aca="false">ROUND($L11/INDEX(Items!$F$5:$F$62,MATCH($E11,Items!$A$5:$A$62,0)),4)</f>
        <v>0.02</v>
      </c>
      <c r="O11" s="6"/>
    </row>
    <row r="12" customFormat="false" ht="15" hidden="false" customHeight="false" outlineLevel="0" collapsed="false">
      <c r="A12" s="6" t="n">
        <v>1</v>
      </c>
      <c r="B12" s="6" t="s">
        <v>262</v>
      </c>
      <c r="C12" s="6" t="s">
        <v>261</v>
      </c>
      <c r="D12" s="6" t="s">
        <v>225</v>
      </c>
      <c r="E12" s="6" t="s">
        <v>76</v>
      </c>
      <c r="F12" s="6" t="str">
        <f aca="false">INDEX(Items!$B$5:$B$62,MATCH($E12,Items!$A$5:$A$62,0))</f>
        <v>DISPOSABLES &amp; CLINIC CONSUMABLES</v>
      </c>
      <c r="G12" s="6" t="str">
        <f aca="false">INDEX(Items!$C$5:$C$62,MATCH($E12,Items!$A$5:$A$62,0))</f>
        <v>Bulk</v>
      </c>
      <c r="H12" s="6" t="s">
        <v>161</v>
      </c>
      <c r="I12" s="6" t="s">
        <v>160</v>
      </c>
      <c r="J12" s="6" t="n">
        <f aca="false">SUMIFS(Kits!$C$5:$C$163,Kits!$A$5:$A$163,$D12,Kits!$B$5:$B$163,$E12)</f>
        <v>30</v>
      </c>
      <c r="K12" s="6" t="n">
        <f aca="false">INDEX(Services!$F$5:$F$85,MATCH($A12,Services!$A$5:$A$85,0))</f>
        <v>1</v>
      </c>
      <c r="L12" s="6" t="n">
        <f aca="false">IF($H12="Auto-deduct",IF($G12="Countable",ROUNDUP($J12*IF($I12="Y",$K12,1),0),ROUND($J12*IF($I12="Y",$K12,1),1)),$J12)</f>
        <v>30</v>
      </c>
      <c r="M12" s="6" t="str">
        <f aca="false">INDEX(Items!$E$5:$E$62,MATCH($E12,Items!$A$5:$A$62,0))</f>
        <v>cm</v>
      </c>
      <c r="N12" s="6" t="n">
        <f aca="false">ROUND($L12/INDEX(Items!$F$5:$F$62,MATCH($E12,Items!$A$5:$A$62,0)),4)</f>
        <v>0.0328</v>
      </c>
      <c r="O12" s="6"/>
    </row>
    <row r="13" customFormat="false" ht="15" hidden="false" customHeight="false" outlineLevel="0" collapsed="false">
      <c r="A13" s="6" t="n">
        <v>1</v>
      </c>
      <c r="B13" s="6" t="s">
        <v>262</v>
      </c>
      <c r="C13" s="6" t="s">
        <v>261</v>
      </c>
      <c r="D13" s="6" t="s">
        <v>225</v>
      </c>
      <c r="E13" s="6" t="s">
        <v>88</v>
      </c>
      <c r="F13" s="6" t="str">
        <f aca="false">INDEX(Items!$B$5:$B$62,MATCH($E13,Items!$A$5:$A$62,0))</f>
        <v>DISPOSABLES &amp; CLINIC CONSUMABLES</v>
      </c>
      <c r="G13" s="6" t="str">
        <f aca="false">INDEX(Items!$C$5:$C$62,MATCH($E13,Items!$A$5:$A$62,0))</f>
        <v>Bulk</v>
      </c>
      <c r="H13" s="6" t="s">
        <v>161</v>
      </c>
      <c r="I13" s="6" t="s">
        <v>160</v>
      </c>
      <c r="J13" s="6" t="n">
        <f aca="false">SUMIFS(Kits!$C$5:$C$163,Kits!$A$5:$A$163,$D13,Kits!$B$5:$B$163,$E13)</f>
        <v>5</v>
      </c>
      <c r="K13" s="6" t="n">
        <f aca="false">INDEX(Services!$F$5:$F$85,MATCH($A13,Services!$A$5:$A$85,0))</f>
        <v>1</v>
      </c>
      <c r="L13" s="6" t="n">
        <f aca="false">IF($H13="Auto-deduct",IF($G13="Countable",ROUNDUP($J13*IF($I13="Y",$K13,1),0),ROUND($J13*IF($I13="Y",$K13,1),1)),$J13)</f>
        <v>5</v>
      </c>
      <c r="M13" s="6" t="str">
        <f aca="false">INDEX(Items!$E$5:$E$62,MATCH($E13,Items!$A$5:$A$62,0))</f>
        <v>mL</v>
      </c>
      <c r="N13" s="6" t="n">
        <f aca="false">ROUND($L13/INDEX(Items!$F$5:$F$62,MATCH($E13,Items!$A$5:$A$62,0)),4)</f>
        <v>0.01</v>
      </c>
      <c r="O13" s="6"/>
    </row>
    <row r="14" customFormat="false" ht="15" hidden="false" customHeight="false" outlineLevel="0" collapsed="false">
      <c r="A14" s="6" t="n">
        <v>1</v>
      </c>
      <c r="B14" s="6" t="s">
        <v>262</v>
      </c>
      <c r="C14" s="6" t="s">
        <v>261</v>
      </c>
      <c r="D14" s="6" t="s">
        <v>225</v>
      </c>
      <c r="E14" s="6" t="s">
        <v>86</v>
      </c>
      <c r="F14" s="6" t="str">
        <f aca="false">INDEX(Items!$B$5:$B$62,MATCH($E14,Items!$A$5:$A$62,0))</f>
        <v>DISPOSABLES &amp; CLINIC CONSUMABLES</v>
      </c>
      <c r="G14" s="6" t="str">
        <f aca="false">INDEX(Items!$C$5:$C$62,MATCH($E14,Items!$A$5:$A$62,0))</f>
        <v>Bulk</v>
      </c>
      <c r="H14" s="6" t="s">
        <v>161</v>
      </c>
      <c r="I14" s="6" t="s">
        <v>160</v>
      </c>
      <c r="J14" s="6" t="n">
        <f aca="false">SUMIFS(Kits!$C$5:$C$163,Kits!$A$5:$A$163,$D14,Kits!$B$5:$B$163,$E14)</f>
        <v>2</v>
      </c>
      <c r="K14" s="6" t="n">
        <f aca="false">INDEX(Services!$F$5:$F$85,MATCH($A14,Services!$A$5:$A$85,0))</f>
        <v>1</v>
      </c>
      <c r="L14" s="6" t="n">
        <f aca="false">IF($H14="Auto-deduct",IF($G14="Countable",ROUNDUP($J14*IF($I14="Y",$K14,1),0),ROUND($J14*IF($I14="Y",$K14,1),1)),$J14)</f>
        <v>2</v>
      </c>
      <c r="M14" s="6" t="str">
        <f aca="false">INDEX(Items!$E$5:$E$62,MATCH($E14,Items!$A$5:$A$62,0))</f>
        <v>pc</v>
      </c>
      <c r="N14" s="6" t="n">
        <f aca="false">ROUND($L14/INDEX(Items!$F$5:$F$62,MATCH($E14,Items!$A$5:$A$62,0)),4)</f>
        <v>0.025</v>
      </c>
      <c r="O14" s="6"/>
    </row>
    <row r="15" customFormat="false" ht="15" hidden="false" customHeight="false" outlineLevel="0" collapsed="false">
      <c r="A15" s="6" t="n">
        <v>2</v>
      </c>
      <c r="B15" s="6" t="s">
        <v>264</v>
      </c>
      <c r="C15" s="6" t="s">
        <v>261</v>
      </c>
      <c r="D15" s="6" t="s">
        <v>159</v>
      </c>
      <c r="E15" s="6" t="s">
        <v>52</v>
      </c>
      <c r="F15" s="6" t="str">
        <f aca="false">INDEX(Items!$B$5:$B$62,MATCH($E15,Items!$A$5:$A$62,0))</f>
        <v>DISPOSABLES &amp; CLINIC CONSUMABLES</v>
      </c>
      <c r="G15" s="6" t="str">
        <f aca="false">INDEX(Items!$C$5:$C$62,MATCH($E15,Items!$A$5:$A$62,0))</f>
        <v>Countable</v>
      </c>
      <c r="H15" s="6" t="s">
        <v>161</v>
      </c>
      <c r="I15" s="6" t="s">
        <v>160</v>
      </c>
      <c r="J15" s="6" t="n">
        <f aca="false">SUMIFS(Kits!$C$5:$C$163,Kits!$A$5:$A$163,$D15,Kits!$B$5:$B$163,$E15)</f>
        <v>1</v>
      </c>
      <c r="K15" s="6" t="n">
        <f aca="false">INDEX(Services!$F$5:$F$85,MATCH($A15,Services!$A$5:$A$85,0))</f>
        <v>1</v>
      </c>
      <c r="L15" s="6" t="n">
        <f aca="false">IF($H15="Auto-deduct",IF($G15="Countable",ROUNDUP($J15*IF($I15="Y",$K15,1),0),ROUND($J15*IF($I15="Y",$K15,1),1)),$J15)</f>
        <v>1</v>
      </c>
      <c r="M15" s="6" t="str">
        <f aca="false">INDEX(Items!$E$5:$E$62,MATCH($E15,Items!$A$5:$A$62,0))</f>
        <v>pc</v>
      </c>
      <c r="N15" s="6" t="n">
        <f aca="false">ROUND($L15/INDEX(Items!$F$5:$F$62,MATCH($E15,Items!$A$5:$A$62,0)),4)</f>
        <v>1</v>
      </c>
      <c r="O15" s="6"/>
    </row>
    <row r="16" customFormat="false" ht="15" hidden="false" customHeight="false" outlineLevel="0" collapsed="false">
      <c r="A16" s="6" t="n">
        <v>2</v>
      </c>
      <c r="B16" s="6" t="s">
        <v>264</v>
      </c>
      <c r="C16" s="6" t="s">
        <v>261</v>
      </c>
      <c r="D16" s="6" t="s">
        <v>159</v>
      </c>
      <c r="E16" s="6" t="s">
        <v>53</v>
      </c>
      <c r="F16" s="6" t="str">
        <f aca="false">INDEX(Items!$B$5:$B$62,MATCH($E16,Items!$A$5:$A$62,0))</f>
        <v>DISPOSABLES &amp; CLINIC CONSUMABLES</v>
      </c>
      <c r="G16" s="6" t="str">
        <f aca="false">INDEX(Items!$C$5:$C$62,MATCH($E16,Items!$A$5:$A$62,0))</f>
        <v>Countable</v>
      </c>
      <c r="H16" s="6" t="s">
        <v>161</v>
      </c>
      <c r="I16" s="6" t="s">
        <v>160</v>
      </c>
      <c r="J16" s="6" t="n">
        <f aca="false">SUMIFS(Kits!$C$5:$C$163,Kits!$A$5:$A$163,$D16,Kits!$B$5:$B$163,$E16)</f>
        <v>1</v>
      </c>
      <c r="K16" s="6" t="n">
        <f aca="false">INDEX(Services!$F$5:$F$85,MATCH($A16,Services!$A$5:$A$85,0))</f>
        <v>1</v>
      </c>
      <c r="L16" s="6" t="n">
        <f aca="false">IF($H16="Auto-deduct",IF($G16="Countable",ROUNDUP($J16*IF($I16="Y",$K16,1),0),ROUND($J16*IF($I16="Y",$K16,1),1)),$J16)</f>
        <v>1</v>
      </c>
      <c r="M16" s="6" t="str">
        <f aca="false">INDEX(Items!$E$5:$E$62,MATCH($E16,Items!$A$5:$A$62,0))</f>
        <v>pair</v>
      </c>
      <c r="N16" s="6" t="n">
        <f aca="false">ROUND($L16/INDEX(Items!$F$5:$F$62,MATCH($E16,Items!$A$5:$A$62,0)),4)</f>
        <v>1</v>
      </c>
      <c r="O16" s="6"/>
    </row>
    <row r="17" customFormat="false" ht="15" hidden="false" customHeight="false" outlineLevel="0" collapsed="false">
      <c r="A17" s="6" t="n">
        <v>2</v>
      </c>
      <c r="B17" s="6" t="s">
        <v>264</v>
      </c>
      <c r="C17" s="6" t="s">
        <v>261</v>
      </c>
      <c r="D17" s="6" t="s">
        <v>159</v>
      </c>
      <c r="E17" s="6" t="s">
        <v>88</v>
      </c>
      <c r="F17" s="6" t="str">
        <f aca="false">INDEX(Items!$B$5:$B$62,MATCH($E17,Items!$A$5:$A$62,0))</f>
        <v>DISPOSABLES &amp; CLINIC CONSUMABLES</v>
      </c>
      <c r="G17" s="6" t="str">
        <f aca="false">INDEX(Items!$C$5:$C$62,MATCH($E17,Items!$A$5:$A$62,0))</f>
        <v>Bulk</v>
      </c>
      <c r="H17" s="6" t="s">
        <v>161</v>
      </c>
      <c r="I17" s="6" t="s">
        <v>160</v>
      </c>
      <c r="J17" s="6" t="n">
        <f aca="false">SUMIFS(Kits!$C$5:$C$163,Kits!$A$5:$A$163,$D17,Kits!$B$5:$B$163,$E17)</f>
        <v>5</v>
      </c>
      <c r="K17" s="6" t="n">
        <f aca="false">INDEX(Services!$F$5:$F$85,MATCH($A17,Services!$A$5:$A$85,0))</f>
        <v>1</v>
      </c>
      <c r="L17" s="6" t="n">
        <f aca="false">IF($H17="Auto-deduct",IF($G17="Countable",ROUNDUP($J17*IF($I17="Y",$K17,1),0),ROUND($J17*IF($I17="Y",$K17,1),1)),$J17)</f>
        <v>5</v>
      </c>
      <c r="M17" s="6" t="str">
        <f aca="false">INDEX(Items!$E$5:$E$62,MATCH($E17,Items!$A$5:$A$62,0))</f>
        <v>mL</v>
      </c>
      <c r="N17" s="6" t="n">
        <f aca="false">ROUND($L17/INDEX(Items!$F$5:$F$62,MATCH($E17,Items!$A$5:$A$62,0)),4)</f>
        <v>0.01</v>
      </c>
      <c r="O17" s="6"/>
    </row>
    <row r="18" customFormat="false" ht="15" hidden="false" customHeight="false" outlineLevel="0" collapsed="false">
      <c r="A18" s="6" t="n">
        <v>2</v>
      </c>
      <c r="B18" s="6" t="s">
        <v>264</v>
      </c>
      <c r="C18" s="6" t="s">
        <v>261</v>
      </c>
      <c r="D18" s="6" t="s">
        <v>225</v>
      </c>
      <c r="E18" s="6" t="s">
        <v>50</v>
      </c>
      <c r="F18" s="6" t="str">
        <f aca="false">INDEX(Items!$B$5:$B$62,MATCH($E18,Items!$A$5:$A$62,0))</f>
        <v>DISPOSABLES &amp; CLINIC CONSUMABLES</v>
      </c>
      <c r="G18" s="6" t="str">
        <f aca="false">INDEX(Items!$C$5:$C$62,MATCH($E18,Items!$A$5:$A$62,0))</f>
        <v>Countable</v>
      </c>
      <c r="H18" s="6" t="s">
        <v>161</v>
      </c>
      <c r="I18" s="6" t="s">
        <v>160</v>
      </c>
      <c r="J18" s="6" t="n">
        <f aca="false">SUMIFS(Kits!$C$5:$C$163,Kits!$A$5:$A$163,$D18,Kits!$B$5:$B$163,$E18)</f>
        <v>1</v>
      </c>
      <c r="K18" s="6" t="n">
        <f aca="false">INDEX(Services!$F$5:$F$85,MATCH($A18,Services!$A$5:$A$85,0))</f>
        <v>1</v>
      </c>
      <c r="L18" s="6" t="n">
        <f aca="false">IF($H18="Auto-deduct",IF($G18="Countable",ROUNDUP($J18*IF($I18="Y",$K18,1),0),ROUND($J18*IF($I18="Y",$K18,1),1)),$J18)</f>
        <v>1</v>
      </c>
      <c r="M18" s="6" t="str">
        <f aca="false">INDEX(Items!$E$5:$E$62,MATCH($E18,Items!$A$5:$A$62,0))</f>
        <v>pc</v>
      </c>
      <c r="N18" s="6" t="n">
        <f aca="false">ROUND($L18/INDEX(Items!$F$5:$F$62,MATCH($E18,Items!$A$5:$A$62,0)),4)</f>
        <v>1</v>
      </c>
      <c r="O18" s="6"/>
    </row>
    <row r="19" customFormat="false" ht="15" hidden="false" customHeight="false" outlineLevel="0" collapsed="false">
      <c r="A19" s="6" t="n">
        <v>2</v>
      </c>
      <c r="B19" s="6" t="s">
        <v>264</v>
      </c>
      <c r="C19" s="6" t="s">
        <v>261</v>
      </c>
      <c r="D19" s="6" t="s">
        <v>225</v>
      </c>
      <c r="E19" s="6" t="s">
        <v>72</v>
      </c>
      <c r="F19" s="6" t="str">
        <f aca="false">INDEX(Items!$B$5:$B$62,MATCH($E19,Items!$A$5:$A$62,0))</f>
        <v>DISPOSABLES &amp; CLINIC CONSUMABLES</v>
      </c>
      <c r="G19" s="6" t="str">
        <f aca="false">INDEX(Items!$C$5:$C$62,MATCH($E19,Items!$A$5:$A$62,0))</f>
        <v>Bulk</v>
      </c>
      <c r="H19" s="6" t="s">
        <v>161</v>
      </c>
      <c r="I19" s="6" t="s">
        <v>160</v>
      </c>
      <c r="J19" s="6" t="n">
        <f aca="false">SUMIFS(Kits!$C$5:$C$163,Kits!$A$5:$A$163,$D19,Kits!$B$5:$B$163,$E19)</f>
        <v>4</v>
      </c>
      <c r="K19" s="6" t="n">
        <f aca="false">INDEX(Services!$F$5:$F$85,MATCH($A19,Services!$A$5:$A$85,0))</f>
        <v>1</v>
      </c>
      <c r="L19" s="6" t="n">
        <f aca="false">IF($H19="Auto-deduct",IF($G19="Countable",ROUNDUP($J19*IF($I19="Y",$K19,1),0),ROUND($J19*IF($I19="Y",$K19,1),1)),$J19)</f>
        <v>4</v>
      </c>
      <c r="M19" s="6" t="str">
        <f aca="false">INDEX(Items!$E$5:$E$62,MATCH($E19,Items!$A$5:$A$62,0))</f>
        <v>pc</v>
      </c>
      <c r="N19" s="6" t="n">
        <f aca="false">ROUND($L19/INDEX(Items!$F$5:$F$62,MATCH($E19,Items!$A$5:$A$62,0)),4)</f>
        <v>0.04</v>
      </c>
      <c r="O19" s="6"/>
    </row>
    <row r="20" customFormat="false" ht="15" hidden="false" customHeight="false" outlineLevel="0" collapsed="false">
      <c r="A20" s="6" t="n">
        <v>2</v>
      </c>
      <c r="B20" s="6" t="s">
        <v>264</v>
      </c>
      <c r="C20" s="6" t="s">
        <v>261</v>
      </c>
      <c r="D20" s="6" t="s">
        <v>225</v>
      </c>
      <c r="E20" s="6" t="s">
        <v>69</v>
      </c>
      <c r="F20" s="6" t="str">
        <f aca="false">INDEX(Items!$B$5:$B$62,MATCH($E20,Items!$A$5:$A$62,0))</f>
        <v>DISPOSABLES &amp; CLINIC CONSUMABLES</v>
      </c>
      <c r="G20" s="6" t="str">
        <f aca="false">INDEX(Items!$C$5:$C$62,MATCH($E20,Items!$A$5:$A$62,0))</f>
        <v>Bulk</v>
      </c>
      <c r="H20" s="6" t="s">
        <v>161</v>
      </c>
      <c r="I20" s="6" t="s">
        <v>160</v>
      </c>
      <c r="J20" s="6" t="n">
        <f aca="false">SUMIFS(Kits!$C$5:$C$163,Kits!$A$5:$A$163,$D20,Kits!$B$5:$B$163,$E20)</f>
        <v>3</v>
      </c>
      <c r="K20" s="6" t="n">
        <f aca="false">INDEX(Services!$F$5:$F$85,MATCH($A20,Services!$A$5:$A$85,0))</f>
        <v>1</v>
      </c>
      <c r="L20" s="6" t="n">
        <f aca="false">IF($H20="Auto-deduct",IF($G20="Countable",ROUNDUP($J20*IF($I20="Y",$K20,1),0),ROUND($J20*IF($I20="Y",$K20,1),1)),$J20)</f>
        <v>3</v>
      </c>
      <c r="M20" s="6" t="str">
        <f aca="false">INDEX(Items!$E$5:$E$62,MATCH($E20,Items!$A$5:$A$62,0))</f>
        <v>g</v>
      </c>
      <c r="N20" s="6" t="n">
        <f aca="false">ROUND($L20/INDEX(Items!$F$5:$F$62,MATCH($E20,Items!$A$5:$A$62,0)),4)</f>
        <v>0.0075</v>
      </c>
      <c r="O20" s="6"/>
    </row>
    <row r="21" customFormat="false" ht="15" hidden="false" customHeight="false" outlineLevel="0" collapsed="false">
      <c r="A21" s="6" t="n">
        <v>2</v>
      </c>
      <c r="B21" s="6" t="s">
        <v>264</v>
      </c>
      <c r="C21" s="6" t="s">
        <v>261</v>
      </c>
      <c r="D21" s="6" t="s">
        <v>225</v>
      </c>
      <c r="E21" s="6" t="s">
        <v>58</v>
      </c>
      <c r="F21" s="6" t="str">
        <f aca="false">INDEX(Items!$B$5:$B$62,MATCH($E21,Items!$A$5:$A$62,0))</f>
        <v>DISPOSABLES &amp; CLINIC CONSUMABLES</v>
      </c>
      <c r="G21" s="6" t="str">
        <f aca="false">INDEX(Items!$C$5:$C$62,MATCH($E21,Items!$A$5:$A$62,0))</f>
        <v>Bulk</v>
      </c>
      <c r="H21" s="6" t="s">
        <v>161</v>
      </c>
      <c r="I21" s="6" t="s">
        <v>160</v>
      </c>
      <c r="J21" s="6" t="n">
        <f aca="false">SUMIFS(Kits!$C$5:$C$163,Kits!$A$5:$A$163,$D21,Kits!$B$5:$B$163,$E21)</f>
        <v>4</v>
      </c>
      <c r="K21" s="6" t="n">
        <f aca="false">INDEX(Services!$F$5:$F$85,MATCH($A21,Services!$A$5:$A$85,0))</f>
        <v>1</v>
      </c>
      <c r="L21" s="6" t="n">
        <f aca="false">IF($H21="Auto-deduct",IF($G21="Countable",ROUNDUP($J21*IF($I21="Y",$K21,1),0),ROUND($J21*IF($I21="Y",$K21,1),1)),$J21)</f>
        <v>4</v>
      </c>
      <c r="M21" s="6" t="str">
        <f aca="false">INDEX(Items!$E$5:$E$62,MATCH($E21,Items!$A$5:$A$62,0))</f>
        <v>sheet</v>
      </c>
      <c r="N21" s="6" t="n">
        <f aca="false">ROUND($L21/INDEX(Items!$F$5:$F$62,MATCH($E21,Items!$A$5:$A$62,0)),4)</f>
        <v>0.02</v>
      </c>
      <c r="O21" s="6"/>
    </row>
    <row r="22" customFormat="false" ht="15" hidden="false" customHeight="false" outlineLevel="0" collapsed="false">
      <c r="A22" s="6" t="n">
        <v>2</v>
      </c>
      <c r="B22" s="6" t="s">
        <v>264</v>
      </c>
      <c r="C22" s="6" t="s">
        <v>261</v>
      </c>
      <c r="D22" s="6" t="s">
        <v>225</v>
      </c>
      <c r="E22" s="6" t="s">
        <v>76</v>
      </c>
      <c r="F22" s="6" t="str">
        <f aca="false">INDEX(Items!$B$5:$B$62,MATCH($E22,Items!$A$5:$A$62,0))</f>
        <v>DISPOSABLES &amp; CLINIC CONSUMABLES</v>
      </c>
      <c r="G22" s="6" t="str">
        <f aca="false">INDEX(Items!$C$5:$C$62,MATCH($E22,Items!$A$5:$A$62,0))</f>
        <v>Bulk</v>
      </c>
      <c r="H22" s="6" t="s">
        <v>161</v>
      </c>
      <c r="I22" s="6" t="s">
        <v>160</v>
      </c>
      <c r="J22" s="6" t="n">
        <f aca="false">SUMIFS(Kits!$C$5:$C$163,Kits!$A$5:$A$163,$D22,Kits!$B$5:$B$163,$E22)</f>
        <v>30</v>
      </c>
      <c r="K22" s="6" t="n">
        <f aca="false">INDEX(Services!$F$5:$F$85,MATCH($A22,Services!$A$5:$A$85,0))</f>
        <v>1</v>
      </c>
      <c r="L22" s="6" t="n">
        <f aca="false">IF($H22="Auto-deduct",IF($G22="Countable",ROUNDUP($J22*IF($I22="Y",$K22,1),0),ROUND($J22*IF($I22="Y",$K22,1),1)),$J22)</f>
        <v>30</v>
      </c>
      <c r="M22" s="6" t="str">
        <f aca="false">INDEX(Items!$E$5:$E$62,MATCH($E22,Items!$A$5:$A$62,0))</f>
        <v>cm</v>
      </c>
      <c r="N22" s="6" t="n">
        <f aca="false">ROUND($L22/INDEX(Items!$F$5:$F$62,MATCH($E22,Items!$A$5:$A$62,0)),4)</f>
        <v>0.0328</v>
      </c>
      <c r="O22" s="6"/>
    </row>
    <row r="23" customFormat="false" ht="15" hidden="false" customHeight="false" outlineLevel="0" collapsed="false">
      <c r="A23" s="6" t="n">
        <v>2</v>
      </c>
      <c r="B23" s="6" t="s">
        <v>264</v>
      </c>
      <c r="C23" s="6" t="s">
        <v>261</v>
      </c>
      <c r="D23" s="6" t="s">
        <v>225</v>
      </c>
      <c r="E23" s="6" t="s">
        <v>88</v>
      </c>
      <c r="F23" s="6" t="str">
        <f aca="false">INDEX(Items!$B$5:$B$62,MATCH($E23,Items!$A$5:$A$62,0))</f>
        <v>DISPOSABLES &amp; CLINIC CONSUMABLES</v>
      </c>
      <c r="G23" s="6" t="str">
        <f aca="false">INDEX(Items!$C$5:$C$62,MATCH($E23,Items!$A$5:$A$62,0))</f>
        <v>Bulk</v>
      </c>
      <c r="H23" s="6" t="s">
        <v>161</v>
      </c>
      <c r="I23" s="6" t="s">
        <v>160</v>
      </c>
      <c r="J23" s="6" t="n">
        <f aca="false">SUMIFS(Kits!$C$5:$C$163,Kits!$A$5:$A$163,$D23,Kits!$B$5:$B$163,$E23)</f>
        <v>5</v>
      </c>
      <c r="K23" s="6" t="n">
        <f aca="false">INDEX(Services!$F$5:$F$85,MATCH($A23,Services!$A$5:$A$85,0))</f>
        <v>1</v>
      </c>
      <c r="L23" s="6" t="n">
        <f aca="false">IF($H23="Auto-deduct",IF($G23="Countable",ROUNDUP($J23*IF($I23="Y",$K23,1),0),ROUND($J23*IF($I23="Y",$K23,1),1)),$J23)</f>
        <v>5</v>
      </c>
      <c r="M23" s="6" t="str">
        <f aca="false">INDEX(Items!$E$5:$E$62,MATCH($E23,Items!$A$5:$A$62,0))</f>
        <v>mL</v>
      </c>
      <c r="N23" s="6" t="n">
        <f aca="false">ROUND($L23/INDEX(Items!$F$5:$F$62,MATCH($E23,Items!$A$5:$A$62,0)),4)</f>
        <v>0.01</v>
      </c>
      <c r="O23" s="6"/>
    </row>
    <row r="24" customFormat="false" ht="15" hidden="false" customHeight="false" outlineLevel="0" collapsed="false">
      <c r="A24" s="6" t="n">
        <v>2</v>
      </c>
      <c r="B24" s="6" t="s">
        <v>264</v>
      </c>
      <c r="C24" s="6" t="s">
        <v>261</v>
      </c>
      <c r="D24" s="6" t="s">
        <v>225</v>
      </c>
      <c r="E24" s="6" t="s">
        <v>86</v>
      </c>
      <c r="F24" s="6" t="str">
        <f aca="false">INDEX(Items!$B$5:$B$62,MATCH($E24,Items!$A$5:$A$62,0))</f>
        <v>DISPOSABLES &amp; CLINIC CONSUMABLES</v>
      </c>
      <c r="G24" s="6" t="str">
        <f aca="false">INDEX(Items!$C$5:$C$62,MATCH($E24,Items!$A$5:$A$62,0))</f>
        <v>Bulk</v>
      </c>
      <c r="H24" s="6" t="s">
        <v>161</v>
      </c>
      <c r="I24" s="6" t="s">
        <v>160</v>
      </c>
      <c r="J24" s="6" t="n">
        <f aca="false">SUMIFS(Kits!$C$5:$C$163,Kits!$A$5:$A$163,$D24,Kits!$B$5:$B$163,$E24)</f>
        <v>2</v>
      </c>
      <c r="K24" s="6" t="n">
        <f aca="false">INDEX(Services!$F$5:$F$85,MATCH($A24,Services!$A$5:$A$85,0))</f>
        <v>1</v>
      </c>
      <c r="L24" s="6" t="n">
        <f aca="false">IF($H24="Auto-deduct",IF($G24="Countable",ROUNDUP($J24*IF($I24="Y",$K24,1),0),ROUND($J24*IF($I24="Y",$K24,1),1)),$J24)</f>
        <v>2</v>
      </c>
      <c r="M24" s="6" t="str">
        <f aca="false">INDEX(Items!$E$5:$E$62,MATCH($E24,Items!$A$5:$A$62,0))</f>
        <v>pc</v>
      </c>
      <c r="N24" s="6" t="n">
        <f aca="false">ROUND($L24/INDEX(Items!$F$5:$F$62,MATCH($E24,Items!$A$5:$A$62,0)),4)</f>
        <v>0.025</v>
      </c>
      <c r="O24" s="6"/>
    </row>
    <row r="25" customFormat="false" ht="15" hidden="false" customHeight="false" outlineLevel="0" collapsed="false">
      <c r="A25" s="6" t="n">
        <v>3</v>
      </c>
      <c r="B25" s="6" t="s">
        <v>265</v>
      </c>
      <c r="C25" s="6" t="s">
        <v>261</v>
      </c>
      <c r="D25" s="6" t="s">
        <v>159</v>
      </c>
      <c r="E25" s="6" t="s">
        <v>52</v>
      </c>
      <c r="F25" s="6" t="str">
        <f aca="false">INDEX(Items!$B$5:$B$62,MATCH($E25,Items!$A$5:$A$62,0))</f>
        <v>DISPOSABLES &amp; CLINIC CONSUMABLES</v>
      </c>
      <c r="G25" s="6" t="str">
        <f aca="false">INDEX(Items!$C$5:$C$62,MATCH($E25,Items!$A$5:$A$62,0))</f>
        <v>Countable</v>
      </c>
      <c r="H25" s="6" t="s">
        <v>161</v>
      </c>
      <c r="I25" s="6" t="s">
        <v>160</v>
      </c>
      <c r="J25" s="6" t="n">
        <f aca="false">SUMIFS(Kits!$C$5:$C$163,Kits!$A$5:$A$163,$D25,Kits!$B$5:$B$163,$E25)</f>
        <v>1</v>
      </c>
      <c r="K25" s="6" t="n">
        <f aca="false">INDEX(Services!$F$5:$F$85,MATCH($A25,Services!$A$5:$A$85,0))</f>
        <v>1</v>
      </c>
      <c r="L25" s="6" t="n">
        <f aca="false">IF($H25="Auto-deduct",IF($G25="Countable",ROUNDUP($J25*IF($I25="Y",$K25,1),0),ROUND($J25*IF($I25="Y",$K25,1),1)),$J25)</f>
        <v>1</v>
      </c>
      <c r="M25" s="6" t="str">
        <f aca="false">INDEX(Items!$E$5:$E$62,MATCH($E25,Items!$A$5:$A$62,0))</f>
        <v>pc</v>
      </c>
      <c r="N25" s="6" t="n">
        <f aca="false">ROUND($L25/INDEX(Items!$F$5:$F$62,MATCH($E25,Items!$A$5:$A$62,0)),4)</f>
        <v>1</v>
      </c>
      <c r="O25" s="6"/>
    </row>
    <row r="26" customFormat="false" ht="15" hidden="false" customHeight="false" outlineLevel="0" collapsed="false">
      <c r="A26" s="6" t="n">
        <v>3</v>
      </c>
      <c r="B26" s="6" t="s">
        <v>265</v>
      </c>
      <c r="C26" s="6" t="s">
        <v>261</v>
      </c>
      <c r="D26" s="6" t="s">
        <v>159</v>
      </c>
      <c r="E26" s="6" t="s">
        <v>53</v>
      </c>
      <c r="F26" s="6" t="str">
        <f aca="false">INDEX(Items!$B$5:$B$62,MATCH($E26,Items!$A$5:$A$62,0))</f>
        <v>DISPOSABLES &amp; CLINIC CONSUMABLES</v>
      </c>
      <c r="G26" s="6" t="str">
        <f aca="false">INDEX(Items!$C$5:$C$62,MATCH($E26,Items!$A$5:$A$62,0))</f>
        <v>Countable</v>
      </c>
      <c r="H26" s="6" t="s">
        <v>161</v>
      </c>
      <c r="I26" s="6" t="s">
        <v>160</v>
      </c>
      <c r="J26" s="6" t="n">
        <f aca="false">SUMIFS(Kits!$C$5:$C$163,Kits!$A$5:$A$163,$D26,Kits!$B$5:$B$163,$E26)</f>
        <v>1</v>
      </c>
      <c r="K26" s="6" t="n">
        <f aca="false">INDEX(Services!$F$5:$F$85,MATCH($A26,Services!$A$5:$A$85,0))</f>
        <v>1</v>
      </c>
      <c r="L26" s="6" t="n">
        <f aca="false">IF($H26="Auto-deduct",IF($G26="Countable",ROUNDUP($J26*IF($I26="Y",$K26,1),0),ROUND($J26*IF($I26="Y",$K26,1),1)),$J26)</f>
        <v>1</v>
      </c>
      <c r="M26" s="6" t="str">
        <f aca="false">INDEX(Items!$E$5:$E$62,MATCH($E26,Items!$A$5:$A$62,0))</f>
        <v>pair</v>
      </c>
      <c r="N26" s="6" t="n">
        <f aca="false">ROUND($L26/INDEX(Items!$F$5:$F$62,MATCH($E26,Items!$A$5:$A$62,0)),4)</f>
        <v>1</v>
      </c>
      <c r="O26" s="6"/>
    </row>
    <row r="27" customFormat="false" ht="15" hidden="false" customHeight="false" outlineLevel="0" collapsed="false">
      <c r="A27" s="6" t="n">
        <v>3</v>
      </c>
      <c r="B27" s="6" t="s">
        <v>265</v>
      </c>
      <c r="C27" s="6" t="s">
        <v>261</v>
      </c>
      <c r="D27" s="6" t="s">
        <v>159</v>
      </c>
      <c r="E27" s="6" t="s">
        <v>88</v>
      </c>
      <c r="F27" s="6" t="str">
        <f aca="false">INDEX(Items!$B$5:$B$62,MATCH($E27,Items!$A$5:$A$62,0))</f>
        <v>DISPOSABLES &amp; CLINIC CONSUMABLES</v>
      </c>
      <c r="G27" s="6" t="str">
        <f aca="false">INDEX(Items!$C$5:$C$62,MATCH($E27,Items!$A$5:$A$62,0))</f>
        <v>Bulk</v>
      </c>
      <c r="H27" s="6" t="s">
        <v>161</v>
      </c>
      <c r="I27" s="6" t="s">
        <v>160</v>
      </c>
      <c r="J27" s="6" t="n">
        <f aca="false">SUMIFS(Kits!$C$5:$C$163,Kits!$A$5:$A$163,$D27,Kits!$B$5:$B$163,$E27)</f>
        <v>5</v>
      </c>
      <c r="K27" s="6" t="n">
        <f aca="false">INDEX(Services!$F$5:$F$85,MATCH($A27,Services!$A$5:$A$85,0))</f>
        <v>1</v>
      </c>
      <c r="L27" s="6" t="n">
        <f aca="false">IF($H27="Auto-deduct",IF($G27="Countable",ROUNDUP($J27*IF($I27="Y",$K27,1),0),ROUND($J27*IF($I27="Y",$K27,1),1)),$J27)</f>
        <v>5</v>
      </c>
      <c r="M27" s="6" t="str">
        <f aca="false">INDEX(Items!$E$5:$E$62,MATCH($E27,Items!$A$5:$A$62,0))</f>
        <v>mL</v>
      </c>
      <c r="N27" s="6" t="n">
        <f aca="false">ROUND($L27/INDEX(Items!$F$5:$F$62,MATCH($E27,Items!$A$5:$A$62,0)),4)</f>
        <v>0.01</v>
      </c>
      <c r="O27" s="6"/>
    </row>
    <row r="28" customFormat="false" ht="15" hidden="false" customHeight="false" outlineLevel="0" collapsed="false">
      <c r="A28" s="6" t="n">
        <v>3</v>
      </c>
      <c r="B28" s="6" t="s">
        <v>265</v>
      </c>
      <c r="C28" s="6" t="s">
        <v>261</v>
      </c>
      <c r="D28" s="6" t="s">
        <v>225</v>
      </c>
      <c r="E28" s="6" t="s">
        <v>50</v>
      </c>
      <c r="F28" s="6" t="str">
        <f aca="false">INDEX(Items!$B$5:$B$62,MATCH($E28,Items!$A$5:$A$62,0))</f>
        <v>DISPOSABLES &amp; CLINIC CONSUMABLES</v>
      </c>
      <c r="G28" s="6" t="str">
        <f aca="false">INDEX(Items!$C$5:$C$62,MATCH($E28,Items!$A$5:$A$62,0))</f>
        <v>Countable</v>
      </c>
      <c r="H28" s="6" t="s">
        <v>161</v>
      </c>
      <c r="I28" s="6" t="s">
        <v>160</v>
      </c>
      <c r="J28" s="6" t="n">
        <f aca="false">SUMIFS(Kits!$C$5:$C$163,Kits!$A$5:$A$163,$D28,Kits!$B$5:$B$163,$E28)</f>
        <v>1</v>
      </c>
      <c r="K28" s="6" t="n">
        <f aca="false">INDEX(Services!$F$5:$F$85,MATCH($A28,Services!$A$5:$A$85,0))</f>
        <v>1</v>
      </c>
      <c r="L28" s="6" t="n">
        <f aca="false">IF($H28="Auto-deduct",IF($G28="Countable",ROUNDUP($J28*IF($I28="Y",$K28,1),0),ROUND($J28*IF($I28="Y",$K28,1),1)),$J28)</f>
        <v>1</v>
      </c>
      <c r="M28" s="6" t="str">
        <f aca="false">INDEX(Items!$E$5:$E$62,MATCH($E28,Items!$A$5:$A$62,0))</f>
        <v>pc</v>
      </c>
      <c r="N28" s="6" t="n">
        <f aca="false">ROUND($L28/INDEX(Items!$F$5:$F$62,MATCH($E28,Items!$A$5:$A$62,0)),4)</f>
        <v>1</v>
      </c>
      <c r="O28" s="6"/>
    </row>
    <row r="29" customFormat="false" ht="15" hidden="false" customHeight="false" outlineLevel="0" collapsed="false">
      <c r="A29" s="6" t="n">
        <v>3</v>
      </c>
      <c r="B29" s="6" t="s">
        <v>265</v>
      </c>
      <c r="C29" s="6" t="s">
        <v>261</v>
      </c>
      <c r="D29" s="6" t="s">
        <v>225</v>
      </c>
      <c r="E29" s="6" t="s">
        <v>72</v>
      </c>
      <c r="F29" s="6" t="str">
        <f aca="false">INDEX(Items!$B$5:$B$62,MATCH($E29,Items!$A$5:$A$62,0))</f>
        <v>DISPOSABLES &amp; CLINIC CONSUMABLES</v>
      </c>
      <c r="G29" s="6" t="str">
        <f aca="false">INDEX(Items!$C$5:$C$62,MATCH($E29,Items!$A$5:$A$62,0))</f>
        <v>Bulk</v>
      </c>
      <c r="H29" s="6" t="s">
        <v>161</v>
      </c>
      <c r="I29" s="6" t="s">
        <v>160</v>
      </c>
      <c r="J29" s="6" t="n">
        <f aca="false">SUMIFS(Kits!$C$5:$C$163,Kits!$A$5:$A$163,$D29,Kits!$B$5:$B$163,$E29)</f>
        <v>4</v>
      </c>
      <c r="K29" s="6" t="n">
        <f aca="false">INDEX(Services!$F$5:$F$85,MATCH($A29,Services!$A$5:$A$85,0))</f>
        <v>1</v>
      </c>
      <c r="L29" s="6" t="n">
        <f aca="false">IF($H29="Auto-deduct",IF($G29="Countable",ROUNDUP($J29*IF($I29="Y",$K29,1),0),ROUND($J29*IF($I29="Y",$K29,1),1)),$J29)</f>
        <v>4</v>
      </c>
      <c r="M29" s="6" t="str">
        <f aca="false">INDEX(Items!$E$5:$E$62,MATCH($E29,Items!$A$5:$A$62,0))</f>
        <v>pc</v>
      </c>
      <c r="N29" s="6" t="n">
        <f aca="false">ROUND($L29/INDEX(Items!$F$5:$F$62,MATCH($E29,Items!$A$5:$A$62,0)),4)</f>
        <v>0.04</v>
      </c>
      <c r="O29" s="6"/>
    </row>
    <row r="30" customFormat="false" ht="15" hidden="false" customHeight="false" outlineLevel="0" collapsed="false">
      <c r="A30" s="6" t="n">
        <v>3</v>
      </c>
      <c r="B30" s="6" t="s">
        <v>265</v>
      </c>
      <c r="C30" s="6" t="s">
        <v>261</v>
      </c>
      <c r="D30" s="6" t="s">
        <v>225</v>
      </c>
      <c r="E30" s="6" t="s">
        <v>69</v>
      </c>
      <c r="F30" s="6" t="str">
        <f aca="false">INDEX(Items!$B$5:$B$62,MATCH($E30,Items!$A$5:$A$62,0))</f>
        <v>DISPOSABLES &amp; CLINIC CONSUMABLES</v>
      </c>
      <c r="G30" s="6" t="str">
        <f aca="false">INDEX(Items!$C$5:$C$62,MATCH($E30,Items!$A$5:$A$62,0))</f>
        <v>Bulk</v>
      </c>
      <c r="H30" s="6" t="s">
        <v>161</v>
      </c>
      <c r="I30" s="6" t="s">
        <v>160</v>
      </c>
      <c r="J30" s="6" t="n">
        <f aca="false">SUMIFS(Kits!$C$5:$C$163,Kits!$A$5:$A$163,$D30,Kits!$B$5:$B$163,$E30)</f>
        <v>3</v>
      </c>
      <c r="K30" s="6" t="n">
        <f aca="false">INDEX(Services!$F$5:$F$85,MATCH($A30,Services!$A$5:$A$85,0))</f>
        <v>1</v>
      </c>
      <c r="L30" s="6" t="n">
        <f aca="false">IF($H30="Auto-deduct",IF($G30="Countable",ROUNDUP($J30*IF($I30="Y",$K30,1),0),ROUND($J30*IF($I30="Y",$K30,1),1)),$J30)</f>
        <v>3</v>
      </c>
      <c r="M30" s="6" t="str">
        <f aca="false">INDEX(Items!$E$5:$E$62,MATCH($E30,Items!$A$5:$A$62,0))</f>
        <v>g</v>
      </c>
      <c r="N30" s="6" t="n">
        <f aca="false">ROUND($L30/INDEX(Items!$F$5:$F$62,MATCH($E30,Items!$A$5:$A$62,0)),4)</f>
        <v>0.0075</v>
      </c>
      <c r="O30" s="6"/>
    </row>
    <row r="31" customFormat="false" ht="15" hidden="false" customHeight="false" outlineLevel="0" collapsed="false">
      <c r="A31" s="6" t="n">
        <v>3</v>
      </c>
      <c r="B31" s="6" t="s">
        <v>265</v>
      </c>
      <c r="C31" s="6" t="s">
        <v>261</v>
      </c>
      <c r="D31" s="6" t="s">
        <v>225</v>
      </c>
      <c r="E31" s="6" t="s">
        <v>58</v>
      </c>
      <c r="F31" s="6" t="str">
        <f aca="false">INDEX(Items!$B$5:$B$62,MATCH($E31,Items!$A$5:$A$62,0))</f>
        <v>DISPOSABLES &amp; CLINIC CONSUMABLES</v>
      </c>
      <c r="G31" s="6" t="str">
        <f aca="false">INDEX(Items!$C$5:$C$62,MATCH($E31,Items!$A$5:$A$62,0))</f>
        <v>Bulk</v>
      </c>
      <c r="H31" s="6" t="s">
        <v>161</v>
      </c>
      <c r="I31" s="6" t="s">
        <v>160</v>
      </c>
      <c r="J31" s="6" t="n">
        <f aca="false">SUMIFS(Kits!$C$5:$C$163,Kits!$A$5:$A$163,$D31,Kits!$B$5:$B$163,$E31)</f>
        <v>4</v>
      </c>
      <c r="K31" s="6" t="n">
        <f aca="false">INDEX(Services!$F$5:$F$85,MATCH($A31,Services!$A$5:$A$85,0))</f>
        <v>1</v>
      </c>
      <c r="L31" s="6" t="n">
        <f aca="false">IF($H31="Auto-deduct",IF($G31="Countable",ROUNDUP($J31*IF($I31="Y",$K31,1),0),ROUND($J31*IF($I31="Y",$K31,1),1)),$J31)</f>
        <v>4</v>
      </c>
      <c r="M31" s="6" t="str">
        <f aca="false">INDEX(Items!$E$5:$E$62,MATCH($E31,Items!$A$5:$A$62,0))</f>
        <v>sheet</v>
      </c>
      <c r="N31" s="6" t="n">
        <f aca="false">ROUND($L31/INDEX(Items!$F$5:$F$62,MATCH($E31,Items!$A$5:$A$62,0)),4)</f>
        <v>0.02</v>
      </c>
      <c r="O31" s="6"/>
    </row>
    <row r="32" customFormat="false" ht="15" hidden="false" customHeight="false" outlineLevel="0" collapsed="false">
      <c r="A32" s="6" t="n">
        <v>3</v>
      </c>
      <c r="B32" s="6" t="s">
        <v>265</v>
      </c>
      <c r="C32" s="6" t="s">
        <v>261</v>
      </c>
      <c r="D32" s="6" t="s">
        <v>225</v>
      </c>
      <c r="E32" s="6" t="s">
        <v>76</v>
      </c>
      <c r="F32" s="6" t="str">
        <f aca="false">INDEX(Items!$B$5:$B$62,MATCH($E32,Items!$A$5:$A$62,0))</f>
        <v>DISPOSABLES &amp; CLINIC CONSUMABLES</v>
      </c>
      <c r="G32" s="6" t="str">
        <f aca="false">INDEX(Items!$C$5:$C$62,MATCH($E32,Items!$A$5:$A$62,0))</f>
        <v>Bulk</v>
      </c>
      <c r="H32" s="6" t="s">
        <v>161</v>
      </c>
      <c r="I32" s="6" t="s">
        <v>160</v>
      </c>
      <c r="J32" s="6" t="n">
        <f aca="false">SUMIFS(Kits!$C$5:$C$163,Kits!$A$5:$A$163,$D32,Kits!$B$5:$B$163,$E32)</f>
        <v>30</v>
      </c>
      <c r="K32" s="6" t="n">
        <f aca="false">INDEX(Services!$F$5:$F$85,MATCH($A32,Services!$A$5:$A$85,0))</f>
        <v>1</v>
      </c>
      <c r="L32" s="6" t="n">
        <f aca="false">IF($H32="Auto-deduct",IF($G32="Countable",ROUNDUP($J32*IF($I32="Y",$K32,1),0),ROUND($J32*IF($I32="Y",$K32,1),1)),$J32)</f>
        <v>30</v>
      </c>
      <c r="M32" s="6" t="str">
        <f aca="false">INDEX(Items!$E$5:$E$62,MATCH($E32,Items!$A$5:$A$62,0))</f>
        <v>cm</v>
      </c>
      <c r="N32" s="6" t="n">
        <f aca="false">ROUND($L32/INDEX(Items!$F$5:$F$62,MATCH($E32,Items!$A$5:$A$62,0)),4)</f>
        <v>0.0328</v>
      </c>
      <c r="O32" s="6"/>
    </row>
    <row r="33" customFormat="false" ht="15" hidden="false" customHeight="false" outlineLevel="0" collapsed="false">
      <c r="A33" s="6" t="n">
        <v>3</v>
      </c>
      <c r="B33" s="6" t="s">
        <v>265</v>
      </c>
      <c r="C33" s="6" t="s">
        <v>261</v>
      </c>
      <c r="D33" s="6" t="s">
        <v>225</v>
      </c>
      <c r="E33" s="6" t="s">
        <v>88</v>
      </c>
      <c r="F33" s="6" t="str">
        <f aca="false">INDEX(Items!$B$5:$B$62,MATCH($E33,Items!$A$5:$A$62,0))</f>
        <v>DISPOSABLES &amp; CLINIC CONSUMABLES</v>
      </c>
      <c r="G33" s="6" t="str">
        <f aca="false">INDEX(Items!$C$5:$C$62,MATCH($E33,Items!$A$5:$A$62,0))</f>
        <v>Bulk</v>
      </c>
      <c r="H33" s="6" t="s">
        <v>161</v>
      </c>
      <c r="I33" s="6" t="s">
        <v>160</v>
      </c>
      <c r="J33" s="6" t="n">
        <f aca="false">SUMIFS(Kits!$C$5:$C$163,Kits!$A$5:$A$163,$D33,Kits!$B$5:$B$163,$E33)</f>
        <v>5</v>
      </c>
      <c r="K33" s="6" t="n">
        <f aca="false">INDEX(Services!$F$5:$F$85,MATCH($A33,Services!$A$5:$A$85,0))</f>
        <v>1</v>
      </c>
      <c r="L33" s="6" t="n">
        <f aca="false">IF($H33="Auto-deduct",IF($G33="Countable",ROUNDUP($J33*IF($I33="Y",$K33,1),0),ROUND($J33*IF($I33="Y",$K33,1),1)),$J33)</f>
        <v>5</v>
      </c>
      <c r="M33" s="6" t="str">
        <f aca="false">INDEX(Items!$E$5:$E$62,MATCH($E33,Items!$A$5:$A$62,0))</f>
        <v>mL</v>
      </c>
      <c r="N33" s="6" t="n">
        <f aca="false">ROUND($L33/INDEX(Items!$F$5:$F$62,MATCH($E33,Items!$A$5:$A$62,0)),4)</f>
        <v>0.01</v>
      </c>
      <c r="O33" s="6"/>
    </row>
    <row r="34" customFormat="false" ht="15" hidden="false" customHeight="false" outlineLevel="0" collapsed="false">
      <c r="A34" s="6" t="n">
        <v>3</v>
      </c>
      <c r="B34" s="6" t="s">
        <v>265</v>
      </c>
      <c r="C34" s="6" t="s">
        <v>261</v>
      </c>
      <c r="D34" s="6" t="s">
        <v>225</v>
      </c>
      <c r="E34" s="6" t="s">
        <v>86</v>
      </c>
      <c r="F34" s="6" t="str">
        <f aca="false">INDEX(Items!$B$5:$B$62,MATCH($E34,Items!$A$5:$A$62,0))</f>
        <v>DISPOSABLES &amp; CLINIC CONSUMABLES</v>
      </c>
      <c r="G34" s="6" t="str">
        <f aca="false">INDEX(Items!$C$5:$C$62,MATCH($E34,Items!$A$5:$A$62,0))</f>
        <v>Bulk</v>
      </c>
      <c r="H34" s="6" t="s">
        <v>161</v>
      </c>
      <c r="I34" s="6" t="s">
        <v>160</v>
      </c>
      <c r="J34" s="6" t="n">
        <f aca="false">SUMIFS(Kits!$C$5:$C$163,Kits!$A$5:$A$163,$D34,Kits!$B$5:$B$163,$E34)</f>
        <v>2</v>
      </c>
      <c r="K34" s="6" t="n">
        <f aca="false">INDEX(Services!$F$5:$F$85,MATCH($A34,Services!$A$5:$A$85,0))</f>
        <v>1</v>
      </c>
      <c r="L34" s="6" t="n">
        <f aca="false">IF($H34="Auto-deduct",IF($G34="Countable",ROUNDUP($J34*IF($I34="Y",$K34,1),0),ROUND($J34*IF($I34="Y",$K34,1),1)),$J34)</f>
        <v>2</v>
      </c>
      <c r="M34" s="6" t="str">
        <f aca="false">INDEX(Items!$E$5:$E$62,MATCH($E34,Items!$A$5:$A$62,0))</f>
        <v>pc</v>
      </c>
      <c r="N34" s="6" t="n">
        <f aca="false">ROUND($L34/INDEX(Items!$F$5:$F$62,MATCH($E34,Items!$A$5:$A$62,0)),4)</f>
        <v>0.025</v>
      </c>
      <c r="O34" s="6"/>
    </row>
    <row r="35" customFormat="false" ht="15" hidden="false" customHeight="false" outlineLevel="0" collapsed="false">
      <c r="A35" s="6" t="n">
        <v>4</v>
      </c>
      <c r="B35" s="6" t="s">
        <v>266</v>
      </c>
      <c r="C35" s="6" t="s">
        <v>261</v>
      </c>
      <c r="D35" s="6" t="s">
        <v>159</v>
      </c>
      <c r="E35" s="6" t="s">
        <v>52</v>
      </c>
      <c r="F35" s="6" t="str">
        <f aca="false">INDEX(Items!$B$5:$B$62,MATCH($E35,Items!$A$5:$A$62,0))</f>
        <v>DISPOSABLES &amp; CLINIC CONSUMABLES</v>
      </c>
      <c r="G35" s="6" t="str">
        <f aca="false">INDEX(Items!$C$5:$C$62,MATCH($E35,Items!$A$5:$A$62,0))</f>
        <v>Countable</v>
      </c>
      <c r="H35" s="6" t="s">
        <v>161</v>
      </c>
      <c r="I35" s="6" t="s">
        <v>160</v>
      </c>
      <c r="J35" s="6" t="n">
        <f aca="false">SUMIFS(Kits!$C$5:$C$163,Kits!$A$5:$A$163,$D35,Kits!$B$5:$B$163,$E35)</f>
        <v>1</v>
      </c>
      <c r="K35" s="6" t="n">
        <f aca="false">INDEX(Services!$F$5:$F$85,MATCH($A35,Services!$A$5:$A$85,0))</f>
        <v>1</v>
      </c>
      <c r="L35" s="6" t="n">
        <f aca="false">IF($H35="Auto-deduct",IF($G35="Countable",ROUNDUP($J35*IF($I35="Y",$K35,1),0),ROUND($J35*IF($I35="Y",$K35,1),1)),$J35)</f>
        <v>1</v>
      </c>
      <c r="M35" s="6" t="str">
        <f aca="false">INDEX(Items!$E$5:$E$62,MATCH($E35,Items!$A$5:$A$62,0))</f>
        <v>pc</v>
      </c>
      <c r="N35" s="6" t="n">
        <f aca="false">ROUND($L35/INDEX(Items!$F$5:$F$62,MATCH($E35,Items!$A$5:$A$62,0)),4)</f>
        <v>1</v>
      </c>
      <c r="O35" s="6"/>
    </row>
    <row r="36" customFormat="false" ht="15" hidden="false" customHeight="false" outlineLevel="0" collapsed="false">
      <c r="A36" s="6" t="n">
        <v>4</v>
      </c>
      <c r="B36" s="6" t="s">
        <v>266</v>
      </c>
      <c r="C36" s="6" t="s">
        <v>261</v>
      </c>
      <c r="D36" s="6" t="s">
        <v>159</v>
      </c>
      <c r="E36" s="6" t="s">
        <v>53</v>
      </c>
      <c r="F36" s="6" t="str">
        <f aca="false">INDEX(Items!$B$5:$B$62,MATCH($E36,Items!$A$5:$A$62,0))</f>
        <v>DISPOSABLES &amp; CLINIC CONSUMABLES</v>
      </c>
      <c r="G36" s="6" t="str">
        <f aca="false">INDEX(Items!$C$5:$C$62,MATCH($E36,Items!$A$5:$A$62,0))</f>
        <v>Countable</v>
      </c>
      <c r="H36" s="6" t="s">
        <v>161</v>
      </c>
      <c r="I36" s="6" t="s">
        <v>160</v>
      </c>
      <c r="J36" s="6" t="n">
        <f aca="false">SUMIFS(Kits!$C$5:$C$163,Kits!$A$5:$A$163,$D36,Kits!$B$5:$B$163,$E36)</f>
        <v>1</v>
      </c>
      <c r="K36" s="6" t="n">
        <f aca="false">INDEX(Services!$F$5:$F$85,MATCH($A36,Services!$A$5:$A$85,0))</f>
        <v>1</v>
      </c>
      <c r="L36" s="6" t="n">
        <f aca="false">IF($H36="Auto-deduct",IF($G36="Countable",ROUNDUP($J36*IF($I36="Y",$K36,1),0),ROUND($J36*IF($I36="Y",$K36,1),1)),$J36)</f>
        <v>1</v>
      </c>
      <c r="M36" s="6" t="str">
        <f aca="false">INDEX(Items!$E$5:$E$62,MATCH($E36,Items!$A$5:$A$62,0))</f>
        <v>pair</v>
      </c>
      <c r="N36" s="6" t="n">
        <f aca="false">ROUND($L36/INDEX(Items!$F$5:$F$62,MATCH($E36,Items!$A$5:$A$62,0)),4)</f>
        <v>1</v>
      </c>
      <c r="O36" s="6"/>
    </row>
    <row r="37" customFormat="false" ht="15" hidden="false" customHeight="false" outlineLevel="0" collapsed="false">
      <c r="A37" s="6" t="n">
        <v>4</v>
      </c>
      <c r="B37" s="6" t="s">
        <v>266</v>
      </c>
      <c r="C37" s="6" t="s">
        <v>261</v>
      </c>
      <c r="D37" s="6" t="s">
        <v>159</v>
      </c>
      <c r="E37" s="6" t="s">
        <v>88</v>
      </c>
      <c r="F37" s="6" t="str">
        <f aca="false">INDEX(Items!$B$5:$B$62,MATCH($E37,Items!$A$5:$A$62,0))</f>
        <v>DISPOSABLES &amp; CLINIC CONSUMABLES</v>
      </c>
      <c r="G37" s="6" t="str">
        <f aca="false">INDEX(Items!$C$5:$C$62,MATCH($E37,Items!$A$5:$A$62,0))</f>
        <v>Bulk</v>
      </c>
      <c r="H37" s="6" t="s">
        <v>161</v>
      </c>
      <c r="I37" s="6" t="s">
        <v>160</v>
      </c>
      <c r="J37" s="6" t="n">
        <f aca="false">SUMIFS(Kits!$C$5:$C$163,Kits!$A$5:$A$163,$D37,Kits!$B$5:$B$163,$E37)</f>
        <v>5</v>
      </c>
      <c r="K37" s="6" t="n">
        <f aca="false">INDEX(Services!$F$5:$F$85,MATCH($A37,Services!$A$5:$A$85,0))</f>
        <v>1</v>
      </c>
      <c r="L37" s="6" t="n">
        <f aca="false">IF($H37="Auto-deduct",IF($G37="Countable",ROUNDUP($J37*IF($I37="Y",$K37,1),0),ROUND($J37*IF($I37="Y",$K37,1),1)),$J37)</f>
        <v>5</v>
      </c>
      <c r="M37" s="6" t="str">
        <f aca="false">INDEX(Items!$E$5:$E$62,MATCH($E37,Items!$A$5:$A$62,0))</f>
        <v>mL</v>
      </c>
      <c r="N37" s="6" t="n">
        <f aca="false">ROUND($L37/INDEX(Items!$F$5:$F$62,MATCH($E37,Items!$A$5:$A$62,0)),4)</f>
        <v>0.01</v>
      </c>
      <c r="O37" s="6"/>
    </row>
    <row r="38" customFormat="false" ht="15" hidden="false" customHeight="false" outlineLevel="0" collapsed="false">
      <c r="A38" s="6" t="n">
        <v>4</v>
      </c>
      <c r="B38" s="6" t="s">
        <v>266</v>
      </c>
      <c r="C38" s="6" t="s">
        <v>261</v>
      </c>
      <c r="D38" s="6" t="s">
        <v>225</v>
      </c>
      <c r="E38" s="6" t="s">
        <v>50</v>
      </c>
      <c r="F38" s="6" t="str">
        <f aca="false">INDEX(Items!$B$5:$B$62,MATCH($E38,Items!$A$5:$A$62,0))</f>
        <v>DISPOSABLES &amp; CLINIC CONSUMABLES</v>
      </c>
      <c r="G38" s="6" t="str">
        <f aca="false">INDEX(Items!$C$5:$C$62,MATCH($E38,Items!$A$5:$A$62,0))</f>
        <v>Countable</v>
      </c>
      <c r="H38" s="6" t="s">
        <v>161</v>
      </c>
      <c r="I38" s="6" t="s">
        <v>160</v>
      </c>
      <c r="J38" s="6" t="n">
        <f aca="false">SUMIFS(Kits!$C$5:$C$163,Kits!$A$5:$A$163,$D38,Kits!$B$5:$B$163,$E38)</f>
        <v>1</v>
      </c>
      <c r="K38" s="6" t="n">
        <f aca="false">INDEX(Services!$F$5:$F$85,MATCH($A38,Services!$A$5:$A$85,0))</f>
        <v>1</v>
      </c>
      <c r="L38" s="6" t="n">
        <f aca="false">IF($H38="Auto-deduct",IF($G38="Countable",ROUNDUP($J38*IF($I38="Y",$K38,1),0),ROUND($J38*IF($I38="Y",$K38,1),1)),$J38)</f>
        <v>1</v>
      </c>
      <c r="M38" s="6" t="str">
        <f aca="false">INDEX(Items!$E$5:$E$62,MATCH($E38,Items!$A$5:$A$62,0))</f>
        <v>pc</v>
      </c>
      <c r="N38" s="6" t="n">
        <f aca="false">ROUND($L38/INDEX(Items!$F$5:$F$62,MATCH($E38,Items!$A$5:$A$62,0)),4)</f>
        <v>1</v>
      </c>
      <c r="O38" s="6"/>
    </row>
    <row r="39" customFormat="false" ht="15" hidden="false" customHeight="false" outlineLevel="0" collapsed="false">
      <c r="A39" s="6" t="n">
        <v>4</v>
      </c>
      <c r="B39" s="6" t="s">
        <v>266</v>
      </c>
      <c r="C39" s="6" t="s">
        <v>261</v>
      </c>
      <c r="D39" s="6" t="s">
        <v>225</v>
      </c>
      <c r="E39" s="6" t="s">
        <v>72</v>
      </c>
      <c r="F39" s="6" t="str">
        <f aca="false">INDEX(Items!$B$5:$B$62,MATCH($E39,Items!$A$5:$A$62,0))</f>
        <v>DISPOSABLES &amp; CLINIC CONSUMABLES</v>
      </c>
      <c r="G39" s="6" t="str">
        <f aca="false">INDEX(Items!$C$5:$C$62,MATCH($E39,Items!$A$5:$A$62,0))</f>
        <v>Bulk</v>
      </c>
      <c r="H39" s="6" t="s">
        <v>161</v>
      </c>
      <c r="I39" s="6" t="s">
        <v>160</v>
      </c>
      <c r="J39" s="6" t="n">
        <f aca="false">SUMIFS(Kits!$C$5:$C$163,Kits!$A$5:$A$163,$D39,Kits!$B$5:$B$163,$E39)</f>
        <v>4</v>
      </c>
      <c r="K39" s="6" t="n">
        <f aca="false">INDEX(Services!$F$5:$F$85,MATCH($A39,Services!$A$5:$A$85,0))</f>
        <v>1</v>
      </c>
      <c r="L39" s="6" t="n">
        <f aca="false">IF($H39="Auto-deduct",IF($G39="Countable",ROUNDUP($J39*IF($I39="Y",$K39,1),0),ROUND($J39*IF($I39="Y",$K39,1),1)),$J39)</f>
        <v>4</v>
      </c>
      <c r="M39" s="6" t="str">
        <f aca="false">INDEX(Items!$E$5:$E$62,MATCH($E39,Items!$A$5:$A$62,0))</f>
        <v>pc</v>
      </c>
      <c r="N39" s="6" t="n">
        <f aca="false">ROUND($L39/INDEX(Items!$F$5:$F$62,MATCH($E39,Items!$A$5:$A$62,0)),4)</f>
        <v>0.04</v>
      </c>
      <c r="O39" s="6"/>
    </row>
    <row r="40" customFormat="false" ht="15" hidden="false" customHeight="false" outlineLevel="0" collapsed="false">
      <c r="A40" s="6" t="n">
        <v>4</v>
      </c>
      <c r="B40" s="6" t="s">
        <v>266</v>
      </c>
      <c r="C40" s="6" t="s">
        <v>261</v>
      </c>
      <c r="D40" s="6" t="s">
        <v>225</v>
      </c>
      <c r="E40" s="6" t="s">
        <v>69</v>
      </c>
      <c r="F40" s="6" t="str">
        <f aca="false">INDEX(Items!$B$5:$B$62,MATCH($E40,Items!$A$5:$A$62,0))</f>
        <v>DISPOSABLES &amp; CLINIC CONSUMABLES</v>
      </c>
      <c r="G40" s="6" t="str">
        <f aca="false">INDEX(Items!$C$5:$C$62,MATCH($E40,Items!$A$5:$A$62,0))</f>
        <v>Bulk</v>
      </c>
      <c r="H40" s="6" t="s">
        <v>161</v>
      </c>
      <c r="I40" s="6" t="s">
        <v>160</v>
      </c>
      <c r="J40" s="6" t="n">
        <f aca="false">SUMIFS(Kits!$C$5:$C$163,Kits!$A$5:$A$163,$D40,Kits!$B$5:$B$163,$E40)</f>
        <v>3</v>
      </c>
      <c r="K40" s="6" t="n">
        <f aca="false">INDEX(Services!$F$5:$F$85,MATCH($A40,Services!$A$5:$A$85,0))</f>
        <v>1</v>
      </c>
      <c r="L40" s="6" t="n">
        <f aca="false">IF($H40="Auto-deduct",IF($G40="Countable",ROUNDUP($J40*IF($I40="Y",$K40,1),0),ROUND($J40*IF($I40="Y",$K40,1),1)),$J40)</f>
        <v>3</v>
      </c>
      <c r="M40" s="6" t="str">
        <f aca="false">INDEX(Items!$E$5:$E$62,MATCH($E40,Items!$A$5:$A$62,0))</f>
        <v>g</v>
      </c>
      <c r="N40" s="6" t="n">
        <f aca="false">ROUND($L40/INDEX(Items!$F$5:$F$62,MATCH($E40,Items!$A$5:$A$62,0)),4)</f>
        <v>0.0075</v>
      </c>
      <c r="O40" s="6"/>
    </row>
    <row r="41" customFormat="false" ht="15" hidden="false" customHeight="false" outlineLevel="0" collapsed="false">
      <c r="A41" s="6" t="n">
        <v>4</v>
      </c>
      <c r="B41" s="6" t="s">
        <v>266</v>
      </c>
      <c r="C41" s="6" t="s">
        <v>261</v>
      </c>
      <c r="D41" s="6" t="s">
        <v>225</v>
      </c>
      <c r="E41" s="6" t="s">
        <v>58</v>
      </c>
      <c r="F41" s="6" t="str">
        <f aca="false">INDEX(Items!$B$5:$B$62,MATCH($E41,Items!$A$5:$A$62,0))</f>
        <v>DISPOSABLES &amp; CLINIC CONSUMABLES</v>
      </c>
      <c r="G41" s="6" t="str">
        <f aca="false">INDEX(Items!$C$5:$C$62,MATCH($E41,Items!$A$5:$A$62,0))</f>
        <v>Bulk</v>
      </c>
      <c r="H41" s="6" t="s">
        <v>161</v>
      </c>
      <c r="I41" s="6" t="s">
        <v>160</v>
      </c>
      <c r="J41" s="6" t="n">
        <f aca="false">SUMIFS(Kits!$C$5:$C$163,Kits!$A$5:$A$163,$D41,Kits!$B$5:$B$163,$E41)</f>
        <v>4</v>
      </c>
      <c r="K41" s="6" t="n">
        <f aca="false">INDEX(Services!$F$5:$F$85,MATCH($A41,Services!$A$5:$A$85,0))</f>
        <v>1</v>
      </c>
      <c r="L41" s="6" t="n">
        <f aca="false">IF($H41="Auto-deduct",IF($G41="Countable",ROUNDUP($J41*IF($I41="Y",$K41,1),0),ROUND($J41*IF($I41="Y",$K41,1),1)),$J41)</f>
        <v>4</v>
      </c>
      <c r="M41" s="6" t="str">
        <f aca="false">INDEX(Items!$E$5:$E$62,MATCH($E41,Items!$A$5:$A$62,0))</f>
        <v>sheet</v>
      </c>
      <c r="N41" s="6" t="n">
        <f aca="false">ROUND($L41/INDEX(Items!$F$5:$F$62,MATCH($E41,Items!$A$5:$A$62,0)),4)</f>
        <v>0.02</v>
      </c>
      <c r="O41" s="6"/>
    </row>
    <row r="42" customFormat="false" ht="15" hidden="false" customHeight="false" outlineLevel="0" collapsed="false">
      <c r="A42" s="6" t="n">
        <v>4</v>
      </c>
      <c r="B42" s="6" t="s">
        <v>266</v>
      </c>
      <c r="C42" s="6" t="s">
        <v>261</v>
      </c>
      <c r="D42" s="6" t="s">
        <v>225</v>
      </c>
      <c r="E42" s="6" t="s">
        <v>76</v>
      </c>
      <c r="F42" s="6" t="str">
        <f aca="false">INDEX(Items!$B$5:$B$62,MATCH($E42,Items!$A$5:$A$62,0))</f>
        <v>DISPOSABLES &amp; CLINIC CONSUMABLES</v>
      </c>
      <c r="G42" s="6" t="str">
        <f aca="false">INDEX(Items!$C$5:$C$62,MATCH($E42,Items!$A$5:$A$62,0))</f>
        <v>Bulk</v>
      </c>
      <c r="H42" s="6" t="s">
        <v>161</v>
      </c>
      <c r="I42" s="6" t="s">
        <v>160</v>
      </c>
      <c r="J42" s="6" t="n">
        <f aca="false">SUMIFS(Kits!$C$5:$C$163,Kits!$A$5:$A$163,$D42,Kits!$B$5:$B$163,$E42)</f>
        <v>30</v>
      </c>
      <c r="K42" s="6" t="n">
        <f aca="false">INDEX(Services!$F$5:$F$85,MATCH($A42,Services!$A$5:$A$85,0))</f>
        <v>1</v>
      </c>
      <c r="L42" s="6" t="n">
        <f aca="false">IF($H42="Auto-deduct",IF($G42="Countable",ROUNDUP($J42*IF($I42="Y",$K42,1),0),ROUND($J42*IF($I42="Y",$K42,1),1)),$J42)</f>
        <v>30</v>
      </c>
      <c r="M42" s="6" t="str">
        <f aca="false">INDEX(Items!$E$5:$E$62,MATCH($E42,Items!$A$5:$A$62,0))</f>
        <v>cm</v>
      </c>
      <c r="N42" s="6" t="n">
        <f aca="false">ROUND($L42/INDEX(Items!$F$5:$F$62,MATCH($E42,Items!$A$5:$A$62,0)),4)</f>
        <v>0.0328</v>
      </c>
      <c r="O42" s="6"/>
    </row>
    <row r="43" customFormat="false" ht="15" hidden="false" customHeight="false" outlineLevel="0" collapsed="false">
      <c r="A43" s="6" t="n">
        <v>4</v>
      </c>
      <c r="B43" s="6" t="s">
        <v>266</v>
      </c>
      <c r="C43" s="6" t="s">
        <v>261</v>
      </c>
      <c r="D43" s="6" t="s">
        <v>225</v>
      </c>
      <c r="E43" s="6" t="s">
        <v>88</v>
      </c>
      <c r="F43" s="6" t="str">
        <f aca="false">INDEX(Items!$B$5:$B$62,MATCH($E43,Items!$A$5:$A$62,0))</f>
        <v>DISPOSABLES &amp; CLINIC CONSUMABLES</v>
      </c>
      <c r="G43" s="6" t="str">
        <f aca="false">INDEX(Items!$C$5:$C$62,MATCH($E43,Items!$A$5:$A$62,0))</f>
        <v>Bulk</v>
      </c>
      <c r="H43" s="6" t="s">
        <v>161</v>
      </c>
      <c r="I43" s="6" t="s">
        <v>160</v>
      </c>
      <c r="J43" s="6" t="n">
        <f aca="false">SUMIFS(Kits!$C$5:$C$163,Kits!$A$5:$A$163,$D43,Kits!$B$5:$B$163,$E43)</f>
        <v>5</v>
      </c>
      <c r="K43" s="6" t="n">
        <f aca="false">INDEX(Services!$F$5:$F$85,MATCH($A43,Services!$A$5:$A$85,0))</f>
        <v>1</v>
      </c>
      <c r="L43" s="6" t="n">
        <f aca="false">IF($H43="Auto-deduct",IF($G43="Countable",ROUNDUP($J43*IF($I43="Y",$K43,1),0),ROUND($J43*IF($I43="Y",$K43,1),1)),$J43)</f>
        <v>5</v>
      </c>
      <c r="M43" s="6" t="str">
        <f aca="false">INDEX(Items!$E$5:$E$62,MATCH($E43,Items!$A$5:$A$62,0))</f>
        <v>mL</v>
      </c>
      <c r="N43" s="6" t="n">
        <f aca="false">ROUND($L43/INDEX(Items!$F$5:$F$62,MATCH($E43,Items!$A$5:$A$62,0)),4)</f>
        <v>0.01</v>
      </c>
      <c r="O43" s="6"/>
    </row>
    <row r="44" customFormat="false" ht="15" hidden="false" customHeight="false" outlineLevel="0" collapsed="false">
      <c r="A44" s="6" t="n">
        <v>4</v>
      </c>
      <c r="B44" s="6" t="s">
        <v>266</v>
      </c>
      <c r="C44" s="6" t="s">
        <v>261</v>
      </c>
      <c r="D44" s="6" t="s">
        <v>225</v>
      </c>
      <c r="E44" s="6" t="s">
        <v>86</v>
      </c>
      <c r="F44" s="6" t="str">
        <f aca="false">INDEX(Items!$B$5:$B$62,MATCH($E44,Items!$A$5:$A$62,0))</f>
        <v>DISPOSABLES &amp; CLINIC CONSUMABLES</v>
      </c>
      <c r="G44" s="6" t="str">
        <f aca="false">INDEX(Items!$C$5:$C$62,MATCH($E44,Items!$A$5:$A$62,0))</f>
        <v>Bulk</v>
      </c>
      <c r="H44" s="6" t="s">
        <v>161</v>
      </c>
      <c r="I44" s="6" t="s">
        <v>160</v>
      </c>
      <c r="J44" s="6" t="n">
        <f aca="false">SUMIFS(Kits!$C$5:$C$163,Kits!$A$5:$A$163,$D44,Kits!$B$5:$B$163,$E44)</f>
        <v>2</v>
      </c>
      <c r="K44" s="6" t="n">
        <f aca="false">INDEX(Services!$F$5:$F$85,MATCH($A44,Services!$A$5:$A$85,0))</f>
        <v>1</v>
      </c>
      <c r="L44" s="6" t="n">
        <f aca="false">IF($H44="Auto-deduct",IF($G44="Countable",ROUNDUP($J44*IF($I44="Y",$K44,1),0),ROUND($J44*IF($I44="Y",$K44,1),1)),$J44)</f>
        <v>2</v>
      </c>
      <c r="M44" s="6" t="str">
        <f aca="false">INDEX(Items!$E$5:$E$62,MATCH($E44,Items!$A$5:$A$62,0))</f>
        <v>pc</v>
      </c>
      <c r="N44" s="6" t="n">
        <f aca="false">ROUND($L44/INDEX(Items!$F$5:$F$62,MATCH($E44,Items!$A$5:$A$62,0)),4)</f>
        <v>0.025</v>
      </c>
      <c r="O44" s="6"/>
    </row>
    <row r="45" customFormat="false" ht="15" hidden="false" customHeight="false" outlineLevel="0" collapsed="false">
      <c r="A45" s="6" t="n">
        <v>5</v>
      </c>
      <c r="B45" s="6" t="s">
        <v>267</v>
      </c>
      <c r="C45" s="6" t="s">
        <v>261</v>
      </c>
      <c r="D45" s="6" t="s">
        <v>159</v>
      </c>
      <c r="E45" s="6" t="s">
        <v>52</v>
      </c>
      <c r="F45" s="6" t="str">
        <f aca="false">INDEX(Items!$B$5:$B$62,MATCH($E45,Items!$A$5:$A$62,0))</f>
        <v>DISPOSABLES &amp; CLINIC CONSUMABLES</v>
      </c>
      <c r="G45" s="6" t="str">
        <f aca="false">INDEX(Items!$C$5:$C$62,MATCH($E45,Items!$A$5:$A$62,0))</f>
        <v>Countable</v>
      </c>
      <c r="H45" s="6" t="s">
        <v>161</v>
      </c>
      <c r="I45" s="6" t="s">
        <v>160</v>
      </c>
      <c r="J45" s="6" t="n">
        <f aca="false">SUMIFS(Kits!$C$5:$C$163,Kits!$A$5:$A$163,$D45,Kits!$B$5:$B$163,$E45)</f>
        <v>1</v>
      </c>
      <c r="K45" s="6" t="n">
        <f aca="false">INDEX(Services!$F$5:$F$85,MATCH($A45,Services!$A$5:$A$85,0))</f>
        <v>1</v>
      </c>
      <c r="L45" s="6" t="n">
        <f aca="false">IF($H45="Auto-deduct",IF($G45="Countable",ROUNDUP($J45*IF($I45="Y",$K45,1),0),ROUND($J45*IF($I45="Y",$K45,1),1)),$J45)</f>
        <v>1</v>
      </c>
      <c r="M45" s="6" t="str">
        <f aca="false">INDEX(Items!$E$5:$E$62,MATCH($E45,Items!$A$5:$A$62,0))</f>
        <v>pc</v>
      </c>
      <c r="N45" s="6" t="n">
        <f aca="false">ROUND($L45/INDEX(Items!$F$5:$F$62,MATCH($E45,Items!$A$5:$A$62,0)),4)</f>
        <v>1</v>
      </c>
      <c r="O45" s="6"/>
    </row>
    <row r="46" customFormat="false" ht="15" hidden="false" customHeight="false" outlineLevel="0" collapsed="false">
      <c r="A46" s="6" t="n">
        <v>5</v>
      </c>
      <c r="B46" s="6" t="s">
        <v>267</v>
      </c>
      <c r="C46" s="6" t="s">
        <v>261</v>
      </c>
      <c r="D46" s="6" t="s">
        <v>159</v>
      </c>
      <c r="E46" s="6" t="s">
        <v>53</v>
      </c>
      <c r="F46" s="6" t="str">
        <f aca="false">INDEX(Items!$B$5:$B$62,MATCH($E46,Items!$A$5:$A$62,0))</f>
        <v>DISPOSABLES &amp; CLINIC CONSUMABLES</v>
      </c>
      <c r="G46" s="6" t="str">
        <f aca="false">INDEX(Items!$C$5:$C$62,MATCH($E46,Items!$A$5:$A$62,0))</f>
        <v>Countable</v>
      </c>
      <c r="H46" s="6" t="s">
        <v>161</v>
      </c>
      <c r="I46" s="6" t="s">
        <v>160</v>
      </c>
      <c r="J46" s="6" t="n">
        <f aca="false">SUMIFS(Kits!$C$5:$C$163,Kits!$A$5:$A$163,$D46,Kits!$B$5:$B$163,$E46)</f>
        <v>1</v>
      </c>
      <c r="K46" s="6" t="n">
        <f aca="false">INDEX(Services!$F$5:$F$85,MATCH($A46,Services!$A$5:$A$85,0))</f>
        <v>1</v>
      </c>
      <c r="L46" s="6" t="n">
        <f aca="false">IF($H46="Auto-deduct",IF($G46="Countable",ROUNDUP($J46*IF($I46="Y",$K46,1),0),ROUND($J46*IF($I46="Y",$K46,1),1)),$J46)</f>
        <v>1</v>
      </c>
      <c r="M46" s="6" t="str">
        <f aca="false">INDEX(Items!$E$5:$E$62,MATCH($E46,Items!$A$5:$A$62,0))</f>
        <v>pair</v>
      </c>
      <c r="N46" s="6" t="n">
        <f aca="false">ROUND($L46/INDEX(Items!$F$5:$F$62,MATCH($E46,Items!$A$5:$A$62,0)),4)</f>
        <v>1</v>
      </c>
      <c r="O46" s="6"/>
    </row>
    <row r="47" customFormat="false" ht="15" hidden="false" customHeight="false" outlineLevel="0" collapsed="false">
      <c r="A47" s="6" t="n">
        <v>5</v>
      </c>
      <c r="B47" s="6" t="s">
        <v>267</v>
      </c>
      <c r="C47" s="6" t="s">
        <v>261</v>
      </c>
      <c r="D47" s="6" t="s">
        <v>159</v>
      </c>
      <c r="E47" s="6" t="s">
        <v>88</v>
      </c>
      <c r="F47" s="6" t="str">
        <f aca="false">INDEX(Items!$B$5:$B$62,MATCH($E47,Items!$A$5:$A$62,0))</f>
        <v>DISPOSABLES &amp; CLINIC CONSUMABLES</v>
      </c>
      <c r="G47" s="6" t="str">
        <f aca="false">INDEX(Items!$C$5:$C$62,MATCH($E47,Items!$A$5:$A$62,0))</f>
        <v>Bulk</v>
      </c>
      <c r="H47" s="6" t="s">
        <v>161</v>
      </c>
      <c r="I47" s="6" t="s">
        <v>160</v>
      </c>
      <c r="J47" s="6" t="n">
        <f aca="false">SUMIFS(Kits!$C$5:$C$163,Kits!$A$5:$A$163,$D47,Kits!$B$5:$B$163,$E47)</f>
        <v>5</v>
      </c>
      <c r="K47" s="6" t="n">
        <f aca="false">INDEX(Services!$F$5:$F$85,MATCH($A47,Services!$A$5:$A$85,0))</f>
        <v>1</v>
      </c>
      <c r="L47" s="6" t="n">
        <f aca="false">IF($H47="Auto-deduct",IF($G47="Countable",ROUNDUP($J47*IF($I47="Y",$K47,1),0),ROUND($J47*IF($I47="Y",$K47,1),1)),$J47)</f>
        <v>5</v>
      </c>
      <c r="M47" s="6" t="str">
        <f aca="false">INDEX(Items!$E$5:$E$62,MATCH($E47,Items!$A$5:$A$62,0))</f>
        <v>mL</v>
      </c>
      <c r="N47" s="6" t="n">
        <f aca="false">ROUND($L47/INDEX(Items!$F$5:$F$62,MATCH($E47,Items!$A$5:$A$62,0)),4)</f>
        <v>0.01</v>
      </c>
      <c r="O47" s="6"/>
    </row>
    <row r="48" customFormat="false" ht="15" hidden="false" customHeight="false" outlineLevel="0" collapsed="false">
      <c r="A48" s="6" t="n">
        <v>5</v>
      </c>
      <c r="B48" s="6" t="s">
        <v>267</v>
      </c>
      <c r="C48" s="6" t="s">
        <v>261</v>
      </c>
      <c r="D48" s="6" t="s">
        <v>225</v>
      </c>
      <c r="E48" s="6" t="s">
        <v>50</v>
      </c>
      <c r="F48" s="6" t="str">
        <f aca="false">INDEX(Items!$B$5:$B$62,MATCH($E48,Items!$A$5:$A$62,0))</f>
        <v>DISPOSABLES &amp; CLINIC CONSUMABLES</v>
      </c>
      <c r="G48" s="6" t="str">
        <f aca="false">INDEX(Items!$C$5:$C$62,MATCH($E48,Items!$A$5:$A$62,0))</f>
        <v>Countable</v>
      </c>
      <c r="H48" s="6" t="s">
        <v>161</v>
      </c>
      <c r="I48" s="6" t="s">
        <v>160</v>
      </c>
      <c r="J48" s="6" t="n">
        <f aca="false">SUMIFS(Kits!$C$5:$C$163,Kits!$A$5:$A$163,$D48,Kits!$B$5:$B$163,$E48)</f>
        <v>1</v>
      </c>
      <c r="K48" s="6" t="n">
        <f aca="false">INDEX(Services!$F$5:$F$85,MATCH($A48,Services!$A$5:$A$85,0))</f>
        <v>1</v>
      </c>
      <c r="L48" s="6" t="n">
        <f aca="false">IF($H48="Auto-deduct",IF($G48="Countable",ROUNDUP($J48*IF($I48="Y",$K48,1),0),ROUND($J48*IF($I48="Y",$K48,1),1)),$J48)</f>
        <v>1</v>
      </c>
      <c r="M48" s="6" t="str">
        <f aca="false">INDEX(Items!$E$5:$E$62,MATCH($E48,Items!$A$5:$A$62,0))</f>
        <v>pc</v>
      </c>
      <c r="N48" s="6" t="n">
        <f aca="false">ROUND($L48/INDEX(Items!$F$5:$F$62,MATCH($E48,Items!$A$5:$A$62,0)),4)</f>
        <v>1</v>
      </c>
      <c r="O48" s="6"/>
    </row>
    <row r="49" customFormat="false" ht="15" hidden="false" customHeight="false" outlineLevel="0" collapsed="false">
      <c r="A49" s="6" t="n">
        <v>5</v>
      </c>
      <c r="B49" s="6" t="s">
        <v>267</v>
      </c>
      <c r="C49" s="6" t="s">
        <v>261</v>
      </c>
      <c r="D49" s="6" t="s">
        <v>225</v>
      </c>
      <c r="E49" s="6" t="s">
        <v>72</v>
      </c>
      <c r="F49" s="6" t="str">
        <f aca="false">INDEX(Items!$B$5:$B$62,MATCH($E49,Items!$A$5:$A$62,0))</f>
        <v>DISPOSABLES &amp; CLINIC CONSUMABLES</v>
      </c>
      <c r="G49" s="6" t="str">
        <f aca="false">INDEX(Items!$C$5:$C$62,MATCH($E49,Items!$A$5:$A$62,0))</f>
        <v>Bulk</v>
      </c>
      <c r="H49" s="6" t="s">
        <v>161</v>
      </c>
      <c r="I49" s="6" t="s">
        <v>160</v>
      </c>
      <c r="J49" s="6" t="n">
        <f aca="false">SUMIFS(Kits!$C$5:$C$163,Kits!$A$5:$A$163,$D49,Kits!$B$5:$B$163,$E49)</f>
        <v>4</v>
      </c>
      <c r="K49" s="6" t="n">
        <f aca="false">INDEX(Services!$F$5:$F$85,MATCH($A49,Services!$A$5:$A$85,0))</f>
        <v>1</v>
      </c>
      <c r="L49" s="6" t="n">
        <f aca="false">IF($H49="Auto-deduct",IF($G49="Countable",ROUNDUP($J49*IF($I49="Y",$K49,1),0),ROUND($J49*IF($I49="Y",$K49,1),1)),$J49)</f>
        <v>4</v>
      </c>
      <c r="M49" s="6" t="str">
        <f aca="false">INDEX(Items!$E$5:$E$62,MATCH($E49,Items!$A$5:$A$62,0))</f>
        <v>pc</v>
      </c>
      <c r="N49" s="6" t="n">
        <f aca="false">ROUND($L49/INDEX(Items!$F$5:$F$62,MATCH($E49,Items!$A$5:$A$62,0)),4)</f>
        <v>0.04</v>
      </c>
      <c r="O49" s="6"/>
    </row>
    <row r="50" customFormat="false" ht="15" hidden="false" customHeight="false" outlineLevel="0" collapsed="false">
      <c r="A50" s="6" t="n">
        <v>5</v>
      </c>
      <c r="B50" s="6" t="s">
        <v>267</v>
      </c>
      <c r="C50" s="6" t="s">
        <v>261</v>
      </c>
      <c r="D50" s="6" t="s">
        <v>225</v>
      </c>
      <c r="E50" s="6" t="s">
        <v>69</v>
      </c>
      <c r="F50" s="6" t="str">
        <f aca="false">INDEX(Items!$B$5:$B$62,MATCH($E50,Items!$A$5:$A$62,0))</f>
        <v>DISPOSABLES &amp; CLINIC CONSUMABLES</v>
      </c>
      <c r="G50" s="6" t="str">
        <f aca="false">INDEX(Items!$C$5:$C$62,MATCH($E50,Items!$A$5:$A$62,0))</f>
        <v>Bulk</v>
      </c>
      <c r="H50" s="6" t="s">
        <v>161</v>
      </c>
      <c r="I50" s="6" t="s">
        <v>160</v>
      </c>
      <c r="J50" s="6" t="n">
        <f aca="false">SUMIFS(Kits!$C$5:$C$163,Kits!$A$5:$A$163,$D50,Kits!$B$5:$B$163,$E50)</f>
        <v>3</v>
      </c>
      <c r="K50" s="6" t="n">
        <f aca="false">INDEX(Services!$F$5:$F$85,MATCH($A50,Services!$A$5:$A$85,0))</f>
        <v>1</v>
      </c>
      <c r="L50" s="6" t="n">
        <f aca="false">IF($H50="Auto-deduct",IF($G50="Countable",ROUNDUP($J50*IF($I50="Y",$K50,1),0),ROUND($J50*IF($I50="Y",$K50,1),1)),$J50)</f>
        <v>3</v>
      </c>
      <c r="M50" s="6" t="str">
        <f aca="false">INDEX(Items!$E$5:$E$62,MATCH($E50,Items!$A$5:$A$62,0))</f>
        <v>g</v>
      </c>
      <c r="N50" s="6" t="n">
        <f aca="false">ROUND($L50/INDEX(Items!$F$5:$F$62,MATCH($E50,Items!$A$5:$A$62,0)),4)</f>
        <v>0.0075</v>
      </c>
      <c r="O50" s="6"/>
    </row>
    <row r="51" customFormat="false" ht="15" hidden="false" customHeight="false" outlineLevel="0" collapsed="false">
      <c r="A51" s="6" t="n">
        <v>5</v>
      </c>
      <c r="B51" s="6" t="s">
        <v>267</v>
      </c>
      <c r="C51" s="6" t="s">
        <v>261</v>
      </c>
      <c r="D51" s="6" t="s">
        <v>225</v>
      </c>
      <c r="E51" s="6" t="s">
        <v>58</v>
      </c>
      <c r="F51" s="6" t="str">
        <f aca="false">INDEX(Items!$B$5:$B$62,MATCH($E51,Items!$A$5:$A$62,0))</f>
        <v>DISPOSABLES &amp; CLINIC CONSUMABLES</v>
      </c>
      <c r="G51" s="6" t="str">
        <f aca="false">INDEX(Items!$C$5:$C$62,MATCH($E51,Items!$A$5:$A$62,0))</f>
        <v>Bulk</v>
      </c>
      <c r="H51" s="6" t="s">
        <v>161</v>
      </c>
      <c r="I51" s="6" t="s">
        <v>160</v>
      </c>
      <c r="J51" s="6" t="n">
        <f aca="false">SUMIFS(Kits!$C$5:$C$163,Kits!$A$5:$A$163,$D51,Kits!$B$5:$B$163,$E51)</f>
        <v>4</v>
      </c>
      <c r="K51" s="6" t="n">
        <f aca="false">INDEX(Services!$F$5:$F$85,MATCH($A51,Services!$A$5:$A$85,0))</f>
        <v>1</v>
      </c>
      <c r="L51" s="6" t="n">
        <f aca="false">IF($H51="Auto-deduct",IF($G51="Countable",ROUNDUP($J51*IF($I51="Y",$K51,1),0),ROUND($J51*IF($I51="Y",$K51,1),1)),$J51)</f>
        <v>4</v>
      </c>
      <c r="M51" s="6" t="str">
        <f aca="false">INDEX(Items!$E$5:$E$62,MATCH($E51,Items!$A$5:$A$62,0))</f>
        <v>sheet</v>
      </c>
      <c r="N51" s="6" t="n">
        <f aca="false">ROUND($L51/INDEX(Items!$F$5:$F$62,MATCH($E51,Items!$A$5:$A$62,0)),4)</f>
        <v>0.02</v>
      </c>
      <c r="O51" s="6"/>
    </row>
    <row r="52" customFormat="false" ht="15" hidden="false" customHeight="false" outlineLevel="0" collapsed="false">
      <c r="A52" s="6" t="n">
        <v>5</v>
      </c>
      <c r="B52" s="6" t="s">
        <v>267</v>
      </c>
      <c r="C52" s="6" t="s">
        <v>261</v>
      </c>
      <c r="D52" s="6" t="s">
        <v>225</v>
      </c>
      <c r="E52" s="6" t="s">
        <v>76</v>
      </c>
      <c r="F52" s="6" t="str">
        <f aca="false">INDEX(Items!$B$5:$B$62,MATCH($E52,Items!$A$5:$A$62,0))</f>
        <v>DISPOSABLES &amp; CLINIC CONSUMABLES</v>
      </c>
      <c r="G52" s="6" t="str">
        <f aca="false">INDEX(Items!$C$5:$C$62,MATCH($E52,Items!$A$5:$A$62,0))</f>
        <v>Bulk</v>
      </c>
      <c r="H52" s="6" t="s">
        <v>161</v>
      </c>
      <c r="I52" s="6" t="s">
        <v>160</v>
      </c>
      <c r="J52" s="6" t="n">
        <f aca="false">SUMIFS(Kits!$C$5:$C$163,Kits!$A$5:$A$163,$D52,Kits!$B$5:$B$163,$E52)</f>
        <v>30</v>
      </c>
      <c r="K52" s="6" t="n">
        <f aca="false">INDEX(Services!$F$5:$F$85,MATCH($A52,Services!$A$5:$A$85,0))</f>
        <v>1</v>
      </c>
      <c r="L52" s="6" t="n">
        <f aca="false">IF($H52="Auto-deduct",IF($G52="Countable",ROUNDUP($J52*IF($I52="Y",$K52,1),0),ROUND($J52*IF($I52="Y",$K52,1),1)),$J52)</f>
        <v>30</v>
      </c>
      <c r="M52" s="6" t="str">
        <f aca="false">INDEX(Items!$E$5:$E$62,MATCH($E52,Items!$A$5:$A$62,0))</f>
        <v>cm</v>
      </c>
      <c r="N52" s="6" t="n">
        <f aca="false">ROUND($L52/INDEX(Items!$F$5:$F$62,MATCH($E52,Items!$A$5:$A$62,0)),4)</f>
        <v>0.0328</v>
      </c>
      <c r="O52" s="6"/>
    </row>
    <row r="53" customFormat="false" ht="15" hidden="false" customHeight="false" outlineLevel="0" collapsed="false">
      <c r="A53" s="6" t="n">
        <v>5</v>
      </c>
      <c r="B53" s="6" t="s">
        <v>267</v>
      </c>
      <c r="C53" s="6" t="s">
        <v>261</v>
      </c>
      <c r="D53" s="6" t="s">
        <v>225</v>
      </c>
      <c r="E53" s="6" t="s">
        <v>88</v>
      </c>
      <c r="F53" s="6" t="str">
        <f aca="false">INDEX(Items!$B$5:$B$62,MATCH($E53,Items!$A$5:$A$62,0))</f>
        <v>DISPOSABLES &amp; CLINIC CONSUMABLES</v>
      </c>
      <c r="G53" s="6" t="str">
        <f aca="false">INDEX(Items!$C$5:$C$62,MATCH($E53,Items!$A$5:$A$62,0))</f>
        <v>Bulk</v>
      </c>
      <c r="H53" s="6" t="s">
        <v>161</v>
      </c>
      <c r="I53" s="6" t="s">
        <v>160</v>
      </c>
      <c r="J53" s="6" t="n">
        <f aca="false">SUMIFS(Kits!$C$5:$C$163,Kits!$A$5:$A$163,$D53,Kits!$B$5:$B$163,$E53)</f>
        <v>5</v>
      </c>
      <c r="K53" s="6" t="n">
        <f aca="false">INDEX(Services!$F$5:$F$85,MATCH($A53,Services!$A$5:$A$85,0))</f>
        <v>1</v>
      </c>
      <c r="L53" s="6" t="n">
        <f aca="false">IF($H53="Auto-deduct",IF($G53="Countable",ROUNDUP($J53*IF($I53="Y",$K53,1),0),ROUND($J53*IF($I53="Y",$K53,1),1)),$J53)</f>
        <v>5</v>
      </c>
      <c r="M53" s="6" t="str">
        <f aca="false">INDEX(Items!$E$5:$E$62,MATCH($E53,Items!$A$5:$A$62,0))</f>
        <v>mL</v>
      </c>
      <c r="N53" s="6" t="n">
        <f aca="false">ROUND($L53/INDEX(Items!$F$5:$F$62,MATCH($E53,Items!$A$5:$A$62,0)),4)</f>
        <v>0.01</v>
      </c>
      <c r="O53" s="6"/>
    </row>
    <row r="54" customFormat="false" ht="15" hidden="false" customHeight="false" outlineLevel="0" collapsed="false">
      <c r="A54" s="6" t="n">
        <v>5</v>
      </c>
      <c r="B54" s="6" t="s">
        <v>267</v>
      </c>
      <c r="C54" s="6" t="s">
        <v>261</v>
      </c>
      <c r="D54" s="6" t="s">
        <v>225</v>
      </c>
      <c r="E54" s="6" t="s">
        <v>86</v>
      </c>
      <c r="F54" s="6" t="str">
        <f aca="false">INDEX(Items!$B$5:$B$62,MATCH($E54,Items!$A$5:$A$62,0))</f>
        <v>DISPOSABLES &amp; CLINIC CONSUMABLES</v>
      </c>
      <c r="G54" s="6" t="str">
        <f aca="false">INDEX(Items!$C$5:$C$62,MATCH($E54,Items!$A$5:$A$62,0))</f>
        <v>Bulk</v>
      </c>
      <c r="H54" s="6" t="s">
        <v>161</v>
      </c>
      <c r="I54" s="6" t="s">
        <v>160</v>
      </c>
      <c r="J54" s="6" t="n">
        <f aca="false">SUMIFS(Kits!$C$5:$C$163,Kits!$A$5:$A$163,$D54,Kits!$B$5:$B$163,$E54)</f>
        <v>2</v>
      </c>
      <c r="K54" s="6" t="n">
        <f aca="false">INDEX(Services!$F$5:$F$85,MATCH($A54,Services!$A$5:$A$85,0))</f>
        <v>1</v>
      </c>
      <c r="L54" s="6" t="n">
        <f aca="false">IF($H54="Auto-deduct",IF($G54="Countable",ROUNDUP($J54*IF($I54="Y",$K54,1),0),ROUND($J54*IF($I54="Y",$K54,1),1)),$J54)</f>
        <v>2</v>
      </c>
      <c r="M54" s="6" t="str">
        <f aca="false">INDEX(Items!$E$5:$E$62,MATCH($E54,Items!$A$5:$A$62,0))</f>
        <v>pc</v>
      </c>
      <c r="N54" s="6" t="n">
        <f aca="false">ROUND($L54/INDEX(Items!$F$5:$F$62,MATCH($E54,Items!$A$5:$A$62,0)),4)</f>
        <v>0.025</v>
      </c>
      <c r="O54" s="6"/>
    </row>
    <row r="55" customFormat="false" ht="15" hidden="false" customHeight="false" outlineLevel="0" collapsed="false">
      <c r="A55" s="6" t="n">
        <v>6</v>
      </c>
      <c r="B55" s="6" t="s">
        <v>269</v>
      </c>
      <c r="C55" s="6" t="s">
        <v>261</v>
      </c>
      <c r="D55" s="6" t="s">
        <v>159</v>
      </c>
      <c r="E55" s="6" t="s">
        <v>52</v>
      </c>
      <c r="F55" s="6" t="str">
        <f aca="false">INDEX(Items!$B$5:$B$62,MATCH($E55,Items!$A$5:$A$62,0))</f>
        <v>DISPOSABLES &amp; CLINIC CONSUMABLES</v>
      </c>
      <c r="G55" s="6" t="str">
        <f aca="false">INDEX(Items!$C$5:$C$62,MATCH($E55,Items!$A$5:$A$62,0))</f>
        <v>Countable</v>
      </c>
      <c r="H55" s="6" t="s">
        <v>161</v>
      </c>
      <c r="I55" s="6" t="s">
        <v>160</v>
      </c>
      <c r="J55" s="6" t="n">
        <f aca="false">SUMIFS(Kits!$C$5:$C$163,Kits!$A$5:$A$163,$D55,Kits!$B$5:$B$163,$E55)</f>
        <v>1</v>
      </c>
      <c r="K55" s="6" t="n">
        <f aca="false">INDEX(Services!$F$5:$F$85,MATCH($A55,Services!$A$5:$A$85,0))</f>
        <v>1</v>
      </c>
      <c r="L55" s="6" t="n">
        <f aca="false">IF($H55="Auto-deduct",IF($G55="Countable",ROUNDUP($J55*IF($I55="Y",$K55,1),0),ROUND($J55*IF($I55="Y",$K55,1),1)),$J55)</f>
        <v>1</v>
      </c>
      <c r="M55" s="6" t="str">
        <f aca="false">INDEX(Items!$E$5:$E$62,MATCH($E55,Items!$A$5:$A$62,0))</f>
        <v>pc</v>
      </c>
      <c r="N55" s="6" t="n">
        <f aca="false">ROUND($L55/INDEX(Items!$F$5:$F$62,MATCH($E55,Items!$A$5:$A$62,0)),4)</f>
        <v>1</v>
      </c>
      <c r="O55" s="6"/>
    </row>
    <row r="56" customFormat="false" ht="15" hidden="false" customHeight="false" outlineLevel="0" collapsed="false">
      <c r="A56" s="6" t="n">
        <v>6</v>
      </c>
      <c r="B56" s="6" t="s">
        <v>269</v>
      </c>
      <c r="C56" s="6" t="s">
        <v>261</v>
      </c>
      <c r="D56" s="6" t="s">
        <v>159</v>
      </c>
      <c r="E56" s="6" t="s">
        <v>53</v>
      </c>
      <c r="F56" s="6" t="str">
        <f aca="false">INDEX(Items!$B$5:$B$62,MATCH($E56,Items!$A$5:$A$62,0))</f>
        <v>DISPOSABLES &amp; CLINIC CONSUMABLES</v>
      </c>
      <c r="G56" s="6" t="str">
        <f aca="false">INDEX(Items!$C$5:$C$62,MATCH($E56,Items!$A$5:$A$62,0))</f>
        <v>Countable</v>
      </c>
      <c r="H56" s="6" t="s">
        <v>161</v>
      </c>
      <c r="I56" s="6" t="s">
        <v>160</v>
      </c>
      <c r="J56" s="6" t="n">
        <f aca="false">SUMIFS(Kits!$C$5:$C$163,Kits!$A$5:$A$163,$D56,Kits!$B$5:$B$163,$E56)</f>
        <v>1</v>
      </c>
      <c r="K56" s="6" t="n">
        <f aca="false">INDEX(Services!$F$5:$F$85,MATCH($A56,Services!$A$5:$A$85,0))</f>
        <v>1</v>
      </c>
      <c r="L56" s="6" t="n">
        <f aca="false">IF($H56="Auto-deduct",IF($G56="Countable",ROUNDUP($J56*IF($I56="Y",$K56,1),0),ROUND($J56*IF($I56="Y",$K56,1),1)),$J56)</f>
        <v>1</v>
      </c>
      <c r="M56" s="6" t="str">
        <f aca="false">INDEX(Items!$E$5:$E$62,MATCH($E56,Items!$A$5:$A$62,0))</f>
        <v>pair</v>
      </c>
      <c r="N56" s="6" t="n">
        <f aca="false">ROUND($L56/INDEX(Items!$F$5:$F$62,MATCH($E56,Items!$A$5:$A$62,0)),4)</f>
        <v>1</v>
      </c>
      <c r="O56" s="6"/>
    </row>
    <row r="57" customFormat="false" ht="15" hidden="false" customHeight="false" outlineLevel="0" collapsed="false">
      <c r="A57" s="6" t="n">
        <v>6</v>
      </c>
      <c r="B57" s="6" t="s">
        <v>269</v>
      </c>
      <c r="C57" s="6" t="s">
        <v>261</v>
      </c>
      <c r="D57" s="6" t="s">
        <v>159</v>
      </c>
      <c r="E57" s="6" t="s">
        <v>88</v>
      </c>
      <c r="F57" s="6" t="str">
        <f aca="false">INDEX(Items!$B$5:$B$62,MATCH($E57,Items!$A$5:$A$62,0))</f>
        <v>DISPOSABLES &amp; CLINIC CONSUMABLES</v>
      </c>
      <c r="G57" s="6" t="str">
        <f aca="false">INDEX(Items!$C$5:$C$62,MATCH($E57,Items!$A$5:$A$62,0))</f>
        <v>Bulk</v>
      </c>
      <c r="H57" s="6" t="s">
        <v>161</v>
      </c>
      <c r="I57" s="6" t="s">
        <v>160</v>
      </c>
      <c r="J57" s="6" t="n">
        <f aca="false">SUMIFS(Kits!$C$5:$C$163,Kits!$A$5:$A$163,$D57,Kits!$B$5:$B$163,$E57)</f>
        <v>5</v>
      </c>
      <c r="K57" s="6" t="n">
        <f aca="false">INDEX(Services!$F$5:$F$85,MATCH($A57,Services!$A$5:$A$85,0))</f>
        <v>1</v>
      </c>
      <c r="L57" s="6" t="n">
        <f aca="false">IF($H57="Auto-deduct",IF($G57="Countable",ROUNDUP($J57*IF($I57="Y",$K57,1),0),ROUND($J57*IF($I57="Y",$K57,1),1)),$J57)</f>
        <v>5</v>
      </c>
      <c r="M57" s="6" t="str">
        <f aca="false">INDEX(Items!$E$5:$E$62,MATCH($E57,Items!$A$5:$A$62,0))</f>
        <v>mL</v>
      </c>
      <c r="N57" s="6" t="n">
        <f aca="false">ROUND($L57/INDEX(Items!$F$5:$F$62,MATCH($E57,Items!$A$5:$A$62,0)),4)</f>
        <v>0.01</v>
      </c>
      <c r="O57" s="6"/>
    </row>
    <row r="58" customFormat="false" ht="15" hidden="false" customHeight="false" outlineLevel="0" collapsed="false">
      <c r="A58" s="6" t="n">
        <v>6</v>
      </c>
      <c r="B58" s="6" t="s">
        <v>269</v>
      </c>
      <c r="C58" s="6" t="s">
        <v>261</v>
      </c>
      <c r="D58" s="6" t="s">
        <v>227</v>
      </c>
      <c r="E58" s="6" t="s">
        <v>50</v>
      </c>
      <c r="F58" s="6" t="str">
        <f aca="false">INDEX(Items!$B$5:$B$62,MATCH($E58,Items!$A$5:$A$62,0))</f>
        <v>DISPOSABLES &amp; CLINIC CONSUMABLES</v>
      </c>
      <c r="G58" s="6" t="str">
        <f aca="false">INDEX(Items!$C$5:$C$62,MATCH($E58,Items!$A$5:$A$62,0))</f>
        <v>Countable</v>
      </c>
      <c r="H58" s="6" t="s">
        <v>161</v>
      </c>
      <c r="I58" s="6" t="s">
        <v>160</v>
      </c>
      <c r="J58" s="6" t="n">
        <f aca="false">SUMIFS(Kits!$C$5:$C$163,Kits!$A$5:$A$163,$D58,Kits!$B$5:$B$163,$E58)</f>
        <v>1</v>
      </c>
      <c r="K58" s="6" t="n">
        <f aca="false">INDEX(Services!$F$5:$F$85,MATCH($A58,Services!$A$5:$A$85,0))</f>
        <v>1</v>
      </c>
      <c r="L58" s="6" t="n">
        <f aca="false">IF($H58="Auto-deduct",IF($G58="Countable",ROUNDUP($J58*IF($I58="Y",$K58,1),0),ROUND($J58*IF($I58="Y",$K58,1),1)),$J58)</f>
        <v>1</v>
      </c>
      <c r="M58" s="6" t="str">
        <f aca="false">INDEX(Items!$E$5:$E$62,MATCH($E58,Items!$A$5:$A$62,0))</f>
        <v>pc</v>
      </c>
      <c r="N58" s="6" t="n">
        <f aca="false">ROUND($L58/INDEX(Items!$F$5:$F$62,MATCH($E58,Items!$A$5:$A$62,0)),4)</f>
        <v>1</v>
      </c>
      <c r="O58" s="6"/>
    </row>
    <row r="59" customFormat="false" ht="15" hidden="false" customHeight="false" outlineLevel="0" collapsed="false">
      <c r="A59" s="6" t="n">
        <v>6</v>
      </c>
      <c r="B59" s="6" t="s">
        <v>269</v>
      </c>
      <c r="C59" s="6" t="s">
        <v>261</v>
      </c>
      <c r="D59" s="6" t="s">
        <v>227</v>
      </c>
      <c r="E59" s="6" t="s">
        <v>72</v>
      </c>
      <c r="F59" s="6" t="str">
        <f aca="false">INDEX(Items!$B$5:$B$62,MATCH($E59,Items!$A$5:$A$62,0))</f>
        <v>DISPOSABLES &amp; CLINIC CONSUMABLES</v>
      </c>
      <c r="G59" s="6" t="str">
        <f aca="false">INDEX(Items!$C$5:$C$62,MATCH($E59,Items!$A$5:$A$62,0))</f>
        <v>Bulk</v>
      </c>
      <c r="H59" s="6" t="s">
        <v>161</v>
      </c>
      <c r="I59" s="6" t="s">
        <v>160</v>
      </c>
      <c r="J59" s="6" t="n">
        <f aca="false">SUMIFS(Kits!$C$5:$C$163,Kits!$A$5:$A$163,$D59,Kits!$B$5:$B$163,$E59)</f>
        <v>4</v>
      </c>
      <c r="K59" s="6" t="n">
        <f aca="false">INDEX(Services!$F$5:$F$85,MATCH($A59,Services!$A$5:$A$85,0))</f>
        <v>1</v>
      </c>
      <c r="L59" s="6" t="n">
        <f aca="false">IF($H59="Auto-deduct",IF($G59="Countable",ROUNDUP($J59*IF($I59="Y",$K59,1),0),ROUND($J59*IF($I59="Y",$K59,1),1)),$J59)</f>
        <v>4</v>
      </c>
      <c r="M59" s="6" t="str">
        <f aca="false">INDEX(Items!$E$5:$E$62,MATCH($E59,Items!$A$5:$A$62,0))</f>
        <v>pc</v>
      </c>
      <c r="N59" s="6" t="n">
        <f aca="false">ROUND($L59/INDEX(Items!$F$5:$F$62,MATCH($E59,Items!$A$5:$A$62,0)),4)</f>
        <v>0.04</v>
      </c>
      <c r="O59" s="6"/>
    </row>
    <row r="60" customFormat="false" ht="15" hidden="false" customHeight="false" outlineLevel="0" collapsed="false">
      <c r="A60" s="6" t="n">
        <v>6</v>
      </c>
      <c r="B60" s="6" t="s">
        <v>269</v>
      </c>
      <c r="C60" s="6" t="s">
        <v>261</v>
      </c>
      <c r="D60" s="6" t="s">
        <v>227</v>
      </c>
      <c r="E60" s="6" t="s">
        <v>69</v>
      </c>
      <c r="F60" s="6" t="str">
        <f aca="false">INDEX(Items!$B$5:$B$62,MATCH($E60,Items!$A$5:$A$62,0))</f>
        <v>DISPOSABLES &amp; CLINIC CONSUMABLES</v>
      </c>
      <c r="G60" s="6" t="str">
        <f aca="false">INDEX(Items!$C$5:$C$62,MATCH($E60,Items!$A$5:$A$62,0))</f>
        <v>Bulk</v>
      </c>
      <c r="H60" s="6" t="s">
        <v>161</v>
      </c>
      <c r="I60" s="6" t="s">
        <v>160</v>
      </c>
      <c r="J60" s="6" t="n">
        <f aca="false">SUMIFS(Kits!$C$5:$C$163,Kits!$A$5:$A$163,$D60,Kits!$B$5:$B$163,$E60)</f>
        <v>5</v>
      </c>
      <c r="K60" s="6" t="n">
        <f aca="false">INDEX(Services!$F$5:$F$85,MATCH($A60,Services!$A$5:$A$85,0))</f>
        <v>1</v>
      </c>
      <c r="L60" s="6" t="n">
        <f aca="false">IF($H60="Auto-deduct",IF($G60="Countable",ROUNDUP($J60*IF($I60="Y",$K60,1),0),ROUND($J60*IF($I60="Y",$K60,1),1)),$J60)</f>
        <v>5</v>
      </c>
      <c r="M60" s="6" t="str">
        <f aca="false">INDEX(Items!$E$5:$E$62,MATCH($E60,Items!$A$5:$A$62,0))</f>
        <v>g</v>
      </c>
      <c r="N60" s="6" t="n">
        <f aca="false">ROUND($L60/INDEX(Items!$F$5:$F$62,MATCH($E60,Items!$A$5:$A$62,0)),4)</f>
        <v>0.0125</v>
      </c>
      <c r="O60" s="6"/>
    </row>
    <row r="61" customFormat="false" ht="15" hidden="false" customHeight="false" outlineLevel="0" collapsed="false">
      <c r="A61" s="6" t="n">
        <v>6</v>
      </c>
      <c r="B61" s="6" t="s">
        <v>269</v>
      </c>
      <c r="C61" s="6" t="s">
        <v>261</v>
      </c>
      <c r="D61" s="6" t="s">
        <v>227</v>
      </c>
      <c r="E61" s="6" t="s">
        <v>86</v>
      </c>
      <c r="F61" s="6" t="str">
        <f aca="false">INDEX(Items!$B$5:$B$62,MATCH($E61,Items!$A$5:$A$62,0))</f>
        <v>DISPOSABLES &amp; CLINIC CONSUMABLES</v>
      </c>
      <c r="G61" s="6" t="str">
        <f aca="false">INDEX(Items!$C$5:$C$62,MATCH($E61,Items!$A$5:$A$62,0))</f>
        <v>Bulk</v>
      </c>
      <c r="H61" s="6" t="s">
        <v>161</v>
      </c>
      <c r="I61" s="6" t="s">
        <v>160</v>
      </c>
      <c r="J61" s="6" t="n">
        <f aca="false">SUMIFS(Kits!$C$5:$C$163,Kits!$A$5:$A$163,$D61,Kits!$B$5:$B$163,$E61)</f>
        <v>2</v>
      </c>
      <c r="K61" s="6" t="n">
        <f aca="false">INDEX(Services!$F$5:$F$85,MATCH($A61,Services!$A$5:$A$85,0))</f>
        <v>1</v>
      </c>
      <c r="L61" s="6" t="n">
        <f aca="false">IF($H61="Auto-deduct",IF($G61="Countable",ROUNDUP($J61*IF($I61="Y",$K61,1),0),ROUND($J61*IF($I61="Y",$K61,1),1)),$J61)</f>
        <v>2</v>
      </c>
      <c r="M61" s="6" t="str">
        <f aca="false">INDEX(Items!$E$5:$E$62,MATCH($E61,Items!$A$5:$A$62,0))</f>
        <v>pc</v>
      </c>
      <c r="N61" s="6" t="n">
        <f aca="false">ROUND($L61/INDEX(Items!$F$5:$F$62,MATCH($E61,Items!$A$5:$A$62,0)),4)</f>
        <v>0.025</v>
      </c>
      <c r="O61" s="6"/>
    </row>
    <row r="62" customFormat="false" ht="15" hidden="false" customHeight="false" outlineLevel="0" collapsed="false">
      <c r="A62" s="6" t="n">
        <v>6</v>
      </c>
      <c r="B62" s="6" t="s">
        <v>269</v>
      </c>
      <c r="C62" s="6" t="s">
        <v>261</v>
      </c>
      <c r="D62" s="6" t="s">
        <v>227</v>
      </c>
      <c r="E62" s="6" t="s">
        <v>76</v>
      </c>
      <c r="F62" s="6" t="str">
        <f aca="false">INDEX(Items!$B$5:$B$62,MATCH($E62,Items!$A$5:$A$62,0))</f>
        <v>DISPOSABLES &amp; CLINIC CONSUMABLES</v>
      </c>
      <c r="G62" s="6" t="str">
        <f aca="false">INDEX(Items!$C$5:$C$62,MATCH($E62,Items!$A$5:$A$62,0))</f>
        <v>Bulk</v>
      </c>
      <c r="H62" s="6" t="s">
        <v>161</v>
      </c>
      <c r="I62" s="6" t="s">
        <v>160</v>
      </c>
      <c r="J62" s="6" t="n">
        <f aca="false">SUMIFS(Kits!$C$5:$C$163,Kits!$A$5:$A$163,$D62,Kits!$B$5:$B$163,$E62)</f>
        <v>30</v>
      </c>
      <c r="K62" s="6" t="n">
        <f aca="false">INDEX(Services!$F$5:$F$85,MATCH($A62,Services!$A$5:$A$85,0))</f>
        <v>1</v>
      </c>
      <c r="L62" s="6" t="n">
        <f aca="false">IF($H62="Auto-deduct",IF($G62="Countable",ROUNDUP($J62*IF($I62="Y",$K62,1),0),ROUND($J62*IF($I62="Y",$K62,1),1)),$J62)</f>
        <v>30</v>
      </c>
      <c r="M62" s="6" t="str">
        <f aca="false">INDEX(Items!$E$5:$E$62,MATCH($E62,Items!$A$5:$A$62,0))</f>
        <v>cm</v>
      </c>
      <c r="N62" s="6" t="n">
        <f aca="false">ROUND($L62/INDEX(Items!$F$5:$F$62,MATCH($E62,Items!$A$5:$A$62,0)),4)</f>
        <v>0.0328</v>
      </c>
      <c r="O62" s="6"/>
    </row>
    <row r="63" customFormat="false" ht="15" hidden="false" customHeight="false" outlineLevel="0" collapsed="false">
      <c r="A63" s="6" t="n">
        <v>7</v>
      </c>
      <c r="B63" s="6" t="s">
        <v>272</v>
      </c>
      <c r="C63" s="6" t="s">
        <v>271</v>
      </c>
      <c r="D63" s="6" t="s">
        <v>159</v>
      </c>
      <c r="E63" s="6" t="s">
        <v>52</v>
      </c>
      <c r="F63" s="6" t="str">
        <f aca="false">INDEX(Items!$B$5:$B$62,MATCH($E63,Items!$A$5:$A$62,0))</f>
        <v>DISPOSABLES &amp; CLINIC CONSUMABLES</v>
      </c>
      <c r="G63" s="6" t="str">
        <f aca="false">INDEX(Items!$C$5:$C$62,MATCH($E63,Items!$A$5:$A$62,0))</f>
        <v>Countable</v>
      </c>
      <c r="H63" s="6" t="s">
        <v>161</v>
      </c>
      <c r="I63" s="6" t="s">
        <v>160</v>
      </c>
      <c r="J63" s="6" t="n">
        <f aca="false">SUMIFS(Kits!$C$5:$C$163,Kits!$A$5:$A$163,$D63,Kits!$B$5:$B$163,$E63)</f>
        <v>1</v>
      </c>
      <c r="K63" s="6" t="n">
        <f aca="false">INDEX(Services!$F$5:$F$85,MATCH($A63,Services!$A$5:$A$85,0))</f>
        <v>1</v>
      </c>
      <c r="L63" s="6" t="n">
        <f aca="false">IF($H63="Auto-deduct",IF($G63="Countable",ROUNDUP($J63*IF($I63="Y",$K63,1),0),ROUND($J63*IF($I63="Y",$K63,1),1)),$J63)</f>
        <v>1</v>
      </c>
      <c r="M63" s="6" t="str">
        <f aca="false">INDEX(Items!$E$5:$E$62,MATCH($E63,Items!$A$5:$A$62,0))</f>
        <v>pc</v>
      </c>
      <c r="N63" s="6" t="n">
        <f aca="false">ROUND($L63/INDEX(Items!$F$5:$F$62,MATCH($E63,Items!$A$5:$A$62,0)),4)</f>
        <v>1</v>
      </c>
      <c r="O63" s="6"/>
    </row>
    <row r="64" customFormat="false" ht="15" hidden="false" customHeight="false" outlineLevel="0" collapsed="false">
      <c r="A64" s="6" t="n">
        <v>7</v>
      </c>
      <c r="B64" s="6" t="s">
        <v>272</v>
      </c>
      <c r="C64" s="6" t="s">
        <v>271</v>
      </c>
      <c r="D64" s="6" t="s">
        <v>159</v>
      </c>
      <c r="E64" s="6" t="s">
        <v>53</v>
      </c>
      <c r="F64" s="6" t="str">
        <f aca="false">INDEX(Items!$B$5:$B$62,MATCH($E64,Items!$A$5:$A$62,0))</f>
        <v>DISPOSABLES &amp; CLINIC CONSUMABLES</v>
      </c>
      <c r="G64" s="6" t="str">
        <f aca="false">INDEX(Items!$C$5:$C$62,MATCH($E64,Items!$A$5:$A$62,0))</f>
        <v>Countable</v>
      </c>
      <c r="H64" s="6" t="s">
        <v>161</v>
      </c>
      <c r="I64" s="6" t="s">
        <v>160</v>
      </c>
      <c r="J64" s="6" t="n">
        <f aca="false">SUMIFS(Kits!$C$5:$C$163,Kits!$A$5:$A$163,$D64,Kits!$B$5:$B$163,$E64)</f>
        <v>1</v>
      </c>
      <c r="K64" s="6" t="n">
        <f aca="false">INDEX(Services!$F$5:$F$85,MATCH($A64,Services!$A$5:$A$85,0))</f>
        <v>1</v>
      </c>
      <c r="L64" s="6" t="n">
        <f aca="false">IF($H64="Auto-deduct",IF($G64="Countable",ROUNDUP($J64*IF($I64="Y",$K64,1),0),ROUND($J64*IF($I64="Y",$K64,1),1)),$J64)</f>
        <v>1</v>
      </c>
      <c r="M64" s="6" t="str">
        <f aca="false">INDEX(Items!$E$5:$E$62,MATCH($E64,Items!$A$5:$A$62,0))</f>
        <v>pair</v>
      </c>
      <c r="N64" s="6" t="n">
        <f aca="false">ROUND($L64/INDEX(Items!$F$5:$F$62,MATCH($E64,Items!$A$5:$A$62,0)),4)</f>
        <v>1</v>
      </c>
      <c r="O64" s="6"/>
    </row>
    <row r="65" customFormat="false" ht="15" hidden="false" customHeight="false" outlineLevel="0" collapsed="false">
      <c r="A65" s="6" t="n">
        <v>7</v>
      </c>
      <c r="B65" s="6" t="s">
        <v>272</v>
      </c>
      <c r="C65" s="6" t="s">
        <v>271</v>
      </c>
      <c r="D65" s="6" t="s">
        <v>159</v>
      </c>
      <c r="E65" s="6" t="s">
        <v>88</v>
      </c>
      <c r="F65" s="6" t="str">
        <f aca="false">INDEX(Items!$B$5:$B$62,MATCH($E65,Items!$A$5:$A$62,0))</f>
        <v>DISPOSABLES &amp; CLINIC CONSUMABLES</v>
      </c>
      <c r="G65" s="6" t="str">
        <f aca="false">INDEX(Items!$C$5:$C$62,MATCH($E65,Items!$A$5:$A$62,0))</f>
        <v>Bulk</v>
      </c>
      <c r="H65" s="6" t="s">
        <v>161</v>
      </c>
      <c r="I65" s="6" t="s">
        <v>160</v>
      </c>
      <c r="J65" s="6" t="n">
        <f aca="false">SUMIFS(Kits!$C$5:$C$163,Kits!$A$5:$A$163,$D65,Kits!$B$5:$B$163,$E65)</f>
        <v>5</v>
      </c>
      <c r="K65" s="6" t="n">
        <f aca="false">INDEX(Services!$F$5:$F$85,MATCH($A65,Services!$A$5:$A$85,0))</f>
        <v>1</v>
      </c>
      <c r="L65" s="6" t="n">
        <f aca="false">IF($H65="Auto-deduct",IF($G65="Countable",ROUNDUP($J65*IF($I65="Y",$K65,1),0),ROUND($J65*IF($I65="Y",$K65,1),1)),$J65)</f>
        <v>5</v>
      </c>
      <c r="M65" s="6" t="str">
        <f aca="false">INDEX(Items!$E$5:$E$62,MATCH($E65,Items!$A$5:$A$62,0))</f>
        <v>mL</v>
      </c>
      <c r="N65" s="6" t="n">
        <f aca="false">ROUND($L65/INDEX(Items!$F$5:$F$62,MATCH($E65,Items!$A$5:$A$62,0)),4)</f>
        <v>0.01</v>
      </c>
      <c r="O65" s="6"/>
    </row>
    <row r="66" customFormat="false" ht="15" hidden="false" customHeight="false" outlineLevel="0" collapsed="false">
      <c r="A66" s="6" t="n">
        <v>7</v>
      </c>
      <c r="B66" s="6" t="s">
        <v>272</v>
      </c>
      <c r="C66" s="6" t="s">
        <v>271</v>
      </c>
      <c r="D66" s="6" t="s">
        <v>229</v>
      </c>
      <c r="E66" s="6" t="s">
        <v>50</v>
      </c>
      <c r="F66" s="6" t="str">
        <f aca="false">INDEX(Items!$B$5:$B$62,MATCH($E66,Items!$A$5:$A$62,0))</f>
        <v>DISPOSABLES &amp; CLINIC CONSUMABLES</v>
      </c>
      <c r="G66" s="6" t="str">
        <f aca="false">INDEX(Items!$C$5:$C$62,MATCH($E66,Items!$A$5:$A$62,0))</f>
        <v>Countable</v>
      </c>
      <c r="H66" s="6" t="s">
        <v>161</v>
      </c>
      <c r="I66" s="6" t="s">
        <v>160</v>
      </c>
      <c r="J66" s="6" t="n">
        <f aca="false">SUMIFS(Kits!$C$5:$C$163,Kits!$A$5:$A$163,$D66,Kits!$B$5:$B$163,$E66)</f>
        <v>1</v>
      </c>
      <c r="K66" s="6" t="n">
        <f aca="false">INDEX(Services!$F$5:$F$85,MATCH($A66,Services!$A$5:$A$85,0))</f>
        <v>1</v>
      </c>
      <c r="L66" s="6" t="n">
        <f aca="false">IF($H66="Auto-deduct",IF($G66="Countable",ROUNDUP($J66*IF($I66="Y",$K66,1),0),ROUND($J66*IF($I66="Y",$K66,1),1)),$J66)</f>
        <v>1</v>
      </c>
      <c r="M66" s="6" t="str">
        <f aca="false">INDEX(Items!$E$5:$E$62,MATCH($E66,Items!$A$5:$A$62,0))</f>
        <v>pc</v>
      </c>
      <c r="N66" s="6" t="n">
        <f aca="false">ROUND($L66/INDEX(Items!$F$5:$F$62,MATCH($E66,Items!$A$5:$A$62,0)),4)</f>
        <v>1</v>
      </c>
      <c r="O66" s="6"/>
    </row>
    <row r="67" customFormat="false" ht="15" hidden="false" customHeight="false" outlineLevel="0" collapsed="false">
      <c r="A67" s="6" t="n">
        <v>7</v>
      </c>
      <c r="B67" s="6" t="s">
        <v>272</v>
      </c>
      <c r="C67" s="6" t="s">
        <v>271</v>
      </c>
      <c r="D67" s="6" t="s">
        <v>229</v>
      </c>
      <c r="E67" s="6" t="s">
        <v>58</v>
      </c>
      <c r="F67" s="6" t="str">
        <f aca="false">INDEX(Items!$B$5:$B$62,MATCH($E67,Items!$A$5:$A$62,0))</f>
        <v>DISPOSABLES &amp; CLINIC CONSUMABLES</v>
      </c>
      <c r="G67" s="6" t="str">
        <f aca="false">INDEX(Items!$C$5:$C$62,MATCH($E67,Items!$A$5:$A$62,0))</f>
        <v>Bulk</v>
      </c>
      <c r="H67" s="6" t="s">
        <v>161</v>
      </c>
      <c r="I67" s="6" t="s">
        <v>191</v>
      </c>
      <c r="J67" s="6" t="n">
        <f aca="false">SUMIFS(Kits!$C$5:$C$163,Kits!$A$5:$A$163,$D67,Kits!$B$5:$B$163,$E67)</f>
        <v>2</v>
      </c>
      <c r="K67" s="6" t="n">
        <f aca="false">INDEX(Services!$F$5:$F$85,MATCH($A67,Services!$A$5:$A$85,0))</f>
        <v>1</v>
      </c>
      <c r="L67" s="6" t="n">
        <f aca="false">IF($H67="Auto-deduct",IF($G67="Countable",ROUNDUP($J67*IF($I67="Y",$K67,1),0),ROUND($J67*IF($I67="Y",$K67,1),1)),$J67)</f>
        <v>2</v>
      </c>
      <c r="M67" s="6" t="str">
        <f aca="false">INDEX(Items!$E$5:$E$62,MATCH($E67,Items!$A$5:$A$62,0))</f>
        <v>sheet</v>
      </c>
      <c r="N67" s="6" t="n">
        <f aca="false">ROUND($L67/INDEX(Items!$F$5:$F$62,MATCH($E67,Items!$A$5:$A$62,0)),4)</f>
        <v>0.01</v>
      </c>
      <c r="O67" s="6"/>
    </row>
    <row r="68" customFormat="false" ht="15" hidden="false" customHeight="false" outlineLevel="0" collapsed="false">
      <c r="A68" s="6" t="n">
        <v>7</v>
      </c>
      <c r="B68" s="6" t="s">
        <v>272</v>
      </c>
      <c r="C68" s="6" t="s">
        <v>271</v>
      </c>
      <c r="D68" s="6" t="s">
        <v>229</v>
      </c>
      <c r="E68" s="6" t="s">
        <v>69</v>
      </c>
      <c r="F68" s="6" t="str">
        <f aca="false">INDEX(Items!$B$5:$B$62,MATCH($E68,Items!$A$5:$A$62,0))</f>
        <v>DISPOSABLES &amp; CLINIC CONSUMABLES</v>
      </c>
      <c r="G68" s="6" t="str">
        <f aca="false">INDEX(Items!$C$5:$C$62,MATCH($E68,Items!$A$5:$A$62,0))</f>
        <v>Bulk</v>
      </c>
      <c r="H68" s="6" t="s">
        <v>161</v>
      </c>
      <c r="I68" s="6" t="s">
        <v>191</v>
      </c>
      <c r="J68" s="6" t="n">
        <f aca="false">SUMIFS(Kits!$C$5:$C$163,Kits!$A$5:$A$163,$D68,Kits!$B$5:$B$163,$E68)</f>
        <v>3</v>
      </c>
      <c r="K68" s="6" t="n">
        <f aca="false">INDEX(Services!$F$5:$F$85,MATCH($A68,Services!$A$5:$A$85,0))</f>
        <v>1</v>
      </c>
      <c r="L68" s="6" t="n">
        <f aca="false">IF($H68="Auto-deduct",IF($G68="Countable",ROUNDUP($J68*IF($I68="Y",$K68,1),0),ROUND($J68*IF($I68="Y",$K68,1),1)),$J68)</f>
        <v>3</v>
      </c>
      <c r="M68" s="6" t="str">
        <f aca="false">INDEX(Items!$E$5:$E$62,MATCH($E68,Items!$A$5:$A$62,0))</f>
        <v>g</v>
      </c>
      <c r="N68" s="6" t="n">
        <f aca="false">ROUND($L68/INDEX(Items!$F$5:$F$62,MATCH($E68,Items!$A$5:$A$62,0)),4)</f>
        <v>0.0075</v>
      </c>
      <c r="O68" s="6"/>
    </row>
    <row r="69" customFormat="false" ht="15" hidden="false" customHeight="false" outlineLevel="0" collapsed="false">
      <c r="A69" s="6" t="n">
        <v>7</v>
      </c>
      <c r="B69" s="6" t="s">
        <v>272</v>
      </c>
      <c r="C69" s="6" t="s">
        <v>271</v>
      </c>
      <c r="D69" s="6" t="s">
        <v>229</v>
      </c>
      <c r="E69" s="6" t="s">
        <v>86</v>
      </c>
      <c r="F69" s="6" t="str">
        <f aca="false">INDEX(Items!$B$5:$B$62,MATCH($E69,Items!$A$5:$A$62,0))</f>
        <v>DISPOSABLES &amp; CLINIC CONSUMABLES</v>
      </c>
      <c r="G69" s="6" t="str">
        <f aca="false">INDEX(Items!$C$5:$C$62,MATCH($E69,Items!$A$5:$A$62,0))</f>
        <v>Bulk</v>
      </c>
      <c r="H69" s="6" t="s">
        <v>161</v>
      </c>
      <c r="I69" s="6" t="s">
        <v>191</v>
      </c>
      <c r="J69" s="6" t="n">
        <f aca="false">SUMIFS(Kits!$C$5:$C$163,Kits!$A$5:$A$163,$D69,Kits!$B$5:$B$163,$E69)</f>
        <v>2</v>
      </c>
      <c r="K69" s="6" t="n">
        <f aca="false">INDEX(Services!$F$5:$F$85,MATCH($A69,Services!$A$5:$A$85,0))</f>
        <v>1</v>
      </c>
      <c r="L69" s="6" t="n">
        <f aca="false">IF($H69="Auto-deduct",IF($G69="Countable",ROUNDUP($J69*IF($I69="Y",$K69,1),0),ROUND($J69*IF($I69="Y",$K69,1),1)),$J69)</f>
        <v>2</v>
      </c>
      <c r="M69" s="6" t="str">
        <f aca="false">INDEX(Items!$E$5:$E$62,MATCH($E69,Items!$A$5:$A$62,0))</f>
        <v>pc</v>
      </c>
      <c r="N69" s="6" t="n">
        <f aca="false">ROUND($L69/INDEX(Items!$F$5:$F$62,MATCH($E69,Items!$A$5:$A$62,0)),4)</f>
        <v>0.025</v>
      </c>
      <c r="O69" s="6"/>
    </row>
    <row r="70" customFormat="false" ht="15" hidden="false" customHeight="false" outlineLevel="0" collapsed="false">
      <c r="A70" s="6" t="n">
        <v>8</v>
      </c>
      <c r="B70" s="6" t="s">
        <v>274</v>
      </c>
      <c r="C70" s="6" t="s">
        <v>271</v>
      </c>
      <c r="D70" s="6" t="s">
        <v>159</v>
      </c>
      <c r="E70" s="6" t="s">
        <v>52</v>
      </c>
      <c r="F70" s="6" t="str">
        <f aca="false">INDEX(Items!$B$5:$B$62,MATCH($E70,Items!$A$5:$A$62,0))</f>
        <v>DISPOSABLES &amp; CLINIC CONSUMABLES</v>
      </c>
      <c r="G70" s="6" t="str">
        <f aca="false">INDEX(Items!$C$5:$C$62,MATCH($E70,Items!$A$5:$A$62,0))</f>
        <v>Countable</v>
      </c>
      <c r="H70" s="6" t="s">
        <v>161</v>
      </c>
      <c r="I70" s="6" t="s">
        <v>160</v>
      </c>
      <c r="J70" s="6" t="n">
        <f aca="false">SUMIFS(Kits!$C$5:$C$163,Kits!$A$5:$A$163,$D70,Kits!$B$5:$B$163,$E70)</f>
        <v>1</v>
      </c>
      <c r="K70" s="6" t="n">
        <f aca="false">INDEX(Services!$F$5:$F$85,MATCH($A70,Services!$A$5:$A$85,0))</f>
        <v>1</v>
      </c>
      <c r="L70" s="6" t="n">
        <f aca="false">IF($H70="Auto-deduct",IF($G70="Countable",ROUNDUP($J70*IF($I70="Y",$K70,1),0),ROUND($J70*IF($I70="Y",$K70,1),1)),$J70)</f>
        <v>1</v>
      </c>
      <c r="M70" s="6" t="str">
        <f aca="false">INDEX(Items!$E$5:$E$62,MATCH($E70,Items!$A$5:$A$62,0))</f>
        <v>pc</v>
      </c>
      <c r="N70" s="6" t="n">
        <f aca="false">ROUND($L70/INDEX(Items!$F$5:$F$62,MATCH($E70,Items!$A$5:$A$62,0)),4)</f>
        <v>1</v>
      </c>
      <c r="O70" s="6"/>
    </row>
    <row r="71" customFormat="false" ht="15" hidden="false" customHeight="false" outlineLevel="0" collapsed="false">
      <c r="A71" s="6" t="n">
        <v>8</v>
      </c>
      <c r="B71" s="6" t="s">
        <v>274</v>
      </c>
      <c r="C71" s="6" t="s">
        <v>271</v>
      </c>
      <c r="D71" s="6" t="s">
        <v>159</v>
      </c>
      <c r="E71" s="6" t="s">
        <v>53</v>
      </c>
      <c r="F71" s="6" t="str">
        <f aca="false">INDEX(Items!$B$5:$B$62,MATCH($E71,Items!$A$5:$A$62,0))</f>
        <v>DISPOSABLES &amp; CLINIC CONSUMABLES</v>
      </c>
      <c r="G71" s="6" t="str">
        <f aca="false">INDEX(Items!$C$5:$C$62,MATCH($E71,Items!$A$5:$A$62,0))</f>
        <v>Countable</v>
      </c>
      <c r="H71" s="6" t="s">
        <v>161</v>
      </c>
      <c r="I71" s="6" t="s">
        <v>160</v>
      </c>
      <c r="J71" s="6" t="n">
        <f aca="false">SUMIFS(Kits!$C$5:$C$163,Kits!$A$5:$A$163,$D71,Kits!$B$5:$B$163,$E71)</f>
        <v>1</v>
      </c>
      <c r="K71" s="6" t="n">
        <f aca="false">INDEX(Services!$F$5:$F$85,MATCH($A71,Services!$A$5:$A$85,0))</f>
        <v>1</v>
      </c>
      <c r="L71" s="6" t="n">
        <f aca="false">IF($H71="Auto-deduct",IF($G71="Countable",ROUNDUP($J71*IF($I71="Y",$K71,1),0),ROUND($J71*IF($I71="Y",$K71,1),1)),$J71)</f>
        <v>1</v>
      </c>
      <c r="M71" s="6" t="str">
        <f aca="false">INDEX(Items!$E$5:$E$62,MATCH($E71,Items!$A$5:$A$62,0))</f>
        <v>pair</v>
      </c>
      <c r="N71" s="6" t="n">
        <f aca="false">ROUND($L71/INDEX(Items!$F$5:$F$62,MATCH($E71,Items!$A$5:$A$62,0)),4)</f>
        <v>1</v>
      </c>
      <c r="O71" s="6"/>
    </row>
    <row r="72" customFormat="false" ht="15" hidden="false" customHeight="false" outlineLevel="0" collapsed="false">
      <c r="A72" s="6" t="n">
        <v>8</v>
      </c>
      <c r="B72" s="6" t="s">
        <v>274</v>
      </c>
      <c r="C72" s="6" t="s">
        <v>271</v>
      </c>
      <c r="D72" s="6" t="s">
        <v>159</v>
      </c>
      <c r="E72" s="6" t="s">
        <v>88</v>
      </c>
      <c r="F72" s="6" t="str">
        <f aca="false">INDEX(Items!$B$5:$B$62,MATCH($E72,Items!$A$5:$A$62,0))</f>
        <v>DISPOSABLES &amp; CLINIC CONSUMABLES</v>
      </c>
      <c r="G72" s="6" t="str">
        <f aca="false">INDEX(Items!$C$5:$C$62,MATCH($E72,Items!$A$5:$A$62,0))</f>
        <v>Bulk</v>
      </c>
      <c r="H72" s="6" t="s">
        <v>161</v>
      </c>
      <c r="I72" s="6" t="s">
        <v>160</v>
      </c>
      <c r="J72" s="6" t="n">
        <f aca="false">SUMIFS(Kits!$C$5:$C$163,Kits!$A$5:$A$163,$D72,Kits!$B$5:$B$163,$E72)</f>
        <v>5</v>
      </c>
      <c r="K72" s="6" t="n">
        <f aca="false">INDEX(Services!$F$5:$F$85,MATCH($A72,Services!$A$5:$A$85,0))</f>
        <v>1</v>
      </c>
      <c r="L72" s="6" t="n">
        <f aca="false">IF($H72="Auto-deduct",IF($G72="Countable",ROUNDUP($J72*IF($I72="Y",$K72,1),0),ROUND($J72*IF($I72="Y",$K72,1),1)),$J72)</f>
        <v>5</v>
      </c>
      <c r="M72" s="6" t="str">
        <f aca="false">INDEX(Items!$E$5:$E$62,MATCH($E72,Items!$A$5:$A$62,0))</f>
        <v>mL</v>
      </c>
      <c r="N72" s="6" t="n">
        <f aca="false">ROUND($L72/INDEX(Items!$F$5:$F$62,MATCH($E72,Items!$A$5:$A$62,0)),4)</f>
        <v>0.01</v>
      </c>
      <c r="O72" s="6"/>
    </row>
    <row r="73" customFormat="false" ht="15" hidden="false" customHeight="false" outlineLevel="0" collapsed="false">
      <c r="A73" s="6" t="n">
        <v>8</v>
      </c>
      <c r="B73" s="6" t="s">
        <v>274</v>
      </c>
      <c r="C73" s="6" t="s">
        <v>271</v>
      </c>
      <c r="D73" s="6" t="s">
        <v>229</v>
      </c>
      <c r="E73" s="6" t="s">
        <v>50</v>
      </c>
      <c r="F73" s="6" t="str">
        <f aca="false">INDEX(Items!$B$5:$B$62,MATCH($E73,Items!$A$5:$A$62,0))</f>
        <v>DISPOSABLES &amp; CLINIC CONSUMABLES</v>
      </c>
      <c r="G73" s="6" t="str">
        <f aca="false">INDEX(Items!$C$5:$C$62,MATCH($E73,Items!$A$5:$A$62,0))</f>
        <v>Countable</v>
      </c>
      <c r="H73" s="6" t="s">
        <v>161</v>
      </c>
      <c r="I73" s="6" t="s">
        <v>160</v>
      </c>
      <c r="J73" s="6" t="n">
        <f aca="false">SUMIFS(Kits!$C$5:$C$163,Kits!$A$5:$A$163,$D73,Kits!$B$5:$B$163,$E73)</f>
        <v>1</v>
      </c>
      <c r="K73" s="6" t="n">
        <f aca="false">INDEX(Services!$F$5:$F$85,MATCH($A73,Services!$A$5:$A$85,0))</f>
        <v>1</v>
      </c>
      <c r="L73" s="6" t="n">
        <f aca="false">IF($H73="Auto-deduct",IF($G73="Countable",ROUNDUP($J73*IF($I73="Y",$K73,1),0),ROUND($J73*IF($I73="Y",$K73,1),1)),$J73)</f>
        <v>1</v>
      </c>
      <c r="M73" s="6" t="str">
        <f aca="false">INDEX(Items!$E$5:$E$62,MATCH($E73,Items!$A$5:$A$62,0))</f>
        <v>pc</v>
      </c>
      <c r="N73" s="6" t="n">
        <f aca="false">ROUND($L73/INDEX(Items!$F$5:$F$62,MATCH($E73,Items!$A$5:$A$62,0)),4)</f>
        <v>1</v>
      </c>
      <c r="O73" s="6"/>
    </row>
    <row r="74" customFormat="false" ht="15" hidden="false" customHeight="false" outlineLevel="0" collapsed="false">
      <c r="A74" s="6" t="n">
        <v>8</v>
      </c>
      <c r="B74" s="6" t="s">
        <v>274</v>
      </c>
      <c r="C74" s="6" t="s">
        <v>271</v>
      </c>
      <c r="D74" s="6" t="s">
        <v>229</v>
      </c>
      <c r="E74" s="6" t="s">
        <v>58</v>
      </c>
      <c r="F74" s="6" t="str">
        <f aca="false">INDEX(Items!$B$5:$B$62,MATCH($E74,Items!$A$5:$A$62,0))</f>
        <v>DISPOSABLES &amp; CLINIC CONSUMABLES</v>
      </c>
      <c r="G74" s="6" t="str">
        <f aca="false">INDEX(Items!$C$5:$C$62,MATCH($E74,Items!$A$5:$A$62,0))</f>
        <v>Bulk</v>
      </c>
      <c r="H74" s="6" t="s">
        <v>161</v>
      </c>
      <c r="I74" s="6" t="s">
        <v>191</v>
      </c>
      <c r="J74" s="6" t="n">
        <f aca="false">SUMIFS(Kits!$C$5:$C$163,Kits!$A$5:$A$163,$D74,Kits!$B$5:$B$163,$E74)</f>
        <v>2</v>
      </c>
      <c r="K74" s="6" t="n">
        <f aca="false">INDEX(Services!$F$5:$F$85,MATCH($A74,Services!$A$5:$A$85,0))</f>
        <v>1</v>
      </c>
      <c r="L74" s="6" t="n">
        <f aca="false">IF($H74="Auto-deduct",IF($G74="Countable",ROUNDUP($J74*IF($I74="Y",$K74,1),0),ROUND($J74*IF($I74="Y",$K74,1),1)),$J74)</f>
        <v>2</v>
      </c>
      <c r="M74" s="6" t="str">
        <f aca="false">INDEX(Items!$E$5:$E$62,MATCH($E74,Items!$A$5:$A$62,0))</f>
        <v>sheet</v>
      </c>
      <c r="N74" s="6" t="n">
        <f aca="false">ROUND($L74/INDEX(Items!$F$5:$F$62,MATCH($E74,Items!$A$5:$A$62,0)),4)</f>
        <v>0.01</v>
      </c>
      <c r="O74" s="6"/>
    </row>
    <row r="75" customFormat="false" ht="15" hidden="false" customHeight="false" outlineLevel="0" collapsed="false">
      <c r="A75" s="6" t="n">
        <v>8</v>
      </c>
      <c r="B75" s="6" t="s">
        <v>274</v>
      </c>
      <c r="C75" s="6" t="s">
        <v>271</v>
      </c>
      <c r="D75" s="6" t="s">
        <v>229</v>
      </c>
      <c r="E75" s="6" t="s">
        <v>69</v>
      </c>
      <c r="F75" s="6" t="str">
        <f aca="false">INDEX(Items!$B$5:$B$62,MATCH($E75,Items!$A$5:$A$62,0))</f>
        <v>DISPOSABLES &amp; CLINIC CONSUMABLES</v>
      </c>
      <c r="G75" s="6" t="str">
        <f aca="false">INDEX(Items!$C$5:$C$62,MATCH($E75,Items!$A$5:$A$62,0))</f>
        <v>Bulk</v>
      </c>
      <c r="H75" s="6" t="s">
        <v>161</v>
      </c>
      <c r="I75" s="6" t="s">
        <v>191</v>
      </c>
      <c r="J75" s="6" t="n">
        <f aca="false">SUMIFS(Kits!$C$5:$C$163,Kits!$A$5:$A$163,$D75,Kits!$B$5:$B$163,$E75)</f>
        <v>3</v>
      </c>
      <c r="K75" s="6" t="n">
        <f aca="false">INDEX(Services!$F$5:$F$85,MATCH($A75,Services!$A$5:$A$85,0))</f>
        <v>1</v>
      </c>
      <c r="L75" s="6" t="n">
        <f aca="false">IF($H75="Auto-deduct",IF($G75="Countable",ROUNDUP($J75*IF($I75="Y",$K75,1),0),ROUND($J75*IF($I75="Y",$K75,1),1)),$J75)</f>
        <v>3</v>
      </c>
      <c r="M75" s="6" t="str">
        <f aca="false">INDEX(Items!$E$5:$E$62,MATCH($E75,Items!$A$5:$A$62,0))</f>
        <v>g</v>
      </c>
      <c r="N75" s="6" t="n">
        <f aca="false">ROUND($L75/INDEX(Items!$F$5:$F$62,MATCH($E75,Items!$A$5:$A$62,0)),4)</f>
        <v>0.0075</v>
      </c>
      <c r="O75" s="6"/>
    </row>
    <row r="76" customFormat="false" ht="15" hidden="false" customHeight="false" outlineLevel="0" collapsed="false">
      <c r="A76" s="6" t="n">
        <v>8</v>
      </c>
      <c r="B76" s="6" t="s">
        <v>274</v>
      </c>
      <c r="C76" s="6" t="s">
        <v>271</v>
      </c>
      <c r="D76" s="6" t="s">
        <v>229</v>
      </c>
      <c r="E76" s="6" t="s">
        <v>86</v>
      </c>
      <c r="F76" s="6" t="str">
        <f aca="false">INDEX(Items!$B$5:$B$62,MATCH($E76,Items!$A$5:$A$62,0))</f>
        <v>DISPOSABLES &amp; CLINIC CONSUMABLES</v>
      </c>
      <c r="G76" s="6" t="str">
        <f aca="false">INDEX(Items!$C$5:$C$62,MATCH($E76,Items!$A$5:$A$62,0))</f>
        <v>Bulk</v>
      </c>
      <c r="H76" s="6" t="s">
        <v>161</v>
      </c>
      <c r="I76" s="6" t="s">
        <v>191</v>
      </c>
      <c r="J76" s="6" t="n">
        <f aca="false">SUMIFS(Kits!$C$5:$C$163,Kits!$A$5:$A$163,$D76,Kits!$B$5:$B$163,$E76)</f>
        <v>2</v>
      </c>
      <c r="K76" s="6" t="n">
        <f aca="false">INDEX(Services!$F$5:$F$85,MATCH($A76,Services!$A$5:$A$85,0))</f>
        <v>1</v>
      </c>
      <c r="L76" s="6" t="n">
        <f aca="false">IF($H76="Auto-deduct",IF($G76="Countable",ROUNDUP($J76*IF($I76="Y",$K76,1),0),ROUND($J76*IF($I76="Y",$K76,1),1)),$J76)</f>
        <v>2</v>
      </c>
      <c r="M76" s="6" t="str">
        <f aca="false">INDEX(Items!$E$5:$E$62,MATCH($E76,Items!$A$5:$A$62,0))</f>
        <v>pc</v>
      </c>
      <c r="N76" s="6" t="n">
        <f aca="false">ROUND($L76/INDEX(Items!$F$5:$F$62,MATCH($E76,Items!$A$5:$A$62,0)),4)</f>
        <v>0.025</v>
      </c>
      <c r="O76" s="6"/>
    </row>
    <row r="77" customFormat="false" ht="15" hidden="false" customHeight="false" outlineLevel="0" collapsed="false">
      <c r="A77" s="6" t="n">
        <v>9</v>
      </c>
      <c r="B77" s="6" t="s">
        <v>275</v>
      </c>
      <c r="C77" s="6" t="s">
        <v>271</v>
      </c>
      <c r="D77" s="6" t="s">
        <v>159</v>
      </c>
      <c r="E77" s="6" t="s">
        <v>52</v>
      </c>
      <c r="F77" s="6" t="str">
        <f aca="false">INDEX(Items!$B$5:$B$62,MATCH($E77,Items!$A$5:$A$62,0))</f>
        <v>DISPOSABLES &amp; CLINIC CONSUMABLES</v>
      </c>
      <c r="G77" s="6" t="str">
        <f aca="false">INDEX(Items!$C$5:$C$62,MATCH($E77,Items!$A$5:$A$62,0))</f>
        <v>Countable</v>
      </c>
      <c r="H77" s="6" t="s">
        <v>161</v>
      </c>
      <c r="I77" s="6" t="s">
        <v>160</v>
      </c>
      <c r="J77" s="6" t="n">
        <f aca="false">SUMIFS(Kits!$C$5:$C$163,Kits!$A$5:$A$163,$D77,Kits!$B$5:$B$163,$E77)</f>
        <v>1</v>
      </c>
      <c r="K77" s="6" t="n">
        <f aca="false">INDEX(Services!$F$5:$F$85,MATCH($A77,Services!$A$5:$A$85,0))</f>
        <v>1</v>
      </c>
      <c r="L77" s="6" t="n">
        <f aca="false">IF($H77="Auto-deduct",IF($G77="Countable",ROUNDUP($J77*IF($I77="Y",$K77,1),0),ROUND($J77*IF($I77="Y",$K77,1),1)),$J77)</f>
        <v>1</v>
      </c>
      <c r="M77" s="6" t="str">
        <f aca="false">INDEX(Items!$E$5:$E$62,MATCH($E77,Items!$A$5:$A$62,0))</f>
        <v>pc</v>
      </c>
      <c r="N77" s="6" t="n">
        <f aca="false">ROUND($L77/INDEX(Items!$F$5:$F$62,MATCH($E77,Items!$A$5:$A$62,0)),4)</f>
        <v>1</v>
      </c>
      <c r="O77" s="6"/>
    </row>
    <row r="78" customFormat="false" ht="15" hidden="false" customHeight="false" outlineLevel="0" collapsed="false">
      <c r="A78" s="6" t="n">
        <v>9</v>
      </c>
      <c r="B78" s="6" t="s">
        <v>275</v>
      </c>
      <c r="C78" s="6" t="s">
        <v>271</v>
      </c>
      <c r="D78" s="6" t="s">
        <v>159</v>
      </c>
      <c r="E78" s="6" t="s">
        <v>53</v>
      </c>
      <c r="F78" s="6" t="str">
        <f aca="false">INDEX(Items!$B$5:$B$62,MATCH($E78,Items!$A$5:$A$62,0))</f>
        <v>DISPOSABLES &amp; CLINIC CONSUMABLES</v>
      </c>
      <c r="G78" s="6" t="str">
        <f aca="false">INDEX(Items!$C$5:$C$62,MATCH($E78,Items!$A$5:$A$62,0))</f>
        <v>Countable</v>
      </c>
      <c r="H78" s="6" t="s">
        <v>161</v>
      </c>
      <c r="I78" s="6" t="s">
        <v>160</v>
      </c>
      <c r="J78" s="6" t="n">
        <f aca="false">SUMIFS(Kits!$C$5:$C$163,Kits!$A$5:$A$163,$D78,Kits!$B$5:$B$163,$E78)</f>
        <v>1</v>
      </c>
      <c r="K78" s="6" t="n">
        <f aca="false">INDEX(Services!$F$5:$F$85,MATCH($A78,Services!$A$5:$A$85,0))</f>
        <v>1</v>
      </c>
      <c r="L78" s="6" t="n">
        <f aca="false">IF($H78="Auto-deduct",IF($G78="Countable",ROUNDUP($J78*IF($I78="Y",$K78,1),0),ROUND($J78*IF($I78="Y",$K78,1),1)),$J78)</f>
        <v>1</v>
      </c>
      <c r="M78" s="6" t="str">
        <f aca="false">INDEX(Items!$E$5:$E$62,MATCH($E78,Items!$A$5:$A$62,0))</f>
        <v>pair</v>
      </c>
      <c r="N78" s="6" t="n">
        <f aca="false">ROUND($L78/INDEX(Items!$F$5:$F$62,MATCH($E78,Items!$A$5:$A$62,0)),4)</f>
        <v>1</v>
      </c>
      <c r="O78" s="6"/>
    </row>
    <row r="79" customFormat="false" ht="15" hidden="false" customHeight="false" outlineLevel="0" collapsed="false">
      <c r="A79" s="6" t="n">
        <v>9</v>
      </c>
      <c r="B79" s="6" t="s">
        <v>275</v>
      </c>
      <c r="C79" s="6" t="s">
        <v>271</v>
      </c>
      <c r="D79" s="6" t="s">
        <v>159</v>
      </c>
      <c r="E79" s="6" t="s">
        <v>88</v>
      </c>
      <c r="F79" s="6" t="str">
        <f aca="false">INDEX(Items!$B$5:$B$62,MATCH($E79,Items!$A$5:$A$62,0))</f>
        <v>DISPOSABLES &amp; CLINIC CONSUMABLES</v>
      </c>
      <c r="G79" s="6" t="str">
        <f aca="false">INDEX(Items!$C$5:$C$62,MATCH($E79,Items!$A$5:$A$62,0))</f>
        <v>Bulk</v>
      </c>
      <c r="H79" s="6" t="s">
        <v>161</v>
      </c>
      <c r="I79" s="6" t="s">
        <v>160</v>
      </c>
      <c r="J79" s="6" t="n">
        <f aca="false">SUMIFS(Kits!$C$5:$C$163,Kits!$A$5:$A$163,$D79,Kits!$B$5:$B$163,$E79)</f>
        <v>5</v>
      </c>
      <c r="K79" s="6" t="n">
        <f aca="false">INDEX(Services!$F$5:$F$85,MATCH($A79,Services!$A$5:$A$85,0))</f>
        <v>1</v>
      </c>
      <c r="L79" s="6" t="n">
        <f aca="false">IF($H79="Auto-deduct",IF($G79="Countable",ROUNDUP($J79*IF($I79="Y",$K79,1),0),ROUND($J79*IF($I79="Y",$K79,1),1)),$J79)</f>
        <v>5</v>
      </c>
      <c r="M79" s="6" t="str">
        <f aca="false">INDEX(Items!$E$5:$E$62,MATCH($E79,Items!$A$5:$A$62,0))</f>
        <v>mL</v>
      </c>
      <c r="N79" s="6" t="n">
        <f aca="false">ROUND($L79/INDEX(Items!$F$5:$F$62,MATCH($E79,Items!$A$5:$A$62,0)),4)</f>
        <v>0.01</v>
      </c>
      <c r="O79" s="6"/>
    </row>
    <row r="80" customFormat="false" ht="15" hidden="false" customHeight="false" outlineLevel="0" collapsed="false">
      <c r="A80" s="6" t="n">
        <v>9</v>
      </c>
      <c r="B80" s="6" t="s">
        <v>275</v>
      </c>
      <c r="C80" s="6" t="s">
        <v>271</v>
      </c>
      <c r="D80" s="6" t="s">
        <v>229</v>
      </c>
      <c r="E80" s="6" t="s">
        <v>50</v>
      </c>
      <c r="F80" s="6" t="str">
        <f aca="false">INDEX(Items!$B$5:$B$62,MATCH($E80,Items!$A$5:$A$62,0))</f>
        <v>DISPOSABLES &amp; CLINIC CONSUMABLES</v>
      </c>
      <c r="G80" s="6" t="str">
        <f aca="false">INDEX(Items!$C$5:$C$62,MATCH($E80,Items!$A$5:$A$62,0))</f>
        <v>Countable</v>
      </c>
      <c r="H80" s="6" t="s">
        <v>161</v>
      </c>
      <c r="I80" s="6" t="s">
        <v>160</v>
      </c>
      <c r="J80" s="6" t="n">
        <f aca="false">SUMIFS(Kits!$C$5:$C$163,Kits!$A$5:$A$163,$D80,Kits!$B$5:$B$163,$E80)</f>
        <v>1</v>
      </c>
      <c r="K80" s="6" t="n">
        <f aca="false">INDEX(Services!$F$5:$F$85,MATCH($A80,Services!$A$5:$A$85,0))</f>
        <v>1</v>
      </c>
      <c r="L80" s="6" t="n">
        <f aca="false">IF($H80="Auto-deduct",IF($G80="Countable",ROUNDUP($J80*IF($I80="Y",$K80,1),0),ROUND($J80*IF($I80="Y",$K80,1),1)),$J80)</f>
        <v>1</v>
      </c>
      <c r="M80" s="6" t="str">
        <f aca="false">INDEX(Items!$E$5:$E$62,MATCH($E80,Items!$A$5:$A$62,0))</f>
        <v>pc</v>
      </c>
      <c r="N80" s="6" t="n">
        <f aca="false">ROUND($L80/INDEX(Items!$F$5:$F$62,MATCH($E80,Items!$A$5:$A$62,0)),4)</f>
        <v>1</v>
      </c>
      <c r="O80" s="6"/>
    </row>
    <row r="81" customFormat="false" ht="15" hidden="false" customHeight="false" outlineLevel="0" collapsed="false">
      <c r="A81" s="6" t="n">
        <v>9</v>
      </c>
      <c r="B81" s="6" t="s">
        <v>275</v>
      </c>
      <c r="C81" s="6" t="s">
        <v>271</v>
      </c>
      <c r="D81" s="6" t="s">
        <v>229</v>
      </c>
      <c r="E81" s="6" t="s">
        <v>58</v>
      </c>
      <c r="F81" s="6" t="str">
        <f aca="false">INDEX(Items!$B$5:$B$62,MATCH($E81,Items!$A$5:$A$62,0))</f>
        <v>DISPOSABLES &amp; CLINIC CONSUMABLES</v>
      </c>
      <c r="G81" s="6" t="str">
        <f aca="false">INDEX(Items!$C$5:$C$62,MATCH($E81,Items!$A$5:$A$62,0))</f>
        <v>Bulk</v>
      </c>
      <c r="H81" s="6" t="s">
        <v>161</v>
      </c>
      <c r="I81" s="6" t="s">
        <v>191</v>
      </c>
      <c r="J81" s="6" t="n">
        <f aca="false">SUMIFS(Kits!$C$5:$C$163,Kits!$A$5:$A$163,$D81,Kits!$B$5:$B$163,$E81)</f>
        <v>2</v>
      </c>
      <c r="K81" s="6" t="n">
        <f aca="false">INDEX(Services!$F$5:$F$85,MATCH($A81,Services!$A$5:$A$85,0))</f>
        <v>1</v>
      </c>
      <c r="L81" s="6" t="n">
        <f aca="false">IF($H81="Auto-deduct",IF($G81="Countable",ROUNDUP($J81*IF($I81="Y",$K81,1),0),ROUND($J81*IF($I81="Y",$K81,1),1)),$J81)</f>
        <v>2</v>
      </c>
      <c r="M81" s="6" t="str">
        <f aca="false">INDEX(Items!$E$5:$E$62,MATCH($E81,Items!$A$5:$A$62,0))</f>
        <v>sheet</v>
      </c>
      <c r="N81" s="6" t="n">
        <f aca="false">ROUND($L81/INDEX(Items!$F$5:$F$62,MATCH($E81,Items!$A$5:$A$62,0)),4)</f>
        <v>0.01</v>
      </c>
      <c r="O81" s="6"/>
    </row>
    <row r="82" customFormat="false" ht="15" hidden="false" customHeight="false" outlineLevel="0" collapsed="false">
      <c r="A82" s="6" t="n">
        <v>9</v>
      </c>
      <c r="B82" s="6" t="s">
        <v>275</v>
      </c>
      <c r="C82" s="6" t="s">
        <v>271</v>
      </c>
      <c r="D82" s="6" t="s">
        <v>229</v>
      </c>
      <c r="E82" s="6" t="s">
        <v>69</v>
      </c>
      <c r="F82" s="6" t="str">
        <f aca="false">INDEX(Items!$B$5:$B$62,MATCH($E82,Items!$A$5:$A$62,0))</f>
        <v>DISPOSABLES &amp; CLINIC CONSUMABLES</v>
      </c>
      <c r="G82" s="6" t="str">
        <f aca="false">INDEX(Items!$C$5:$C$62,MATCH($E82,Items!$A$5:$A$62,0))</f>
        <v>Bulk</v>
      </c>
      <c r="H82" s="6" t="s">
        <v>161</v>
      </c>
      <c r="I82" s="6" t="s">
        <v>191</v>
      </c>
      <c r="J82" s="6" t="n">
        <f aca="false">SUMIFS(Kits!$C$5:$C$163,Kits!$A$5:$A$163,$D82,Kits!$B$5:$B$163,$E82)</f>
        <v>3</v>
      </c>
      <c r="K82" s="6" t="n">
        <f aca="false">INDEX(Services!$F$5:$F$85,MATCH($A82,Services!$A$5:$A$85,0))</f>
        <v>1</v>
      </c>
      <c r="L82" s="6" t="n">
        <f aca="false">IF($H82="Auto-deduct",IF($G82="Countable",ROUNDUP($J82*IF($I82="Y",$K82,1),0),ROUND($J82*IF($I82="Y",$K82,1),1)),$J82)</f>
        <v>3</v>
      </c>
      <c r="M82" s="6" t="str">
        <f aca="false">INDEX(Items!$E$5:$E$62,MATCH($E82,Items!$A$5:$A$62,0))</f>
        <v>g</v>
      </c>
      <c r="N82" s="6" t="n">
        <f aca="false">ROUND($L82/INDEX(Items!$F$5:$F$62,MATCH($E82,Items!$A$5:$A$62,0)),4)</f>
        <v>0.0075</v>
      </c>
      <c r="O82" s="6"/>
    </row>
    <row r="83" customFormat="false" ht="15" hidden="false" customHeight="false" outlineLevel="0" collapsed="false">
      <c r="A83" s="6" t="n">
        <v>9</v>
      </c>
      <c r="B83" s="6" t="s">
        <v>275</v>
      </c>
      <c r="C83" s="6" t="s">
        <v>271</v>
      </c>
      <c r="D83" s="6" t="s">
        <v>229</v>
      </c>
      <c r="E83" s="6" t="s">
        <v>86</v>
      </c>
      <c r="F83" s="6" t="str">
        <f aca="false">INDEX(Items!$B$5:$B$62,MATCH($E83,Items!$A$5:$A$62,0))</f>
        <v>DISPOSABLES &amp; CLINIC CONSUMABLES</v>
      </c>
      <c r="G83" s="6" t="str">
        <f aca="false">INDEX(Items!$C$5:$C$62,MATCH($E83,Items!$A$5:$A$62,0))</f>
        <v>Bulk</v>
      </c>
      <c r="H83" s="6" t="s">
        <v>161</v>
      </c>
      <c r="I83" s="6" t="s">
        <v>191</v>
      </c>
      <c r="J83" s="6" t="n">
        <f aca="false">SUMIFS(Kits!$C$5:$C$163,Kits!$A$5:$A$163,$D83,Kits!$B$5:$B$163,$E83)</f>
        <v>2</v>
      </c>
      <c r="K83" s="6" t="n">
        <f aca="false">INDEX(Services!$F$5:$F$85,MATCH($A83,Services!$A$5:$A$85,0))</f>
        <v>1</v>
      </c>
      <c r="L83" s="6" t="n">
        <f aca="false">IF($H83="Auto-deduct",IF($G83="Countable",ROUNDUP($J83*IF($I83="Y",$K83,1),0),ROUND($J83*IF($I83="Y",$K83,1),1)),$J83)</f>
        <v>2</v>
      </c>
      <c r="M83" s="6" t="str">
        <f aca="false">INDEX(Items!$E$5:$E$62,MATCH($E83,Items!$A$5:$A$62,0))</f>
        <v>pc</v>
      </c>
      <c r="N83" s="6" t="n">
        <f aca="false">ROUND($L83/INDEX(Items!$F$5:$F$62,MATCH($E83,Items!$A$5:$A$62,0)),4)</f>
        <v>0.025</v>
      </c>
      <c r="O83" s="6"/>
    </row>
    <row r="84" customFormat="false" ht="15" hidden="false" customHeight="false" outlineLevel="0" collapsed="false">
      <c r="A84" s="6" t="n">
        <v>10</v>
      </c>
      <c r="B84" s="6" t="s">
        <v>276</v>
      </c>
      <c r="C84" s="6" t="s">
        <v>271</v>
      </c>
      <c r="D84" s="6" t="s">
        <v>159</v>
      </c>
      <c r="E84" s="6" t="s">
        <v>52</v>
      </c>
      <c r="F84" s="6" t="str">
        <f aca="false">INDEX(Items!$B$5:$B$62,MATCH($E84,Items!$A$5:$A$62,0))</f>
        <v>DISPOSABLES &amp; CLINIC CONSUMABLES</v>
      </c>
      <c r="G84" s="6" t="str">
        <f aca="false">INDEX(Items!$C$5:$C$62,MATCH($E84,Items!$A$5:$A$62,0))</f>
        <v>Countable</v>
      </c>
      <c r="H84" s="6" t="s">
        <v>161</v>
      </c>
      <c r="I84" s="6" t="s">
        <v>160</v>
      </c>
      <c r="J84" s="6" t="n">
        <f aca="false">SUMIFS(Kits!$C$5:$C$163,Kits!$A$5:$A$163,$D84,Kits!$B$5:$B$163,$E84)</f>
        <v>1</v>
      </c>
      <c r="K84" s="6" t="n">
        <f aca="false">INDEX(Services!$F$5:$F$85,MATCH($A84,Services!$A$5:$A$85,0))</f>
        <v>2.5</v>
      </c>
      <c r="L84" s="6" t="n">
        <f aca="false">IF($H84="Auto-deduct",IF($G84="Countable",ROUNDUP($J84*IF($I84="Y",$K84,1),0),ROUND($J84*IF($I84="Y",$K84,1),1)),$J84)</f>
        <v>1</v>
      </c>
      <c r="M84" s="6" t="str">
        <f aca="false">INDEX(Items!$E$5:$E$62,MATCH($E84,Items!$A$5:$A$62,0))</f>
        <v>pc</v>
      </c>
      <c r="N84" s="6" t="n">
        <f aca="false">ROUND($L84/INDEX(Items!$F$5:$F$62,MATCH($E84,Items!$A$5:$A$62,0)),4)</f>
        <v>1</v>
      </c>
      <c r="O84" s="6"/>
    </row>
    <row r="85" customFormat="false" ht="15" hidden="false" customHeight="false" outlineLevel="0" collapsed="false">
      <c r="A85" s="6" t="n">
        <v>10</v>
      </c>
      <c r="B85" s="6" t="s">
        <v>276</v>
      </c>
      <c r="C85" s="6" t="s">
        <v>271</v>
      </c>
      <c r="D85" s="6" t="s">
        <v>159</v>
      </c>
      <c r="E85" s="6" t="s">
        <v>53</v>
      </c>
      <c r="F85" s="6" t="str">
        <f aca="false">INDEX(Items!$B$5:$B$62,MATCH($E85,Items!$A$5:$A$62,0))</f>
        <v>DISPOSABLES &amp; CLINIC CONSUMABLES</v>
      </c>
      <c r="G85" s="6" t="str">
        <f aca="false">INDEX(Items!$C$5:$C$62,MATCH($E85,Items!$A$5:$A$62,0))</f>
        <v>Countable</v>
      </c>
      <c r="H85" s="6" t="s">
        <v>161</v>
      </c>
      <c r="I85" s="6" t="s">
        <v>160</v>
      </c>
      <c r="J85" s="6" t="n">
        <f aca="false">SUMIFS(Kits!$C$5:$C$163,Kits!$A$5:$A$163,$D85,Kits!$B$5:$B$163,$E85)</f>
        <v>1</v>
      </c>
      <c r="K85" s="6" t="n">
        <f aca="false">INDEX(Services!$F$5:$F$85,MATCH($A85,Services!$A$5:$A$85,0))</f>
        <v>2.5</v>
      </c>
      <c r="L85" s="6" t="n">
        <f aca="false">IF($H85="Auto-deduct",IF($G85="Countable",ROUNDUP($J85*IF($I85="Y",$K85,1),0),ROUND($J85*IF($I85="Y",$K85,1),1)),$J85)</f>
        <v>1</v>
      </c>
      <c r="M85" s="6" t="str">
        <f aca="false">INDEX(Items!$E$5:$E$62,MATCH($E85,Items!$A$5:$A$62,0))</f>
        <v>pair</v>
      </c>
      <c r="N85" s="6" t="n">
        <f aca="false">ROUND($L85/INDEX(Items!$F$5:$F$62,MATCH($E85,Items!$A$5:$A$62,0)),4)</f>
        <v>1</v>
      </c>
      <c r="O85" s="6"/>
    </row>
    <row r="86" customFormat="false" ht="15" hidden="false" customHeight="false" outlineLevel="0" collapsed="false">
      <c r="A86" s="6" t="n">
        <v>10</v>
      </c>
      <c r="B86" s="6" t="s">
        <v>276</v>
      </c>
      <c r="C86" s="6" t="s">
        <v>271</v>
      </c>
      <c r="D86" s="6" t="s">
        <v>159</v>
      </c>
      <c r="E86" s="6" t="s">
        <v>88</v>
      </c>
      <c r="F86" s="6" t="str">
        <f aca="false">INDEX(Items!$B$5:$B$62,MATCH($E86,Items!$A$5:$A$62,0))</f>
        <v>DISPOSABLES &amp; CLINIC CONSUMABLES</v>
      </c>
      <c r="G86" s="6" t="str">
        <f aca="false">INDEX(Items!$C$5:$C$62,MATCH($E86,Items!$A$5:$A$62,0))</f>
        <v>Bulk</v>
      </c>
      <c r="H86" s="6" t="s">
        <v>161</v>
      </c>
      <c r="I86" s="6" t="s">
        <v>160</v>
      </c>
      <c r="J86" s="6" t="n">
        <f aca="false">SUMIFS(Kits!$C$5:$C$163,Kits!$A$5:$A$163,$D86,Kits!$B$5:$B$163,$E86)</f>
        <v>5</v>
      </c>
      <c r="K86" s="6" t="n">
        <f aca="false">INDEX(Services!$F$5:$F$85,MATCH($A86,Services!$A$5:$A$85,0))</f>
        <v>2.5</v>
      </c>
      <c r="L86" s="6" t="n">
        <f aca="false">IF($H86="Auto-deduct",IF($G86="Countable",ROUNDUP($J86*IF($I86="Y",$K86,1),0),ROUND($J86*IF($I86="Y",$K86,1),1)),$J86)</f>
        <v>5</v>
      </c>
      <c r="M86" s="6" t="str">
        <f aca="false">INDEX(Items!$E$5:$E$62,MATCH($E86,Items!$A$5:$A$62,0))</f>
        <v>mL</v>
      </c>
      <c r="N86" s="6" t="n">
        <f aca="false">ROUND($L86/INDEX(Items!$F$5:$F$62,MATCH($E86,Items!$A$5:$A$62,0)),4)</f>
        <v>0.01</v>
      </c>
      <c r="O86" s="6"/>
    </row>
    <row r="87" customFormat="false" ht="15" hidden="false" customHeight="false" outlineLevel="0" collapsed="false">
      <c r="A87" s="6" t="n">
        <v>10</v>
      </c>
      <c r="B87" s="6" t="s">
        <v>276</v>
      </c>
      <c r="C87" s="6" t="s">
        <v>271</v>
      </c>
      <c r="D87" s="6" t="s">
        <v>229</v>
      </c>
      <c r="E87" s="6" t="s">
        <v>50</v>
      </c>
      <c r="F87" s="6" t="str">
        <f aca="false">INDEX(Items!$B$5:$B$62,MATCH($E87,Items!$A$5:$A$62,0))</f>
        <v>DISPOSABLES &amp; CLINIC CONSUMABLES</v>
      </c>
      <c r="G87" s="6" t="str">
        <f aca="false">INDEX(Items!$C$5:$C$62,MATCH($E87,Items!$A$5:$A$62,0))</f>
        <v>Countable</v>
      </c>
      <c r="H87" s="6" t="s">
        <v>161</v>
      </c>
      <c r="I87" s="6" t="s">
        <v>160</v>
      </c>
      <c r="J87" s="6" t="n">
        <f aca="false">SUMIFS(Kits!$C$5:$C$163,Kits!$A$5:$A$163,$D87,Kits!$B$5:$B$163,$E87)</f>
        <v>1</v>
      </c>
      <c r="K87" s="6" t="n">
        <f aca="false">INDEX(Services!$F$5:$F$85,MATCH($A87,Services!$A$5:$A$85,0))</f>
        <v>2.5</v>
      </c>
      <c r="L87" s="6" t="n">
        <f aca="false">IF($H87="Auto-deduct",IF($G87="Countable",ROUNDUP($J87*IF($I87="Y",$K87,1),0),ROUND($J87*IF($I87="Y",$K87,1),1)),$J87)</f>
        <v>1</v>
      </c>
      <c r="M87" s="6" t="str">
        <f aca="false">INDEX(Items!$E$5:$E$62,MATCH($E87,Items!$A$5:$A$62,0))</f>
        <v>pc</v>
      </c>
      <c r="N87" s="6" t="n">
        <f aca="false">ROUND($L87/INDEX(Items!$F$5:$F$62,MATCH($E87,Items!$A$5:$A$62,0)),4)</f>
        <v>1</v>
      </c>
      <c r="O87" s="6"/>
    </row>
    <row r="88" customFormat="false" ht="15" hidden="false" customHeight="false" outlineLevel="0" collapsed="false">
      <c r="A88" s="6" t="n">
        <v>10</v>
      </c>
      <c r="B88" s="6" t="s">
        <v>276</v>
      </c>
      <c r="C88" s="6" t="s">
        <v>271</v>
      </c>
      <c r="D88" s="6" t="s">
        <v>229</v>
      </c>
      <c r="E88" s="6" t="s">
        <v>58</v>
      </c>
      <c r="F88" s="6" t="str">
        <f aca="false">INDEX(Items!$B$5:$B$62,MATCH($E88,Items!$A$5:$A$62,0))</f>
        <v>DISPOSABLES &amp; CLINIC CONSUMABLES</v>
      </c>
      <c r="G88" s="6" t="str">
        <f aca="false">INDEX(Items!$C$5:$C$62,MATCH($E88,Items!$A$5:$A$62,0))</f>
        <v>Bulk</v>
      </c>
      <c r="H88" s="6" t="s">
        <v>161</v>
      </c>
      <c r="I88" s="6" t="s">
        <v>191</v>
      </c>
      <c r="J88" s="6" t="n">
        <f aca="false">SUMIFS(Kits!$C$5:$C$163,Kits!$A$5:$A$163,$D88,Kits!$B$5:$B$163,$E88)</f>
        <v>2</v>
      </c>
      <c r="K88" s="6" t="n">
        <f aca="false">INDEX(Services!$F$5:$F$85,MATCH($A88,Services!$A$5:$A$85,0))</f>
        <v>2.5</v>
      </c>
      <c r="L88" s="6" t="n">
        <f aca="false">IF($H88="Auto-deduct",IF($G88="Countable",ROUNDUP($J88*IF($I88="Y",$K88,1),0),ROUND($J88*IF($I88="Y",$K88,1),1)),$J88)</f>
        <v>5</v>
      </c>
      <c r="M88" s="6" t="str">
        <f aca="false">INDEX(Items!$E$5:$E$62,MATCH($E88,Items!$A$5:$A$62,0))</f>
        <v>sheet</v>
      </c>
      <c r="N88" s="6" t="n">
        <f aca="false">ROUND($L88/INDEX(Items!$F$5:$F$62,MATCH($E88,Items!$A$5:$A$62,0)),4)</f>
        <v>0.025</v>
      </c>
      <c r="O88" s="6"/>
    </row>
    <row r="89" customFormat="false" ht="15" hidden="false" customHeight="false" outlineLevel="0" collapsed="false">
      <c r="A89" s="6" t="n">
        <v>10</v>
      </c>
      <c r="B89" s="6" t="s">
        <v>276</v>
      </c>
      <c r="C89" s="6" t="s">
        <v>271</v>
      </c>
      <c r="D89" s="6" t="s">
        <v>229</v>
      </c>
      <c r="E89" s="6" t="s">
        <v>69</v>
      </c>
      <c r="F89" s="6" t="str">
        <f aca="false">INDEX(Items!$B$5:$B$62,MATCH($E89,Items!$A$5:$A$62,0))</f>
        <v>DISPOSABLES &amp; CLINIC CONSUMABLES</v>
      </c>
      <c r="G89" s="6" t="str">
        <f aca="false">INDEX(Items!$C$5:$C$62,MATCH($E89,Items!$A$5:$A$62,0))</f>
        <v>Bulk</v>
      </c>
      <c r="H89" s="6" t="s">
        <v>161</v>
      </c>
      <c r="I89" s="6" t="s">
        <v>191</v>
      </c>
      <c r="J89" s="6" t="n">
        <f aca="false">SUMIFS(Kits!$C$5:$C$163,Kits!$A$5:$A$163,$D89,Kits!$B$5:$B$163,$E89)</f>
        <v>3</v>
      </c>
      <c r="K89" s="6" t="n">
        <f aca="false">INDEX(Services!$F$5:$F$85,MATCH($A89,Services!$A$5:$A$85,0))</f>
        <v>2.5</v>
      </c>
      <c r="L89" s="6" t="n">
        <f aca="false">IF($H89="Auto-deduct",IF($G89="Countable",ROUNDUP($J89*IF($I89="Y",$K89,1),0),ROUND($J89*IF($I89="Y",$K89,1),1)),$J89)</f>
        <v>7.5</v>
      </c>
      <c r="M89" s="6" t="str">
        <f aca="false">INDEX(Items!$E$5:$E$62,MATCH($E89,Items!$A$5:$A$62,0))</f>
        <v>g</v>
      </c>
      <c r="N89" s="6" t="n">
        <f aca="false">ROUND($L89/INDEX(Items!$F$5:$F$62,MATCH($E89,Items!$A$5:$A$62,0)),4)</f>
        <v>0.0188</v>
      </c>
      <c r="O89" s="6"/>
    </row>
    <row r="90" customFormat="false" ht="15" hidden="false" customHeight="false" outlineLevel="0" collapsed="false">
      <c r="A90" s="6" t="n">
        <v>10</v>
      </c>
      <c r="B90" s="6" t="s">
        <v>276</v>
      </c>
      <c r="C90" s="6" t="s">
        <v>271</v>
      </c>
      <c r="D90" s="6" t="s">
        <v>229</v>
      </c>
      <c r="E90" s="6" t="s">
        <v>86</v>
      </c>
      <c r="F90" s="6" t="str">
        <f aca="false">INDEX(Items!$B$5:$B$62,MATCH($E90,Items!$A$5:$A$62,0))</f>
        <v>DISPOSABLES &amp; CLINIC CONSUMABLES</v>
      </c>
      <c r="G90" s="6" t="str">
        <f aca="false">INDEX(Items!$C$5:$C$62,MATCH($E90,Items!$A$5:$A$62,0))</f>
        <v>Bulk</v>
      </c>
      <c r="H90" s="6" t="s">
        <v>161</v>
      </c>
      <c r="I90" s="6" t="s">
        <v>191</v>
      </c>
      <c r="J90" s="6" t="n">
        <f aca="false">SUMIFS(Kits!$C$5:$C$163,Kits!$A$5:$A$163,$D90,Kits!$B$5:$B$163,$E90)</f>
        <v>2</v>
      </c>
      <c r="K90" s="6" t="n">
        <f aca="false">INDEX(Services!$F$5:$F$85,MATCH($A90,Services!$A$5:$A$85,0))</f>
        <v>2.5</v>
      </c>
      <c r="L90" s="6" t="n">
        <f aca="false">IF($H90="Auto-deduct",IF($G90="Countable",ROUNDUP($J90*IF($I90="Y",$K90,1),0),ROUND($J90*IF($I90="Y",$K90,1),1)),$J90)</f>
        <v>5</v>
      </c>
      <c r="M90" s="6" t="str">
        <f aca="false">INDEX(Items!$E$5:$E$62,MATCH($E90,Items!$A$5:$A$62,0))</f>
        <v>pc</v>
      </c>
      <c r="N90" s="6" t="n">
        <f aca="false">ROUND($L90/INDEX(Items!$F$5:$F$62,MATCH($E90,Items!$A$5:$A$62,0)),4)</f>
        <v>0.0625</v>
      </c>
      <c r="O90" s="6"/>
    </row>
    <row r="91" customFormat="false" ht="15" hidden="false" customHeight="false" outlineLevel="0" collapsed="false">
      <c r="A91" s="6" t="n">
        <v>11</v>
      </c>
      <c r="B91" s="6" t="s">
        <v>279</v>
      </c>
      <c r="C91" s="6" t="s">
        <v>278</v>
      </c>
      <c r="D91" s="6" t="s">
        <v>159</v>
      </c>
      <c r="E91" s="6" t="s">
        <v>52</v>
      </c>
      <c r="F91" s="6" t="str">
        <f aca="false">INDEX(Items!$B$5:$B$62,MATCH($E91,Items!$A$5:$A$62,0))</f>
        <v>DISPOSABLES &amp; CLINIC CONSUMABLES</v>
      </c>
      <c r="G91" s="6" t="str">
        <f aca="false">INDEX(Items!$C$5:$C$62,MATCH($E91,Items!$A$5:$A$62,0))</f>
        <v>Countable</v>
      </c>
      <c r="H91" s="6" t="s">
        <v>161</v>
      </c>
      <c r="I91" s="6" t="s">
        <v>160</v>
      </c>
      <c r="J91" s="6" t="n">
        <f aca="false">SUMIFS(Kits!$C$5:$C$163,Kits!$A$5:$A$163,$D91,Kits!$B$5:$B$163,$E91)</f>
        <v>1</v>
      </c>
      <c r="K91" s="6" t="n">
        <f aca="false">INDEX(Services!$F$5:$F$85,MATCH($A91,Services!$A$5:$A$85,0))</f>
        <v>1</v>
      </c>
      <c r="L91" s="6" t="n">
        <f aca="false">IF($H91="Auto-deduct",IF($G91="Countable",ROUNDUP($J91*IF($I91="Y",$K91,1),0),ROUND($J91*IF($I91="Y",$K91,1),1)),$J91)</f>
        <v>1</v>
      </c>
      <c r="M91" s="6" t="str">
        <f aca="false">INDEX(Items!$E$5:$E$62,MATCH($E91,Items!$A$5:$A$62,0))</f>
        <v>pc</v>
      </c>
      <c r="N91" s="6" t="n">
        <f aca="false">ROUND($L91/INDEX(Items!$F$5:$F$62,MATCH($E91,Items!$A$5:$A$62,0)),4)</f>
        <v>1</v>
      </c>
      <c r="O91" s="6"/>
    </row>
    <row r="92" customFormat="false" ht="15" hidden="false" customHeight="false" outlineLevel="0" collapsed="false">
      <c r="A92" s="6" t="n">
        <v>11</v>
      </c>
      <c r="B92" s="6" t="s">
        <v>279</v>
      </c>
      <c r="C92" s="6" t="s">
        <v>278</v>
      </c>
      <c r="D92" s="6" t="s">
        <v>159</v>
      </c>
      <c r="E92" s="6" t="s">
        <v>53</v>
      </c>
      <c r="F92" s="6" t="str">
        <f aca="false">INDEX(Items!$B$5:$B$62,MATCH($E92,Items!$A$5:$A$62,0))</f>
        <v>DISPOSABLES &amp; CLINIC CONSUMABLES</v>
      </c>
      <c r="G92" s="6" t="str">
        <f aca="false">INDEX(Items!$C$5:$C$62,MATCH($E92,Items!$A$5:$A$62,0))</f>
        <v>Countable</v>
      </c>
      <c r="H92" s="6" t="s">
        <v>161</v>
      </c>
      <c r="I92" s="6" t="s">
        <v>160</v>
      </c>
      <c r="J92" s="6" t="n">
        <f aca="false">SUMIFS(Kits!$C$5:$C$163,Kits!$A$5:$A$163,$D92,Kits!$B$5:$B$163,$E92)</f>
        <v>1</v>
      </c>
      <c r="K92" s="6" t="n">
        <f aca="false">INDEX(Services!$F$5:$F$85,MATCH($A92,Services!$A$5:$A$85,0))</f>
        <v>1</v>
      </c>
      <c r="L92" s="6" t="n">
        <f aca="false">IF($H92="Auto-deduct",IF($G92="Countable",ROUNDUP($J92*IF($I92="Y",$K92,1),0),ROUND($J92*IF($I92="Y",$K92,1),1)),$J92)</f>
        <v>1</v>
      </c>
      <c r="M92" s="6" t="str">
        <f aca="false">INDEX(Items!$E$5:$E$62,MATCH($E92,Items!$A$5:$A$62,0))</f>
        <v>pair</v>
      </c>
      <c r="N92" s="6" t="n">
        <f aca="false">ROUND($L92/INDEX(Items!$F$5:$F$62,MATCH($E92,Items!$A$5:$A$62,0)),4)</f>
        <v>1</v>
      </c>
      <c r="O92" s="6"/>
    </row>
    <row r="93" customFormat="false" ht="15" hidden="false" customHeight="false" outlineLevel="0" collapsed="false">
      <c r="A93" s="6" t="n">
        <v>11</v>
      </c>
      <c r="B93" s="6" t="s">
        <v>279</v>
      </c>
      <c r="C93" s="6" t="s">
        <v>278</v>
      </c>
      <c r="D93" s="6" t="s">
        <v>159</v>
      </c>
      <c r="E93" s="6" t="s">
        <v>88</v>
      </c>
      <c r="F93" s="6" t="str">
        <f aca="false">INDEX(Items!$B$5:$B$62,MATCH($E93,Items!$A$5:$A$62,0))</f>
        <v>DISPOSABLES &amp; CLINIC CONSUMABLES</v>
      </c>
      <c r="G93" s="6" t="str">
        <f aca="false">INDEX(Items!$C$5:$C$62,MATCH($E93,Items!$A$5:$A$62,0))</f>
        <v>Bulk</v>
      </c>
      <c r="H93" s="6" t="s">
        <v>161</v>
      </c>
      <c r="I93" s="6" t="s">
        <v>160</v>
      </c>
      <c r="J93" s="6" t="n">
        <f aca="false">SUMIFS(Kits!$C$5:$C$163,Kits!$A$5:$A$163,$D93,Kits!$B$5:$B$163,$E93)</f>
        <v>5</v>
      </c>
      <c r="K93" s="6" t="n">
        <f aca="false">INDEX(Services!$F$5:$F$85,MATCH($A93,Services!$A$5:$A$85,0))</f>
        <v>1</v>
      </c>
      <c r="L93" s="6" t="n">
        <f aca="false">IF($H93="Auto-deduct",IF($G93="Countable",ROUNDUP($J93*IF($I93="Y",$K93,1),0),ROUND($J93*IF($I93="Y",$K93,1),1)),$J93)</f>
        <v>5</v>
      </c>
      <c r="M93" s="6" t="str">
        <f aca="false">INDEX(Items!$E$5:$E$62,MATCH($E93,Items!$A$5:$A$62,0))</f>
        <v>mL</v>
      </c>
      <c r="N93" s="6" t="n">
        <f aca="false">ROUND($L93/INDEX(Items!$F$5:$F$62,MATCH($E93,Items!$A$5:$A$62,0)),4)</f>
        <v>0.01</v>
      </c>
      <c r="O93" s="6"/>
    </row>
    <row r="94" customFormat="false" ht="15" hidden="false" customHeight="false" outlineLevel="0" collapsed="false">
      <c r="A94" s="6" t="n">
        <v>11</v>
      </c>
      <c r="B94" s="6" t="s">
        <v>279</v>
      </c>
      <c r="C94" s="6" t="s">
        <v>278</v>
      </c>
      <c r="D94" s="6" t="s">
        <v>193</v>
      </c>
      <c r="E94" s="6" t="s">
        <v>147</v>
      </c>
      <c r="F94" s="6" t="str">
        <f aca="false">INDEX(Items!$B$5:$B$62,MATCH($E94,Items!$A$5:$A$62,0))</f>
        <v>TOOLS / EQUIPMENT / MISC</v>
      </c>
      <c r="G94" s="6" t="str">
        <f aca="false">INDEX(Items!$C$5:$C$62,MATCH($E94,Items!$A$5:$A$62,0))</f>
        <v>Countable</v>
      </c>
      <c r="H94" s="6" t="s">
        <v>161</v>
      </c>
      <c r="I94" s="6" t="s">
        <v>160</v>
      </c>
      <c r="J94" s="6" t="n">
        <f aca="false">SUMIFS(Kits!$C$5:$C$163,Kits!$A$5:$A$163,$D94,Kits!$B$5:$B$163,$E94)</f>
        <v>1</v>
      </c>
      <c r="K94" s="6" t="n">
        <f aca="false">INDEX(Services!$F$5:$F$85,MATCH($A94,Services!$A$5:$A$85,0))</f>
        <v>1</v>
      </c>
      <c r="L94" s="6" t="n">
        <f aca="false">IF($H94="Auto-deduct",IF($G94="Countable",ROUNDUP($J94*IF($I94="Y",$K94,1),0),ROUND($J94*IF($I94="Y",$K94,1),1)),$J94)</f>
        <v>1</v>
      </c>
      <c r="M94" s="6" t="str">
        <f aca="false">INDEX(Items!$E$5:$E$62,MATCH($E94,Items!$A$5:$A$62,0))</f>
        <v>pc</v>
      </c>
      <c r="N94" s="6" t="n">
        <f aca="false">ROUND($L94/INDEX(Items!$F$5:$F$62,MATCH($E94,Items!$A$5:$A$62,0)),4)</f>
        <v>1</v>
      </c>
      <c r="O94" s="6"/>
    </row>
    <row r="95" customFormat="false" ht="15" hidden="false" customHeight="false" outlineLevel="0" collapsed="false">
      <c r="A95" s="6" t="n">
        <v>11</v>
      </c>
      <c r="B95" s="6" t="s">
        <v>279</v>
      </c>
      <c r="C95" s="6" t="s">
        <v>278</v>
      </c>
      <c r="D95" s="6" t="s">
        <v>193</v>
      </c>
      <c r="E95" s="6" t="s">
        <v>114</v>
      </c>
      <c r="F95" s="6" t="str">
        <f aca="false">INDEX(Items!$B$5:$B$62,MATCH($E95,Items!$A$5:$A$62,0))</f>
        <v>FACIAL TREATMENT PRODUCTS (PROFESSIONAL USE)</v>
      </c>
      <c r="G95" s="6" t="str">
        <f aca="false">INDEX(Items!$C$5:$C$62,MATCH($E95,Items!$A$5:$A$62,0))</f>
        <v>Bulk</v>
      </c>
      <c r="H95" s="6" t="s">
        <v>161</v>
      </c>
      <c r="I95" s="6" t="s">
        <v>191</v>
      </c>
      <c r="J95" s="6" t="n">
        <f aca="false">SUMIFS(Kits!$C$5:$C$163,Kits!$A$5:$A$163,$D95,Kits!$B$5:$B$163,$E95)</f>
        <v>15</v>
      </c>
      <c r="K95" s="6" t="n">
        <f aca="false">INDEX(Services!$F$5:$F$85,MATCH($A95,Services!$A$5:$A$85,0))</f>
        <v>1</v>
      </c>
      <c r="L95" s="6" t="n">
        <f aca="false">IF($H95="Auto-deduct",IF($G95="Countable",ROUNDUP($J95*IF($I95="Y",$K95,1),0),ROUND($J95*IF($I95="Y",$K95,1),1)),$J95)</f>
        <v>15</v>
      </c>
      <c r="M95" s="6" t="str">
        <f aca="false">INDEX(Items!$E$5:$E$62,MATCH($E95,Items!$A$5:$A$62,0))</f>
        <v>mL</v>
      </c>
      <c r="N95" s="6" t="n">
        <f aca="false">ROUND($L95/INDEX(Items!$F$5:$F$62,MATCH($E95,Items!$A$5:$A$62,0)),4)</f>
        <v>0.015</v>
      </c>
      <c r="O95" s="6"/>
    </row>
    <row r="96" customFormat="false" ht="15" hidden="false" customHeight="false" outlineLevel="0" collapsed="false">
      <c r="A96" s="6" t="n">
        <v>11</v>
      </c>
      <c r="B96" s="6" t="s">
        <v>279</v>
      </c>
      <c r="C96" s="6" t="s">
        <v>278</v>
      </c>
      <c r="D96" s="6" t="s">
        <v>193</v>
      </c>
      <c r="E96" s="6" t="s">
        <v>86</v>
      </c>
      <c r="F96" s="6" t="str">
        <f aca="false">INDEX(Items!$B$5:$B$62,MATCH($E96,Items!$A$5:$A$62,0))</f>
        <v>DISPOSABLES &amp; CLINIC CONSUMABLES</v>
      </c>
      <c r="G96" s="6" t="str">
        <f aca="false">INDEX(Items!$C$5:$C$62,MATCH($E96,Items!$A$5:$A$62,0))</f>
        <v>Bulk</v>
      </c>
      <c r="H96" s="6" t="s">
        <v>161</v>
      </c>
      <c r="I96" s="6" t="s">
        <v>160</v>
      </c>
      <c r="J96" s="6" t="n">
        <f aca="false">SUMIFS(Kits!$C$5:$C$163,Kits!$A$5:$A$163,$D96,Kits!$B$5:$B$163,$E96)</f>
        <v>3</v>
      </c>
      <c r="K96" s="6" t="n">
        <f aca="false">INDEX(Services!$F$5:$F$85,MATCH($A96,Services!$A$5:$A$85,0))</f>
        <v>1</v>
      </c>
      <c r="L96" s="6" t="n">
        <f aca="false">IF($H96="Auto-deduct",IF($G96="Countable",ROUNDUP($J96*IF($I96="Y",$K96,1),0),ROUND($J96*IF($I96="Y",$K96,1),1)),$J96)</f>
        <v>3</v>
      </c>
      <c r="M96" s="6" t="str">
        <f aca="false">INDEX(Items!$E$5:$E$62,MATCH($E96,Items!$A$5:$A$62,0))</f>
        <v>pc</v>
      </c>
      <c r="N96" s="6" t="n">
        <f aca="false">ROUND($L96/INDEX(Items!$F$5:$F$62,MATCH($E96,Items!$A$5:$A$62,0)),4)</f>
        <v>0.0375</v>
      </c>
      <c r="O96" s="6"/>
    </row>
    <row r="97" customFormat="false" ht="15" hidden="false" customHeight="false" outlineLevel="0" collapsed="false">
      <c r="A97" s="6" t="n">
        <v>11</v>
      </c>
      <c r="B97" s="6" t="s">
        <v>279</v>
      </c>
      <c r="C97" s="6" t="s">
        <v>278</v>
      </c>
      <c r="D97" s="6" t="s">
        <v>193</v>
      </c>
      <c r="E97" s="6" t="s">
        <v>58</v>
      </c>
      <c r="F97" s="6" t="str">
        <f aca="false">INDEX(Items!$B$5:$B$62,MATCH($E97,Items!$A$5:$A$62,0))</f>
        <v>DISPOSABLES &amp; CLINIC CONSUMABLES</v>
      </c>
      <c r="G97" s="6" t="str">
        <f aca="false">INDEX(Items!$C$5:$C$62,MATCH($E97,Items!$A$5:$A$62,0))</f>
        <v>Bulk</v>
      </c>
      <c r="H97" s="6" t="s">
        <v>161</v>
      </c>
      <c r="I97" s="6" t="s">
        <v>160</v>
      </c>
      <c r="J97" s="6" t="n">
        <f aca="false">SUMIFS(Kits!$C$5:$C$163,Kits!$A$5:$A$163,$D97,Kits!$B$5:$B$163,$E97)</f>
        <v>4</v>
      </c>
      <c r="K97" s="6" t="n">
        <f aca="false">INDEX(Services!$F$5:$F$85,MATCH($A97,Services!$A$5:$A$85,0))</f>
        <v>1</v>
      </c>
      <c r="L97" s="6" t="n">
        <f aca="false">IF($H97="Auto-deduct",IF($G97="Countable",ROUNDUP($J97*IF($I97="Y",$K97,1),0),ROUND($J97*IF($I97="Y",$K97,1),1)),$J97)</f>
        <v>4</v>
      </c>
      <c r="M97" s="6" t="str">
        <f aca="false">INDEX(Items!$E$5:$E$62,MATCH($E97,Items!$A$5:$A$62,0))</f>
        <v>sheet</v>
      </c>
      <c r="N97" s="6" t="n">
        <f aca="false">ROUND($L97/INDEX(Items!$F$5:$F$62,MATCH($E97,Items!$A$5:$A$62,0)),4)</f>
        <v>0.02</v>
      </c>
      <c r="O97" s="6"/>
    </row>
    <row r="98" customFormat="false" ht="15" hidden="false" customHeight="false" outlineLevel="0" collapsed="false">
      <c r="A98" s="6" t="n">
        <v>11</v>
      </c>
      <c r="B98" s="6" t="s">
        <v>279</v>
      </c>
      <c r="C98" s="6" t="s">
        <v>278</v>
      </c>
      <c r="D98" s="6" t="s">
        <v>193</v>
      </c>
      <c r="E98" s="6" t="s">
        <v>135</v>
      </c>
      <c r="F98" s="6" t="str">
        <f aca="false">INDEX(Items!$B$5:$B$62,MATCH($E98,Items!$A$5:$A$62,0))</f>
        <v>SKINCARE PRODUCTS (RETAIL / AFTERCARE)</v>
      </c>
      <c r="G98" s="6" t="str">
        <f aca="false">INDEX(Items!$C$5:$C$62,MATCH($E98,Items!$A$5:$A$62,0))</f>
        <v>Bulk</v>
      </c>
      <c r="H98" s="6" t="s">
        <v>161</v>
      </c>
      <c r="I98" s="6" t="s">
        <v>191</v>
      </c>
      <c r="J98" s="6" t="n">
        <f aca="false">SUMIFS(Kits!$C$5:$C$163,Kits!$A$5:$A$163,$D98,Kits!$B$5:$B$163,$E98)</f>
        <v>3</v>
      </c>
      <c r="K98" s="6" t="n">
        <f aca="false">INDEX(Services!$F$5:$F$85,MATCH($A98,Services!$A$5:$A$85,0))</f>
        <v>1</v>
      </c>
      <c r="L98" s="6" t="n">
        <f aca="false">IF($H98="Auto-deduct",IF($G98="Countable",ROUNDUP($J98*IF($I98="Y",$K98,1),0),ROUND($J98*IF($I98="Y",$K98,1),1)),$J98)</f>
        <v>3</v>
      </c>
      <c r="M98" s="6" t="str">
        <f aca="false">INDEX(Items!$E$5:$E$62,MATCH($E98,Items!$A$5:$A$62,0))</f>
        <v>g</v>
      </c>
      <c r="N98" s="6" t="n">
        <f aca="false">ROUND($L98/INDEX(Items!$F$5:$F$62,MATCH($E98,Items!$A$5:$A$62,0)),4)</f>
        <v>0.06</v>
      </c>
      <c r="O98" s="6"/>
    </row>
    <row r="99" customFormat="false" ht="15" hidden="false" customHeight="false" outlineLevel="0" collapsed="false">
      <c r="A99" s="6" t="n">
        <v>11</v>
      </c>
      <c r="B99" s="6" t="s">
        <v>279</v>
      </c>
      <c r="C99" s="6" t="s">
        <v>278</v>
      </c>
      <c r="D99" s="6" t="s">
        <v>199</v>
      </c>
      <c r="E99" s="6" t="s">
        <v>134</v>
      </c>
      <c r="F99" s="6" t="str">
        <f aca="false">INDEX(Items!$B$5:$B$62,MATCH($E99,Items!$A$5:$A$62,0))</f>
        <v>SKINCARE PRODUCTS (RETAIL / AFTERCARE)</v>
      </c>
      <c r="G99" s="6" t="str">
        <f aca="false">INDEX(Items!$C$5:$C$62,MATCH($E99,Items!$A$5:$A$62,0))</f>
        <v>Countable</v>
      </c>
      <c r="H99" s="6" t="s">
        <v>185</v>
      </c>
      <c r="I99" s="6" t="s">
        <v>160</v>
      </c>
      <c r="J99" s="6" t="n">
        <f aca="false">SUMIFS(Kits!$C$5:$C$163,Kits!$A$5:$A$163,$D99,Kits!$B$5:$B$163,$E99)</f>
        <v>1</v>
      </c>
      <c r="K99" s="6" t="n">
        <f aca="false">INDEX(Services!$F$5:$F$85,MATCH($A99,Services!$A$5:$A$85,0))</f>
        <v>1</v>
      </c>
      <c r="L99" s="6" t="n">
        <f aca="false">IF($H99="Auto-deduct",IF($G99="Countable",ROUNDUP($J99*IF($I99="Y",$K99,1),0),ROUND($J99*IF($I99="Y",$K99,1),1)),$J99)</f>
        <v>1</v>
      </c>
      <c r="M99" s="6" t="str">
        <f aca="false">INDEX(Items!$E$5:$E$62,MATCH($E99,Items!$A$5:$A$62,0))</f>
        <v>bottle</v>
      </c>
      <c r="N99" s="6" t="n">
        <f aca="false">ROUND($L99/INDEX(Items!$F$5:$F$62,MATCH($E99,Items!$A$5:$A$62,0)),4)</f>
        <v>1</v>
      </c>
      <c r="O99" s="6"/>
    </row>
    <row r="100" customFormat="false" ht="15" hidden="false" customHeight="false" outlineLevel="0" collapsed="false">
      <c r="A100" s="6" t="n">
        <v>11</v>
      </c>
      <c r="B100" s="6" t="s">
        <v>279</v>
      </c>
      <c r="C100" s="6" t="s">
        <v>278</v>
      </c>
      <c r="D100" s="6" t="s">
        <v>199</v>
      </c>
      <c r="E100" s="6" t="s">
        <v>138</v>
      </c>
      <c r="F100" s="6" t="str">
        <f aca="false">INDEX(Items!$B$5:$B$62,MATCH($E100,Items!$A$5:$A$62,0))</f>
        <v>SKINCARE PRODUCTS (RETAIL / AFTERCARE)</v>
      </c>
      <c r="G100" s="6" t="str">
        <f aca="false">INDEX(Items!$C$5:$C$62,MATCH($E100,Items!$A$5:$A$62,0))</f>
        <v>Countable</v>
      </c>
      <c r="H100" s="6" t="s">
        <v>185</v>
      </c>
      <c r="I100" s="6" t="s">
        <v>160</v>
      </c>
      <c r="J100" s="6" t="n">
        <f aca="false">SUMIFS(Kits!$C$5:$C$163,Kits!$A$5:$A$163,$D100,Kits!$B$5:$B$163,$E100)</f>
        <v>1</v>
      </c>
      <c r="K100" s="6" t="n">
        <f aca="false">INDEX(Services!$F$5:$F$85,MATCH($A100,Services!$A$5:$A$85,0))</f>
        <v>1</v>
      </c>
      <c r="L100" s="6" t="n">
        <f aca="false">IF($H100="Auto-deduct",IF($G100="Countable",ROUNDUP($J100*IF($I100="Y",$K100,1),0),ROUND($J100*IF($I100="Y",$K100,1),1)),$J100)</f>
        <v>1</v>
      </c>
      <c r="M100" s="6" t="str">
        <f aca="false">INDEX(Items!$E$5:$E$62,MATCH($E100,Items!$A$5:$A$62,0))</f>
        <v>bottle</v>
      </c>
      <c r="N100" s="6" t="n">
        <f aca="false">ROUND($L100/INDEX(Items!$F$5:$F$62,MATCH($E100,Items!$A$5:$A$62,0)),4)</f>
        <v>1</v>
      </c>
      <c r="O100" s="6"/>
    </row>
    <row r="101" customFormat="false" ht="15" hidden="false" customHeight="false" outlineLevel="0" collapsed="false">
      <c r="A101" s="6" t="n">
        <v>12</v>
      </c>
      <c r="B101" s="6" t="s">
        <v>281</v>
      </c>
      <c r="C101" s="6" t="s">
        <v>278</v>
      </c>
      <c r="D101" s="6" t="s">
        <v>159</v>
      </c>
      <c r="E101" s="6" t="s">
        <v>52</v>
      </c>
      <c r="F101" s="6" t="str">
        <f aca="false">INDEX(Items!$B$5:$B$62,MATCH($E101,Items!$A$5:$A$62,0))</f>
        <v>DISPOSABLES &amp; CLINIC CONSUMABLES</v>
      </c>
      <c r="G101" s="6" t="str">
        <f aca="false">INDEX(Items!$C$5:$C$62,MATCH($E101,Items!$A$5:$A$62,0))</f>
        <v>Countable</v>
      </c>
      <c r="H101" s="6" t="s">
        <v>161</v>
      </c>
      <c r="I101" s="6" t="s">
        <v>160</v>
      </c>
      <c r="J101" s="6" t="n">
        <f aca="false">SUMIFS(Kits!$C$5:$C$163,Kits!$A$5:$A$163,$D101,Kits!$B$5:$B$163,$E101)</f>
        <v>1</v>
      </c>
      <c r="K101" s="6" t="n">
        <f aca="false">INDEX(Services!$F$5:$F$85,MATCH($A101,Services!$A$5:$A$85,0))</f>
        <v>1</v>
      </c>
      <c r="L101" s="6" t="n">
        <f aca="false">IF($H101="Auto-deduct",IF($G101="Countable",ROUNDUP($J101*IF($I101="Y",$K101,1),0),ROUND($J101*IF($I101="Y",$K101,1),1)),$J101)</f>
        <v>1</v>
      </c>
      <c r="M101" s="6" t="str">
        <f aca="false">INDEX(Items!$E$5:$E$62,MATCH($E101,Items!$A$5:$A$62,0))</f>
        <v>pc</v>
      </c>
      <c r="N101" s="6" t="n">
        <f aca="false">ROUND($L101/INDEX(Items!$F$5:$F$62,MATCH($E101,Items!$A$5:$A$62,0)),4)</f>
        <v>1</v>
      </c>
      <c r="O101" s="6"/>
    </row>
    <row r="102" customFormat="false" ht="15" hidden="false" customHeight="false" outlineLevel="0" collapsed="false">
      <c r="A102" s="6" t="n">
        <v>12</v>
      </c>
      <c r="B102" s="6" t="s">
        <v>281</v>
      </c>
      <c r="C102" s="6" t="s">
        <v>278</v>
      </c>
      <c r="D102" s="6" t="s">
        <v>159</v>
      </c>
      <c r="E102" s="6" t="s">
        <v>53</v>
      </c>
      <c r="F102" s="6" t="str">
        <f aca="false">INDEX(Items!$B$5:$B$62,MATCH($E102,Items!$A$5:$A$62,0))</f>
        <v>DISPOSABLES &amp; CLINIC CONSUMABLES</v>
      </c>
      <c r="G102" s="6" t="str">
        <f aca="false">INDEX(Items!$C$5:$C$62,MATCH($E102,Items!$A$5:$A$62,0))</f>
        <v>Countable</v>
      </c>
      <c r="H102" s="6" t="s">
        <v>161</v>
      </c>
      <c r="I102" s="6" t="s">
        <v>160</v>
      </c>
      <c r="J102" s="6" t="n">
        <f aca="false">SUMIFS(Kits!$C$5:$C$163,Kits!$A$5:$A$163,$D102,Kits!$B$5:$B$163,$E102)</f>
        <v>1</v>
      </c>
      <c r="K102" s="6" t="n">
        <f aca="false">INDEX(Services!$F$5:$F$85,MATCH($A102,Services!$A$5:$A$85,0))</f>
        <v>1</v>
      </c>
      <c r="L102" s="6" t="n">
        <f aca="false">IF($H102="Auto-deduct",IF($G102="Countable",ROUNDUP($J102*IF($I102="Y",$K102,1),0),ROUND($J102*IF($I102="Y",$K102,1),1)),$J102)</f>
        <v>1</v>
      </c>
      <c r="M102" s="6" t="str">
        <f aca="false">INDEX(Items!$E$5:$E$62,MATCH($E102,Items!$A$5:$A$62,0))</f>
        <v>pair</v>
      </c>
      <c r="N102" s="6" t="n">
        <f aca="false">ROUND($L102/INDEX(Items!$F$5:$F$62,MATCH($E102,Items!$A$5:$A$62,0)),4)</f>
        <v>1</v>
      </c>
      <c r="O102" s="6"/>
    </row>
    <row r="103" customFormat="false" ht="15" hidden="false" customHeight="false" outlineLevel="0" collapsed="false">
      <c r="A103" s="6" t="n">
        <v>12</v>
      </c>
      <c r="B103" s="6" t="s">
        <v>281</v>
      </c>
      <c r="C103" s="6" t="s">
        <v>278</v>
      </c>
      <c r="D103" s="6" t="s">
        <v>159</v>
      </c>
      <c r="E103" s="6" t="s">
        <v>88</v>
      </c>
      <c r="F103" s="6" t="str">
        <f aca="false">INDEX(Items!$B$5:$B$62,MATCH($E103,Items!$A$5:$A$62,0))</f>
        <v>DISPOSABLES &amp; CLINIC CONSUMABLES</v>
      </c>
      <c r="G103" s="6" t="str">
        <f aca="false">INDEX(Items!$C$5:$C$62,MATCH($E103,Items!$A$5:$A$62,0))</f>
        <v>Bulk</v>
      </c>
      <c r="H103" s="6" t="s">
        <v>161</v>
      </c>
      <c r="I103" s="6" t="s">
        <v>160</v>
      </c>
      <c r="J103" s="6" t="n">
        <f aca="false">SUMIFS(Kits!$C$5:$C$163,Kits!$A$5:$A$163,$D103,Kits!$B$5:$B$163,$E103)</f>
        <v>5</v>
      </c>
      <c r="K103" s="6" t="n">
        <f aca="false">INDEX(Services!$F$5:$F$85,MATCH($A103,Services!$A$5:$A$85,0))</f>
        <v>1</v>
      </c>
      <c r="L103" s="6" t="n">
        <f aca="false">IF($H103="Auto-deduct",IF($G103="Countable",ROUNDUP($J103*IF($I103="Y",$K103,1),0),ROUND($J103*IF($I103="Y",$K103,1),1)),$J103)</f>
        <v>5</v>
      </c>
      <c r="M103" s="6" t="str">
        <f aca="false">INDEX(Items!$E$5:$E$62,MATCH($E103,Items!$A$5:$A$62,0))</f>
        <v>mL</v>
      </c>
      <c r="N103" s="6" t="n">
        <f aca="false">ROUND($L103/INDEX(Items!$F$5:$F$62,MATCH($E103,Items!$A$5:$A$62,0)),4)</f>
        <v>0.01</v>
      </c>
      <c r="O103" s="6"/>
    </row>
    <row r="104" customFormat="false" ht="15" hidden="false" customHeight="false" outlineLevel="0" collapsed="false">
      <c r="A104" s="6" t="n">
        <v>12</v>
      </c>
      <c r="B104" s="6" t="s">
        <v>281</v>
      </c>
      <c r="C104" s="6" t="s">
        <v>278</v>
      </c>
      <c r="D104" s="6" t="s">
        <v>193</v>
      </c>
      <c r="E104" s="6" t="s">
        <v>147</v>
      </c>
      <c r="F104" s="6" t="str">
        <f aca="false">INDEX(Items!$B$5:$B$62,MATCH($E104,Items!$A$5:$A$62,0))</f>
        <v>TOOLS / EQUIPMENT / MISC</v>
      </c>
      <c r="G104" s="6" t="str">
        <f aca="false">INDEX(Items!$C$5:$C$62,MATCH($E104,Items!$A$5:$A$62,0))</f>
        <v>Countable</v>
      </c>
      <c r="H104" s="6" t="s">
        <v>161</v>
      </c>
      <c r="I104" s="6" t="s">
        <v>160</v>
      </c>
      <c r="J104" s="6" t="n">
        <f aca="false">SUMIFS(Kits!$C$5:$C$163,Kits!$A$5:$A$163,$D104,Kits!$B$5:$B$163,$E104)</f>
        <v>1</v>
      </c>
      <c r="K104" s="6" t="n">
        <f aca="false">INDEX(Services!$F$5:$F$85,MATCH($A104,Services!$A$5:$A$85,0))</f>
        <v>1</v>
      </c>
      <c r="L104" s="6" t="n">
        <f aca="false">IF($H104="Auto-deduct",IF($G104="Countable",ROUNDUP($J104*IF($I104="Y",$K104,1),0),ROUND($J104*IF($I104="Y",$K104,1),1)),$J104)</f>
        <v>1</v>
      </c>
      <c r="M104" s="6" t="str">
        <f aca="false">INDEX(Items!$E$5:$E$62,MATCH($E104,Items!$A$5:$A$62,0))</f>
        <v>pc</v>
      </c>
      <c r="N104" s="6" t="n">
        <f aca="false">ROUND($L104/INDEX(Items!$F$5:$F$62,MATCH($E104,Items!$A$5:$A$62,0)),4)</f>
        <v>1</v>
      </c>
      <c r="O104" s="6"/>
    </row>
    <row r="105" customFormat="false" ht="15" hidden="false" customHeight="false" outlineLevel="0" collapsed="false">
      <c r="A105" s="6" t="n">
        <v>12</v>
      </c>
      <c r="B105" s="6" t="s">
        <v>281</v>
      </c>
      <c r="C105" s="6" t="s">
        <v>278</v>
      </c>
      <c r="D105" s="6" t="s">
        <v>193</v>
      </c>
      <c r="E105" s="6" t="s">
        <v>114</v>
      </c>
      <c r="F105" s="6" t="str">
        <f aca="false">INDEX(Items!$B$5:$B$62,MATCH($E105,Items!$A$5:$A$62,0))</f>
        <v>FACIAL TREATMENT PRODUCTS (PROFESSIONAL USE)</v>
      </c>
      <c r="G105" s="6" t="str">
        <f aca="false">INDEX(Items!$C$5:$C$62,MATCH($E105,Items!$A$5:$A$62,0))</f>
        <v>Bulk</v>
      </c>
      <c r="H105" s="6" t="s">
        <v>161</v>
      </c>
      <c r="I105" s="6" t="s">
        <v>191</v>
      </c>
      <c r="J105" s="6" t="n">
        <f aca="false">SUMIFS(Kits!$C$5:$C$163,Kits!$A$5:$A$163,$D105,Kits!$B$5:$B$163,$E105)</f>
        <v>15</v>
      </c>
      <c r="K105" s="6" t="n">
        <f aca="false">INDEX(Services!$F$5:$F$85,MATCH($A105,Services!$A$5:$A$85,0))</f>
        <v>1</v>
      </c>
      <c r="L105" s="6" t="n">
        <f aca="false">IF($H105="Auto-deduct",IF($G105="Countable",ROUNDUP($J105*IF($I105="Y",$K105,1),0),ROUND($J105*IF($I105="Y",$K105,1),1)),$J105)</f>
        <v>15</v>
      </c>
      <c r="M105" s="6" t="str">
        <f aca="false">INDEX(Items!$E$5:$E$62,MATCH($E105,Items!$A$5:$A$62,0))</f>
        <v>mL</v>
      </c>
      <c r="N105" s="6" t="n">
        <f aca="false">ROUND($L105/INDEX(Items!$F$5:$F$62,MATCH($E105,Items!$A$5:$A$62,0)),4)</f>
        <v>0.015</v>
      </c>
      <c r="O105" s="6"/>
    </row>
    <row r="106" customFormat="false" ht="15" hidden="false" customHeight="false" outlineLevel="0" collapsed="false">
      <c r="A106" s="6" t="n">
        <v>12</v>
      </c>
      <c r="B106" s="6" t="s">
        <v>281</v>
      </c>
      <c r="C106" s="6" t="s">
        <v>278</v>
      </c>
      <c r="D106" s="6" t="s">
        <v>193</v>
      </c>
      <c r="E106" s="6" t="s">
        <v>86</v>
      </c>
      <c r="F106" s="6" t="str">
        <f aca="false">INDEX(Items!$B$5:$B$62,MATCH($E106,Items!$A$5:$A$62,0))</f>
        <v>DISPOSABLES &amp; CLINIC CONSUMABLES</v>
      </c>
      <c r="G106" s="6" t="str">
        <f aca="false">INDEX(Items!$C$5:$C$62,MATCH($E106,Items!$A$5:$A$62,0))</f>
        <v>Bulk</v>
      </c>
      <c r="H106" s="6" t="s">
        <v>161</v>
      </c>
      <c r="I106" s="6" t="s">
        <v>160</v>
      </c>
      <c r="J106" s="6" t="n">
        <f aca="false">SUMIFS(Kits!$C$5:$C$163,Kits!$A$5:$A$163,$D106,Kits!$B$5:$B$163,$E106)</f>
        <v>3</v>
      </c>
      <c r="K106" s="6" t="n">
        <f aca="false">INDEX(Services!$F$5:$F$85,MATCH($A106,Services!$A$5:$A$85,0))</f>
        <v>1</v>
      </c>
      <c r="L106" s="6" t="n">
        <f aca="false">IF($H106="Auto-deduct",IF($G106="Countable",ROUNDUP($J106*IF($I106="Y",$K106,1),0),ROUND($J106*IF($I106="Y",$K106,1),1)),$J106)</f>
        <v>3</v>
      </c>
      <c r="M106" s="6" t="str">
        <f aca="false">INDEX(Items!$E$5:$E$62,MATCH($E106,Items!$A$5:$A$62,0))</f>
        <v>pc</v>
      </c>
      <c r="N106" s="6" t="n">
        <f aca="false">ROUND($L106/INDEX(Items!$F$5:$F$62,MATCH($E106,Items!$A$5:$A$62,0)),4)</f>
        <v>0.0375</v>
      </c>
      <c r="O106" s="6"/>
    </row>
    <row r="107" customFormat="false" ht="15" hidden="false" customHeight="false" outlineLevel="0" collapsed="false">
      <c r="A107" s="6" t="n">
        <v>12</v>
      </c>
      <c r="B107" s="6" t="s">
        <v>281</v>
      </c>
      <c r="C107" s="6" t="s">
        <v>278</v>
      </c>
      <c r="D107" s="6" t="s">
        <v>193</v>
      </c>
      <c r="E107" s="6" t="s">
        <v>58</v>
      </c>
      <c r="F107" s="6" t="str">
        <f aca="false">INDEX(Items!$B$5:$B$62,MATCH($E107,Items!$A$5:$A$62,0))</f>
        <v>DISPOSABLES &amp; CLINIC CONSUMABLES</v>
      </c>
      <c r="G107" s="6" t="str">
        <f aca="false">INDEX(Items!$C$5:$C$62,MATCH($E107,Items!$A$5:$A$62,0))</f>
        <v>Bulk</v>
      </c>
      <c r="H107" s="6" t="s">
        <v>161</v>
      </c>
      <c r="I107" s="6" t="s">
        <v>160</v>
      </c>
      <c r="J107" s="6" t="n">
        <f aca="false">SUMIFS(Kits!$C$5:$C$163,Kits!$A$5:$A$163,$D107,Kits!$B$5:$B$163,$E107)</f>
        <v>4</v>
      </c>
      <c r="K107" s="6" t="n">
        <f aca="false">INDEX(Services!$F$5:$F$85,MATCH($A107,Services!$A$5:$A$85,0))</f>
        <v>1</v>
      </c>
      <c r="L107" s="6" t="n">
        <f aca="false">IF($H107="Auto-deduct",IF($G107="Countable",ROUNDUP($J107*IF($I107="Y",$K107,1),0),ROUND($J107*IF($I107="Y",$K107,1),1)),$J107)</f>
        <v>4</v>
      </c>
      <c r="M107" s="6" t="str">
        <f aca="false">INDEX(Items!$E$5:$E$62,MATCH($E107,Items!$A$5:$A$62,0))</f>
        <v>sheet</v>
      </c>
      <c r="N107" s="6" t="n">
        <f aca="false">ROUND($L107/INDEX(Items!$F$5:$F$62,MATCH($E107,Items!$A$5:$A$62,0)),4)</f>
        <v>0.02</v>
      </c>
      <c r="O107" s="6"/>
    </row>
    <row r="108" customFormat="false" ht="15" hidden="false" customHeight="false" outlineLevel="0" collapsed="false">
      <c r="A108" s="6" t="n">
        <v>12</v>
      </c>
      <c r="B108" s="6" t="s">
        <v>281</v>
      </c>
      <c r="C108" s="6" t="s">
        <v>278</v>
      </c>
      <c r="D108" s="6" t="s">
        <v>193</v>
      </c>
      <c r="E108" s="6" t="s">
        <v>135</v>
      </c>
      <c r="F108" s="6" t="str">
        <f aca="false">INDEX(Items!$B$5:$B$62,MATCH($E108,Items!$A$5:$A$62,0))</f>
        <v>SKINCARE PRODUCTS (RETAIL / AFTERCARE)</v>
      </c>
      <c r="G108" s="6" t="str">
        <f aca="false">INDEX(Items!$C$5:$C$62,MATCH($E108,Items!$A$5:$A$62,0))</f>
        <v>Bulk</v>
      </c>
      <c r="H108" s="6" t="s">
        <v>161</v>
      </c>
      <c r="I108" s="6" t="s">
        <v>191</v>
      </c>
      <c r="J108" s="6" t="n">
        <f aca="false">SUMIFS(Kits!$C$5:$C$163,Kits!$A$5:$A$163,$D108,Kits!$B$5:$B$163,$E108)</f>
        <v>3</v>
      </c>
      <c r="K108" s="6" t="n">
        <f aca="false">INDEX(Services!$F$5:$F$85,MATCH($A108,Services!$A$5:$A$85,0))</f>
        <v>1</v>
      </c>
      <c r="L108" s="6" t="n">
        <f aca="false">IF($H108="Auto-deduct",IF($G108="Countable",ROUNDUP($J108*IF($I108="Y",$K108,1),0),ROUND($J108*IF($I108="Y",$K108,1),1)),$J108)</f>
        <v>3</v>
      </c>
      <c r="M108" s="6" t="str">
        <f aca="false">INDEX(Items!$E$5:$E$62,MATCH($E108,Items!$A$5:$A$62,0))</f>
        <v>g</v>
      </c>
      <c r="N108" s="6" t="n">
        <f aca="false">ROUND($L108/INDEX(Items!$F$5:$F$62,MATCH($E108,Items!$A$5:$A$62,0)),4)</f>
        <v>0.06</v>
      </c>
      <c r="O108" s="6"/>
    </row>
    <row r="109" customFormat="false" ht="15" hidden="false" customHeight="false" outlineLevel="0" collapsed="false">
      <c r="A109" s="6" t="n">
        <v>12</v>
      </c>
      <c r="B109" s="6" t="s">
        <v>281</v>
      </c>
      <c r="C109" s="6" t="s">
        <v>278</v>
      </c>
      <c r="D109" s="6" t="s">
        <v>197</v>
      </c>
      <c r="E109" s="6" t="s">
        <v>150</v>
      </c>
      <c r="F109" s="6" t="str">
        <f aca="false">INDEX(Items!$B$5:$B$62,MATCH($E109,Items!$A$5:$A$62,0))</f>
        <v>TOOLS / EQUIPMENT / MISC</v>
      </c>
      <c r="G109" s="6" t="str">
        <f aca="false">INDEX(Items!$C$5:$C$62,MATCH($E109,Items!$A$5:$A$62,0))</f>
        <v>Bulk</v>
      </c>
      <c r="H109" s="6" t="s">
        <v>161</v>
      </c>
      <c r="I109" s="6" t="s">
        <v>191</v>
      </c>
      <c r="J109" s="6" t="n">
        <f aca="false">SUMIFS(Kits!$C$5:$C$163,Kits!$A$5:$A$163,$D109,Kits!$B$5:$B$163,$E109)</f>
        <v>5</v>
      </c>
      <c r="K109" s="6" t="n">
        <f aca="false">INDEX(Services!$F$5:$F$85,MATCH($A109,Services!$A$5:$A$85,0))</f>
        <v>1</v>
      </c>
      <c r="L109" s="6" t="n">
        <f aca="false">IF($H109="Auto-deduct",IF($G109="Countable",ROUNDUP($J109*IF($I109="Y",$K109,1),0),ROUND($J109*IF($I109="Y",$K109,1),1)),$J109)</f>
        <v>5</v>
      </c>
      <c r="M109" s="6" t="str">
        <f aca="false">INDEX(Items!$E$5:$E$62,MATCH($E109,Items!$A$5:$A$62,0))</f>
        <v>g</v>
      </c>
      <c r="N109" s="6" t="n">
        <f aca="false">ROUND($L109/INDEX(Items!$F$5:$F$62,MATCH($E109,Items!$A$5:$A$62,0)),4)</f>
        <v>0.1667</v>
      </c>
      <c r="O109" s="6"/>
    </row>
    <row r="110" customFormat="false" ht="15" hidden="false" customHeight="false" outlineLevel="0" collapsed="false">
      <c r="A110" s="6" t="n">
        <v>12</v>
      </c>
      <c r="B110" s="6" t="s">
        <v>281</v>
      </c>
      <c r="C110" s="6" t="s">
        <v>278</v>
      </c>
      <c r="D110" s="6" t="s">
        <v>197</v>
      </c>
      <c r="E110" s="6" t="s">
        <v>79</v>
      </c>
      <c r="F110" s="6" t="str">
        <f aca="false">INDEX(Items!$B$5:$B$62,MATCH($E110,Items!$A$5:$A$62,0))</f>
        <v>DISPOSABLES &amp; CLINIC CONSUMABLES</v>
      </c>
      <c r="G110" s="6" t="str">
        <f aca="false">INDEX(Items!$C$5:$C$62,MATCH($E110,Items!$A$5:$A$62,0))</f>
        <v>Bulk</v>
      </c>
      <c r="H110" s="6" t="s">
        <v>161</v>
      </c>
      <c r="I110" s="6" t="s">
        <v>191</v>
      </c>
      <c r="J110" s="6" t="n">
        <f aca="false">SUMIFS(Kits!$C$5:$C$163,Kits!$A$5:$A$163,$D110,Kits!$B$5:$B$163,$E110)</f>
        <v>30</v>
      </c>
      <c r="K110" s="6" t="n">
        <f aca="false">INDEX(Services!$F$5:$F$85,MATCH($A110,Services!$A$5:$A$85,0))</f>
        <v>1</v>
      </c>
      <c r="L110" s="6" t="n">
        <f aca="false">IF($H110="Auto-deduct",IF($G110="Countable",ROUNDUP($J110*IF($I110="Y",$K110,1),0),ROUND($J110*IF($I110="Y",$K110,1),1)),$J110)</f>
        <v>30</v>
      </c>
      <c r="M110" s="6" t="str">
        <f aca="false">INDEX(Items!$E$5:$E$62,MATCH($E110,Items!$A$5:$A$62,0))</f>
        <v>cm</v>
      </c>
      <c r="N110" s="6" t="n">
        <f aca="false">ROUND($L110/INDEX(Items!$F$5:$F$62,MATCH($E110,Items!$A$5:$A$62,0)),4)</f>
        <v>0.01</v>
      </c>
      <c r="O110" s="6"/>
    </row>
    <row r="111" customFormat="false" ht="15" hidden="false" customHeight="false" outlineLevel="0" collapsed="false">
      <c r="A111" s="6" t="n">
        <v>12</v>
      </c>
      <c r="B111" s="6" t="s">
        <v>281</v>
      </c>
      <c r="C111" s="6" t="s">
        <v>278</v>
      </c>
      <c r="D111" s="6" t="s">
        <v>201</v>
      </c>
      <c r="E111" s="6" t="s">
        <v>129</v>
      </c>
      <c r="F111" s="6" t="str">
        <f aca="false">INDEX(Items!$B$5:$B$62,MATCH($E111,Items!$A$5:$A$62,0))</f>
        <v>SKINCARE PRODUCTS (RETAIL / AFTERCARE)</v>
      </c>
      <c r="G111" s="6" t="str">
        <f aca="false">INDEX(Items!$C$5:$C$62,MATCH($E111,Items!$A$5:$A$62,0))</f>
        <v>Countable</v>
      </c>
      <c r="H111" s="6" t="s">
        <v>185</v>
      </c>
      <c r="I111" s="6" t="s">
        <v>160</v>
      </c>
      <c r="J111" s="6" t="n">
        <f aca="false">SUMIFS(Kits!$C$5:$C$163,Kits!$A$5:$A$163,$D111,Kits!$B$5:$B$163,$E111)</f>
        <v>1</v>
      </c>
      <c r="K111" s="6" t="n">
        <f aca="false">INDEX(Services!$F$5:$F$85,MATCH($A111,Services!$A$5:$A$85,0))</f>
        <v>1</v>
      </c>
      <c r="L111" s="6" t="n">
        <f aca="false">IF($H111="Auto-deduct",IF($G111="Countable",ROUNDUP($J111*IF($I111="Y",$K111,1),0),ROUND($J111*IF($I111="Y",$K111,1),1)),$J111)</f>
        <v>1</v>
      </c>
      <c r="M111" s="6" t="str">
        <f aca="false">INDEX(Items!$E$5:$E$62,MATCH($E111,Items!$A$5:$A$62,0))</f>
        <v>tube</v>
      </c>
      <c r="N111" s="6" t="n">
        <f aca="false">ROUND($L111/INDEX(Items!$F$5:$F$62,MATCH($E111,Items!$A$5:$A$62,0)),4)</f>
        <v>1</v>
      </c>
      <c r="O111" s="6"/>
    </row>
    <row r="112" customFormat="false" ht="15" hidden="false" customHeight="false" outlineLevel="0" collapsed="false">
      <c r="A112" s="6" t="n">
        <v>13</v>
      </c>
      <c r="B112" s="6" t="s">
        <v>283</v>
      </c>
      <c r="C112" s="6" t="s">
        <v>278</v>
      </c>
      <c r="D112" s="6" t="s">
        <v>159</v>
      </c>
      <c r="E112" s="6" t="s">
        <v>52</v>
      </c>
      <c r="F112" s="6" t="str">
        <f aca="false">INDEX(Items!$B$5:$B$62,MATCH($E112,Items!$A$5:$A$62,0))</f>
        <v>DISPOSABLES &amp; CLINIC CONSUMABLES</v>
      </c>
      <c r="G112" s="6" t="str">
        <f aca="false">INDEX(Items!$C$5:$C$62,MATCH($E112,Items!$A$5:$A$62,0))</f>
        <v>Countable</v>
      </c>
      <c r="H112" s="6" t="s">
        <v>161</v>
      </c>
      <c r="I112" s="6" t="s">
        <v>160</v>
      </c>
      <c r="J112" s="6" t="n">
        <f aca="false">SUMIFS(Kits!$C$5:$C$163,Kits!$A$5:$A$163,$D112,Kits!$B$5:$B$163,$E112)</f>
        <v>1</v>
      </c>
      <c r="K112" s="6" t="n">
        <f aca="false">INDEX(Services!$F$5:$F$85,MATCH($A112,Services!$A$5:$A$85,0))</f>
        <v>1</v>
      </c>
      <c r="L112" s="6" t="n">
        <f aca="false">IF($H112="Auto-deduct",IF($G112="Countable",ROUNDUP($J112*IF($I112="Y",$K112,1),0),ROUND($J112*IF($I112="Y",$K112,1),1)),$J112)</f>
        <v>1</v>
      </c>
      <c r="M112" s="6" t="str">
        <f aca="false">INDEX(Items!$E$5:$E$62,MATCH($E112,Items!$A$5:$A$62,0))</f>
        <v>pc</v>
      </c>
      <c r="N112" s="6" t="n">
        <f aca="false">ROUND($L112/INDEX(Items!$F$5:$F$62,MATCH($E112,Items!$A$5:$A$62,0)),4)</f>
        <v>1</v>
      </c>
      <c r="O112" s="6"/>
    </row>
    <row r="113" customFormat="false" ht="15" hidden="false" customHeight="false" outlineLevel="0" collapsed="false">
      <c r="A113" s="6" t="n">
        <v>13</v>
      </c>
      <c r="B113" s="6" t="s">
        <v>283</v>
      </c>
      <c r="C113" s="6" t="s">
        <v>278</v>
      </c>
      <c r="D113" s="6" t="s">
        <v>159</v>
      </c>
      <c r="E113" s="6" t="s">
        <v>53</v>
      </c>
      <c r="F113" s="6" t="str">
        <f aca="false">INDEX(Items!$B$5:$B$62,MATCH($E113,Items!$A$5:$A$62,0))</f>
        <v>DISPOSABLES &amp; CLINIC CONSUMABLES</v>
      </c>
      <c r="G113" s="6" t="str">
        <f aca="false">INDEX(Items!$C$5:$C$62,MATCH($E113,Items!$A$5:$A$62,0))</f>
        <v>Countable</v>
      </c>
      <c r="H113" s="6" t="s">
        <v>161</v>
      </c>
      <c r="I113" s="6" t="s">
        <v>160</v>
      </c>
      <c r="J113" s="6" t="n">
        <f aca="false">SUMIFS(Kits!$C$5:$C$163,Kits!$A$5:$A$163,$D113,Kits!$B$5:$B$163,$E113)</f>
        <v>1</v>
      </c>
      <c r="K113" s="6" t="n">
        <f aca="false">INDEX(Services!$F$5:$F$85,MATCH($A113,Services!$A$5:$A$85,0))</f>
        <v>1</v>
      </c>
      <c r="L113" s="6" t="n">
        <f aca="false">IF($H113="Auto-deduct",IF($G113="Countable",ROUNDUP($J113*IF($I113="Y",$K113,1),0),ROUND($J113*IF($I113="Y",$K113,1),1)),$J113)</f>
        <v>1</v>
      </c>
      <c r="M113" s="6" t="str">
        <f aca="false">INDEX(Items!$E$5:$E$62,MATCH($E113,Items!$A$5:$A$62,0))</f>
        <v>pair</v>
      </c>
      <c r="N113" s="6" t="n">
        <f aca="false">ROUND($L113/INDEX(Items!$F$5:$F$62,MATCH($E113,Items!$A$5:$A$62,0)),4)</f>
        <v>1</v>
      </c>
      <c r="O113" s="6"/>
    </row>
    <row r="114" customFormat="false" ht="15" hidden="false" customHeight="false" outlineLevel="0" collapsed="false">
      <c r="A114" s="6" t="n">
        <v>13</v>
      </c>
      <c r="B114" s="6" t="s">
        <v>283</v>
      </c>
      <c r="C114" s="6" t="s">
        <v>278</v>
      </c>
      <c r="D114" s="6" t="s">
        <v>159</v>
      </c>
      <c r="E114" s="6" t="s">
        <v>88</v>
      </c>
      <c r="F114" s="6" t="str">
        <f aca="false">INDEX(Items!$B$5:$B$62,MATCH($E114,Items!$A$5:$A$62,0))</f>
        <v>DISPOSABLES &amp; CLINIC CONSUMABLES</v>
      </c>
      <c r="G114" s="6" t="str">
        <f aca="false">INDEX(Items!$C$5:$C$62,MATCH($E114,Items!$A$5:$A$62,0))</f>
        <v>Bulk</v>
      </c>
      <c r="H114" s="6" t="s">
        <v>161</v>
      </c>
      <c r="I114" s="6" t="s">
        <v>160</v>
      </c>
      <c r="J114" s="6" t="n">
        <f aca="false">SUMIFS(Kits!$C$5:$C$163,Kits!$A$5:$A$163,$D114,Kits!$B$5:$B$163,$E114)</f>
        <v>5</v>
      </c>
      <c r="K114" s="6" t="n">
        <f aca="false">INDEX(Services!$F$5:$F$85,MATCH($A114,Services!$A$5:$A$85,0))</f>
        <v>1</v>
      </c>
      <c r="L114" s="6" t="n">
        <f aca="false">IF($H114="Auto-deduct",IF($G114="Countable",ROUNDUP($J114*IF($I114="Y",$K114,1),0),ROUND($J114*IF($I114="Y",$K114,1),1)),$J114)</f>
        <v>5</v>
      </c>
      <c r="M114" s="6" t="str">
        <f aca="false">INDEX(Items!$E$5:$E$62,MATCH($E114,Items!$A$5:$A$62,0))</f>
        <v>mL</v>
      </c>
      <c r="N114" s="6" t="n">
        <f aca="false">ROUND($L114/INDEX(Items!$F$5:$F$62,MATCH($E114,Items!$A$5:$A$62,0)),4)</f>
        <v>0.01</v>
      </c>
      <c r="O114" s="6"/>
    </row>
    <row r="115" customFormat="false" ht="15" hidden="false" customHeight="false" outlineLevel="0" collapsed="false">
      <c r="A115" s="6" t="n">
        <v>13</v>
      </c>
      <c r="B115" s="6" t="s">
        <v>283</v>
      </c>
      <c r="C115" s="6" t="s">
        <v>278</v>
      </c>
      <c r="D115" s="6" t="s">
        <v>193</v>
      </c>
      <c r="E115" s="6" t="s">
        <v>147</v>
      </c>
      <c r="F115" s="6" t="str">
        <f aca="false">INDEX(Items!$B$5:$B$62,MATCH($E115,Items!$A$5:$A$62,0))</f>
        <v>TOOLS / EQUIPMENT / MISC</v>
      </c>
      <c r="G115" s="6" t="str">
        <f aca="false">INDEX(Items!$C$5:$C$62,MATCH($E115,Items!$A$5:$A$62,0))</f>
        <v>Countable</v>
      </c>
      <c r="H115" s="6" t="s">
        <v>161</v>
      </c>
      <c r="I115" s="6" t="s">
        <v>160</v>
      </c>
      <c r="J115" s="6" t="n">
        <f aca="false">SUMIFS(Kits!$C$5:$C$163,Kits!$A$5:$A$163,$D115,Kits!$B$5:$B$163,$E115)</f>
        <v>1</v>
      </c>
      <c r="K115" s="6" t="n">
        <f aca="false">INDEX(Services!$F$5:$F$85,MATCH($A115,Services!$A$5:$A$85,0))</f>
        <v>1</v>
      </c>
      <c r="L115" s="6" t="n">
        <f aca="false">IF($H115="Auto-deduct",IF($G115="Countable",ROUNDUP($J115*IF($I115="Y",$K115,1),0),ROUND($J115*IF($I115="Y",$K115,1),1)),$J115)</f>
        <v>1</v>
      </c>
      <c r="M115" s="6" t="str">
        <f aca="false">INDEX(Items!$E$5:$E$62,MATCH($E115,Items!$A$5:$A$62,0))</f>
        <v>pc</v>
      </c>
      <c r="N115" s="6" t="n">
        <f aca="false">ROUND($L115/INDEX(Items!$F$5:$F$62,MATCH($E115,Items!$A$5:$A$62,0)),4)</f>
        <v>1</v>
      </c>
      <c r="O115" s="6"/>
    </row>
    <row r="116" customFormat="false" ht="15" hidden="false" customHeight="false" outlineLevel="0" collapsed="false">
      <c r="A116" s="6" t="n">
        <v>13</v>
      </c>
      <c r="B116" s="6" t="s">
        <v>283</v>
      </c>
      <c r="C116" s="6" t="s">
        <v>278</v>
      </c>
      <c r="D116" s="6" t="s">
        <v>193</v>
      </c>
      <c r="E116" s="6" t="s">
        <v>114</v>
      </c>
      <c r="F116" s="6" t="str">
        <f aca="false">INDEX(Items!$B$5:$B$62,MATCH($E116,Items!$A$5:$A$62,0))</f>
        <v>FACIAL TREATMENT PRODUCTS (PROFESSIONAL USE)</v>
      </c>
      <c r="G116" s="6" t="str">
        <f aca="false">INDEX(Items!$C$5:$C$62,MATCH($E116,Items!$A$5:$A$62,0))</f>
        <v>Bulk</v>
      </c>
      <c r="H116" s="6" t="s">
        <v>161</v>
      </c>
      <c r="I116" s="6" t="s">
        <v>191</v>
      </c>
      <c r="J116" s="6" t="n">
        <f aca="false">SUMIFS(Kits!$C$5:$C$163,Kits!$A$5:$A$163,$D116,Kits!$B$5:$B$163,$E116)</f>
        <v>15</v>
      </c>
      <c r="K116" s="6" t="n">
        <f aca="false">INDEX(Services!$F$5:$F$85,MATCH($A116,Services!$A$5:$A$85,0))</f>
        <v>1</v>
      </c>
      <c r="L116" s="6" t="n">
        <f aca="false">IF($H116="Auto-deduct",IF($G116="Countable",ROUNDUP($J116*IF($I116="Y",$K116,1),0),ROUND($J116*IF($I116="Y",$K116,1),1)),$J116)</f>
        <v>15</v>
      </c>
      <c r="M116" s="6" t="str">
        <f aca="false">INDEX(Items!$E$5:$E$62,MATCH($E116,Items!$A$5:$A$62,0))</f>
        <v>mL</v>
      </c>
      <c r="N116" s="6" t="n">
        <f aca="false">ROUND($L116/INDEX(Items!$F$5:$F$62,MATCH($E116,Items!$A$5:$A$62,0)),4)</f>
        <v>0.015</v>
      </c>
      <c r="O116" s="6"/>
    </row>
    <row r="117" customFormat="false" ht="15" hidden="false" customHeight="false" outlineLevel="0" collapsed="false">
      <c r="A117" s="6" t="n">
        <v>13</v>
      </c>
      <c r="B117" s="6" t="s">
        <v>283</v>
      </c>
      <c r="C117" s="6" t="s">
        <v>278</v>
      </c>
      <c r="D117" s="6" t="s">
        <v>193</v>
      </c>
      <c r="E117" s="6" t="s">
        <v>86</v>
      </c>
      <c r="F117" s="6" t="str">
        <f aca="false">INDEX(Items!$B$5:$B$62,MATCH($E117,Items!$A$5:$A$62,0))</f>
        <v>DISPOSABLES &amp; CLINIC CONSUMABLES</v>
      </c>
      <c r="G117" s="6" t="str">
        <f aca="false">INDEX(Items!$C$5:$C$62,MATCH($E117,Items!$A$5:$A$62,0))</f>
        <v>Bulk</v>
      </c>
      <c r="H117" s="6" t="s">
        <v>161</v>
      </c>
      <c r="I117" s="6" t="s">
        <v>160</v>
      </c>
      <c r="J117" s="6" t="n">
        <f aca="false">SUMIFS(Kits!$C$5:$C$163,Kits!$A$5:$A$163,$D117,Kits!$B$5:$B$163,$E117)</f>
        <v>3</v>
      </c>
      <c r="K117" s="6" t="n">
        <f aca="false">INDEX(Services!$F$5:$F$85,MATCH($A117,Services!$A$5:$A$85,0))</f>
        <v>1</v>
      </c>
      <c r="L117" s="6" t="n">
        <f aca="false">IF($H117="Auto-deduct",IF($G117="Countable",ROUNDUP($J117*IF($I117="Y",$K117,1),0),ROUND($J117*IF($I117="Y",$K117,1),1)),$J117)</f>
        <v>3</v>
      </c>
      <c r="M117" s="6" t="str">
        <f aca="false">INDEX(Items!$E$5:$E$62,MATCH($E117,Items!$A$5:$A$62,0))</f>
        <v>pc</v>
      </c>
      <c r="N117" s="6" t="n">
        <f aca="false">ROUND($L117/INDEX(Items!$F$5:$F$62,MATCH($E117,Items!$A$5:$A$62,0)),4)</f>
        <v>0.0375</v>
      </c>
      <c r="O117" s="6"/>
    </row>
    <row r="118" customFormat="false" ht="15" hidden="false" customHeight="false" outlineLevel="0" collapsed="false">
      <c r="A118" s="6" t="n">
        <v>13</v>
      </c>
      <c r="B118" s="6" t="s">
        <v>283</v>
      </c>
      <c r="C118" s="6" t="s">
        <v>278</v>
      </c>
      <c r="D118" s="6" t="s">
        <v>193</v>
      </c>
      <c r="E118" s="6" t="s">
        <v>58</v>
      </c>
      <c r="F118" s="6" t="str">
        <f aca="false">INDEX(Items!$B$5:$B$62,MATCH($E118,Items!$A$5:$A$62,0))</f>
        <v>DISPOSABLES &amp; CLINIC CONSUMABLES</v>
      </c>
      <c r="G118" s="6" t="str">
        <f aca="false">INDEX(Items!$C$5:$C$62,MATCH($E118,Items!$A$5:$A$62,0))</f>
        <v>Bulk</v>
      </c>
      <c r="H118" s="6" t="s">
        <v>161</v>
      </c>
      <c r="I118" s="6" t="s">
        <v>160</v>
      </c>
      <c r="J118" s="6" t="n">
        <f aca="false">SUMIFS(Kits!$C$5:$C$163,Kits!$A$5:$A$163,$D118,Kits!$B$5:$B$163,$E118)</f>
        <v>4</v>
      </c>
      <c r="K118" s="6" t="n">
        <f aca="false">INDEX(Services!$F$5:$F$85,MATCH($A118,Services!$A$5:$A$85,0))</f>
        <v>1</v>
      </c>
      <c r="L118" s="6" t="n">
        <f aca="false">IF($H118="Auto-deduct",IF($G118="Countable",ROUNDUP($J118*IF($I118="Y",$K118,1),0),ROUND($J118*IF($I118="Y",$K118,1),1)),$J118)</f>
        <v>4</v>
      </c>
      <c r="M118" s="6" t="str">
        <f aca="false">INDEX(Items!$E$5:$E$62,MATCH($E118,Items!$A$5:$A$62,0))</f>
        <v>sheet</v>
      </c>
      <c r="N118" s="6" t="n">
        <f aca="false">ROUND($L118/INDEX(Items!$F$5:$F$62,MATCH($E118,Items!$A$5:$A$62,0)),4)</f>
        <v>0.02</v>
      </c>
      <c r="O118" s="6"/>
    </row>
    <row r="119" customFormat="false" ht="15" hidden="false" customHeight="false" outlineLevel="0" collapsed="false">
      <c r="A119" s="6" t="n">
        <v>13</v>
      </c>
      <c r="B119" s="6" t="s">
        <v>283</v>
      </c>
      <c r="C119" s="6" t="s">
        <v>278</v>
      </c>
      <c r="D119" s="6" t="s">
        <v>193</v>
      </c>
      <c r="E119" s="6" t="s">
        <v>135</v>
      </c>
      <c r="F119" s="6" t="str">
        <f aca="false">INDEX(Items!$B$5:$B$62,MATCH($E119,Items!$A$5:$A$62,0))</f>
        <v>SKINCARE PRODUCTS (RETAIL / AFTERCARE)</v>
      </c>
      <c r="G119" s="6" t="str">
        <f aca="false">INDEX(Items!$C$5:$C$62,MATCH($E119,Items!$A$5:$A$62,0))</f>
        <v>Bulk</v>
      </c>
      <c r="H119" s="6" t="s">
        <v>161</v>
      </c>
      <c r="I119" s="6" t="s">
        <v>191</v>
      </c>
      <c r="J119" s="6" t="n">
        <f aca="false">SUMIFS(Kits!$C$5:$C$163,Kits!$A$5:$A$163,$D119,Kits!$B$5:$B$163,$E119)</f>
        <v>3</v>
      </c>
      <c r="K119" s="6" t="n">
        <f aca="false">INDEX(Services!$F$5:$F$85,MATCH($A119,Services!$A$5:$A$85,0))</f>
        <v>1</v>
      </c>
      <c r="L119" s="6" t="n">
        <f aca="false">IF($H119="Auto-deduct",IF($G119="Countable",ROUNDUP($J119*IF($I119="Y",$K119,1),0),ROUND($J119*IF($I119="Y",$K119,1),1)),$J119)</f>
        <v>3</v>
      </c>
      <c r="M119" s="6" t="str">
        <f aca="false">INDEX(Items!$E$5:$E$62,MATCH($E119,Items!$A$5:$A$62,0))</f>
        <v>g</v>
      </c>
      <c r="N119" s="6" t="n">
        <f aca="false">ROUND($L119/INDEX(Items!$F$5:$F$62,MATCH($E119,Items!$A$5:$A$62,0)),4)</f>
        <v>0.06</v>
      </c>
      <c r="O119" s="6"/>
    </row>
    <row r="120" customFormat="false" ht="15" hidden="false" customHeight="false" outlineLevel="0" collapsed="false">
      <c r="A120" s="6" t="n">
        <v>13</v>
      </c>
      <c r="B120" s="6" t="s">
        <v>283</v>
      </c>
      <c r="C120" s="6" t="s">
        <v>278</v>
      </c>
      <c r="D120" s="6" t="s">
        <v>195</v>
      </c>
      <c r="E120" s="6" t="s">
        <v>50</v>
      </c>
      <c r="F120" s="6" t="str">
        <f aca="false">INDEX(Items!$B$5:$B$62,MATCH($E120,Items!$A$5:$A$62,0))</f>
        <v>DISPOSABLES &amp; CLINIC CONSUMABLES</v>
      </c>
      <c r="G120" s="6" t="str">
        <f aca="false">INDEX(Items!$C$5:$C$62,MATCH($E120,Items!$A$5:$A$62,0))</f>
        <v>Countable</v>
      </c>
      <c r="H120" s="6" t="s">
        <v>161</v>
      </c>
      <c r="I120" s="6" t="s">
        <v>160</v>
      </c>
      <c r="J120" s="6" t="n">
        <f aca="false">SUMIFS(Kits!$C$5:$C$163,Kits!$A$5:$A$163,$D120,Kits!$B$5:$B$163,$E120)</f>
        <v>1</v>
      </c>
      <c r="K120" s="6" t="n">
        <f aca="false">INDEX(Services!$F$5:$F$85,MATCH($A120,Services!$A$5:$A$85,0))</f>
        <v>1</v>
      </c>
      <c r="L120" s="6" t="n">
        <f aca="false">IF($H120="Auto-deduct",IF($G120="Countable",ROUNDUP($J120*IF($I120="Y",$K120,1),0),ROUND($J120*IF($I120="Y",$K120,1),1)),$J120)</f>
        <v>1</v>
      </c>
      <c r="M120" s="6" t="str">
        <f aca="false">INDEX(Items!$E$5:$E$62,MATCH($E120,Items!$A$5:$A$62,0))</f>
        <v>pc</v>
      </c>
      <c r="N120" s="6" t="n">
        <f aca="false">ROUND($L120/INDEX(Items!$F$5:$F$62,MATCH($E120,Items!$A$5:$A$62,0)),4)</f>
        <v>1</v>
      </c>
      <c r="O120" s="6"/>
    </row>
    <row r="121" customFormat="false" ht="15" hidden="false" customHeight="false" outlineLevel="0" collapsed="false">
      <c r="A121" s="6" t="n">
        <v>13</v>
      </c>
      <c r="B121" s="6" t="s">
        <v>283</v>
      </c>
      <c r="C121" s="6" t="s">
        <v>278</v>
      </c>
      <c r="D121" s="6" t="s">
        <v>195</v>
      </c>
      <c r="E121" s="6" t="s">
        <v>110</v>
      </c>
      <c r="F121" s="6" t="str">
        <f aca="false">INDEX(Items!$B$5:$B$62,MATCH($E121,Items!$A$5:$A$62,0))</f>
        <v>FACIAL TREATMENT PRODUCTS (PROFESSIONAL USE)</v>
      </c>
      <c r="G121" s="6" t="str">
        <f aca="false">INDEX(Items!$C$5:$C$62,MATCH($E121,Items!$A$5:$A$62,0))</f>
        <v>Bulk</v>
      </c>
      <c r="H121" s="6" t="s">
        <v>161</v>
      </c>
      <c r="I121" s="6" t="s">
        <v>160</v>
      </c>
      <c r="J121" s="6" t="n">
        <f aca="false">SUMIFS(Kits!$C$5:$C$163,Kits!$A$5:$A$163,$D121,Kits!$B$5:$B$163,$E121)</f>
        <v>30</v>
      </c>
      <c r="K121" s="6" t="n">
        <f aca="false">INDEX(Services!$F$5:$F$85,MATCH($A121,Services!$A$5:$A$85,0))</f>
        <v>1</v>
      </c>
      <c r="L121" s="6" t="n">
        <f aca="false">IF($H121="Auto-deduct",IF($G121="Countable",ROUNDUP($J121*IF($I121="Y",$K121,1),0),ROUND($J121*IF($I121="Y",$K121,1),1)),$J121)</f>
        <v>30</v>
      </c>
      <c r="M121" s="6" t="str">
        <f aca="false">INDEX(Items!$E$5:$E$62,MATCH($E121,Items!$A$5:$A$62,0))</f>
        <v>g</v>
      </c>
      <c r="N121" s="6" t="n">
        <f aca="false">ROUND($L121/INDEX(Items!$F$5:$F$62,MATCH($E121,Items!$A$5:$A$62,0)),4)</f>
        <v>0.06</v>
      </c>
      <c r="O121" s="6"/>
    </row>
    <row r="122" customFormat="false" ht="15" hidden="false" customHeight="false" outlineLevel="0" collapsed="false">
      <c r="A122" s="6" t="n">
        <v>14</v>
      </c>
      <c r="B122" s="6" t="s">
        <v>274</v>
      </c>
      <c r="C122" s="6" t="s">
        <v>278</v>
      </c>
      <c r="D122" s="6" t="s">
        <v>159</v>
      </c>
      <c r="E122" s="6" t="s">
        <v>52</v>
      </c>
      <c r="F122" s="6" t="str">
        <f aca="false">INDEX(Items!$B$5:$B$62,MATCH($E122,Items!$A$5:$A$62,0))</f>
        <v>DISPOSABLES &amp; CLINIC CONSUMABLES</v>
      </c>
      <c r="G122" s="6" t="str">
        <f aca="false">INDEX(Items!$C$5:$C$62,MATCH($E122,Items!$A$5:$A$62,0))</f>
        <v>Countable</v>
      </c>
      <c r="H122" s="6" t="s">
        <v>161</v>
      </c>
      <c r="I122" s="6" t="s">
        <v>160</v>
      </c>
      <c r="J122" s="6" t="n">
        <f aca="false">SUMIFS(Kits!$C$5:$C$163,Kits!$A$5:$A$163,$D122,Kits!$B$5:$B$163,$E122)</f>
        <v>1</v>
      </c>
      <c r="K122" s="6" t="n">
        <f aca="false">INDEX(Services!$F$5:$F$85,MATCH($A122,Services!$A$5:$A$85,0))</f>
        <v>0.5</v>
      </c>
      <c r="L122" s="6" t="n">
        <f aca="false">IF($H122="Auto-deduct",IF($G122="Countable",ROUNDUP($J122*IF($I122="Y",$K122,1),0),ROUND($J122*IF($I122="Y",$K122,1),1)),$J122)</f>
        <v>1</v>
      </c>
      <c r="M122" s="6" t="str">
        <f aca="false">INDEX(Items!$E$5:$E$62,MATCH($E122,Items!$A$5:$A$62,0))</f>
        <v>pc</v>
      </c>
      <c r="N122" s="6" t="n">
        <f aca="false">ROUND($L122/INDEX(Items!$F$5:$F$62,MATCH($E122,Items!$A$5:$A$62,0)),4)</f>
        <v>1</v>
      </c>
      <c r="O122" s="6"/>
    </row>
    <row r="123" customFormat="false" ht="15" hidden="false" customHeight="false" outlineLevel="0" collapsed="false">
      <c r="A123" s="6" t="n">
        <v>14</v>
      </c>
      <c r="B123" s="6" t="s">
        <v>274</v>
      </c>
      <c r="C123" s="6" t="s">
        <v>278</v>
      </c>
      <c r="D123" s="6" t="s">
        <v>159</v>
      </c>
      <c r="E123" s="6" t="s">
        <v>53</v>
      </c>
      <c r="F123" s="6" t="str">
        <f aca="false">INDEX(Items!$B$5:$B$62,MATCH($E123,Items!$A$5:$A$62,0))</f>
        <v>DISPOSABLES &amp; CLINIC CONSUMABLES</v>
      </c>
      <c r="G123" s="6" t="str">
        <f aca="false">INDEX(Items!$C$5:$C$62,MATCH($E123,Items!$A$5:$A$62,0))</f>
        <v>Countable</v>
      </c>
      <c r="H123" s="6" t="s">
        <v>161</v>
      </c>
      <c r="I123" s="6" t="s">
        <v>160</v>
      </c>
      <c r="J123" s="6" t="n">
        <f aca="false">SUMIFS(Kits!$C$5:$C$163,Kits!$A$5:$A$163,$D123,Kits!$B$5:$B$163,$E123)</f>
        <v>1</v>
      </c>
      <c r="K123" s="6" t="n">
        <f aca="false">INDEX(Services!$F$5:$F$85,MATCH($A123,Services!$A$5:$A$85,0))</f>
        <v>0.5</v>
      </c>
      <c r="L123" s="6" t="n">
        <f aca="false">IF($H123="Auto-deduct",IF($G123="Countable",ROUNDUP($J123*IF($I123="Y",$K123,1),0),ROUND($J123*IF($I123="Y",$K123,1),1)),$J123)</f>
        <v>1</v>
      </c>
      <c r="M123" s="6" t="str">
        <f aca="false">INDEX(Items!$E$5:$E$62,MATCH($E123,Items!$A$5:$A$62,0))</f>
        <v>pair</v>
      </c>
      <c r="N123" s="6" t="n">
        <f aca="false">ROUND($L123/INDEX(Items!$F$5:$F$62,MATCH($E123,Items!$A$5:$A$62,0)),4)</f>
        <v>1</v>
      </c>
      <c r="O123" s="6"/>
    </row>
    <row r="124" customFormat="false" ht="15" hidden="false" customHeight="false" outlineLevel="0" collapsed="false">
      <c r="A124" s="6" t="n">
        <v>14</v>
      </c>
      <c r="B124" s="6" t="s">
        <v>274</v>
      </c>
      <c r="C124" s="6" t="s">
        <v>278</v>
      </c>
      <c r="D124" s="6" t="s">
        <v>159</v>
      </c>
      <c r="E124" s="6" t="s">
        <v>88</v>
      </c>
      <c r="F124" s="6" t="str">
        <f aca="false">INDEX(Items!$B$5:$B$62,MATCH($E124,Items!$A$5:$A$62,0))</f>
        <v>DISPOSABLES &amp; CLINIC CONSUMABLES</v>
      </c>
      <c r="G124" s="6" t="str">
        <f aca="false">INDEX(Items!$C$5:$C$62,MATCH($E124,Items!$A$5:$A$62,0))</f>
        <v>Bulk</v>
      </c>
      <c r="H124" s="6" t="s">
        <v>161</v>
      </c>
      <c r="I124" s="6" t="s">
        <v>160</v>
      </c>
      <c r="J124" s="6" t="n">
        <f aca="false">SUMIFS(Kits!$C$5:$C$163,Kits!$A$5:$A$163,$D124,Kits!$B$5:$B$163,$E124)</f>
        <v>5</v>
      </c>
      <c r="K124" s="6" t="n">
        <f aca="false">INDEX(Services!$F$5:$F$85,MATCH($A124,Services!$A$5:$A$85,0))</f>
        <v>0.5</v>
      </c>
      <c r="L124" s="6" t="n">
        <f aca="false">IF($H124="Auto-deduct",IF($G124="Countable",ROUNDUP($J124*IF($I124="Y",$K124,1),0),ROUND($J124*IF($I124="Y",$K124,1),1)),$J124)</f>
        <v>5</v>
      </c>
      <c r="M124" s="6" t="str">
        <f aca="false">INDEX(Items!$E$5:$E$62,MATCH($E124,Items!$A$5:$A$62,0))</f>
        <v>mL</v>
      </c>
      <c r="N124" s="6" t="n">
        <f aca="false">ROUND($L124/INDEX(Items!$F$5:$F$62,MATCH($E124,Items!$A$5:$A$62,0)),4)</f>
        <v>0.01</v>
      </c>
      <c r="O124" s="6"/>
    </row>
    <row r="125" customFormat="false" ht="15" hidden="false" customHeight="false" outlineLevel="0" collapsed="false">
      <c r="A125" s="6" t="n">
        <v>14</v>
      </c>
      <c r="B125" s="6" t="s">
        <v>274</v>
      </c>
      <c r="C125" s="6" t="s">
        <v>278</v>
      </c>
      <c r="D125" s="6" t="s">
        <v>193</v>
      </c>
      <c r="E125" s="6" t="s">
        <v>147</v>
      </c>
      <c r="F125" s="6" t="str">
        <f aca="false">INDEX(Items!$B$5:$B$62,MATCH($E125,Items!$A$5:$A$62,0))</f>
        <v>TOOLS / EQUIPMENT / MISC</v>
      </c>
      <c r="G125" s="6" t="str">
        <f aca="false">INDEX(Items!$C$5:$C$62,MATCH($E125,Items!$A$5:$A$62,0))</f>
        <v>Countable</v>
      </c>
      <c r="H125" s="6" t="s">
        <v>161</v>
      </c>
      <c r="I125" s="6" t="s">
        <v>160</v>
      </c>
      <c r="J125" s="6" t="n">
        <f aca="false">SUMIFS(Kits!$C$5:$C$163,Kits!$A$5:$A$163,$D125,Kits!$B$5:$B$163,$E125)</f>
        <v>1</v>
      </c>
      <c r="K125" s="6" t="n">
        <f aca="false">INDEX(Services!$F$5:$F$85,MATCH($A125,Services!$A$5:$A$85,0))</f>
        <v>0.5</v>
      </c>
      <c r="L125" s="6" t="n">
        <f aca="false">IF($H125="Auto-deduct",IF($G125="Countable",ROUNDUP($J125*IF($I125="Y",$K125,1),0),ROUND($J125*IF($I125="Y",$K125,1),1)),$J125)</f>
        <v>1</v>
      </c>
      <c r="M125" s="6" t="str">
        <f aca="false">INDEX(Items!$E$5:$E$62,MATCH($E125,Items!$A$5:$A$62,0))</f>
        <v>pc</v>
      </c>
      <c r="N125" s="6" t="n">
        <f aca="false">ROUND($L125/INDEX(Items!$F$5:$F$62,MATCH($E125,Items!$A$5:$A$62,0)),4)</f>
        <v>1</v>
      </c>
      <c r="O125" s="6"/>
    </row>
    <row r="126" customFormat="false" ht="15" hidden="false" customHeight="false" outlineLevel="0" collapsed="false">
      <c r="A126" s="6" t="n">
        <v>14</v>
      </c>
      <c r="B126" s="6" t="s">
        <v>274</v>
      </c>
      <c r="C126" s="6" t="s">
        <v>278</v>
      </c>
      <c r="D126" s="6" t="s">
        <v>193</v>
      </c>
      <c r="E126" s="6" t="s">
        <v>114</v>
      </c>
      <c r="F126" s="6" t="str">
        <f aca="false">INDEX(Items!$B$5:$B$62,MATCH($E126,Items!$A$5:$A$62,0))</f>
        <v>FACIAL TREATMENT PRODUCTS (PROFESSIONAL USE)</v>
      </c>
      <c r="G126" s="6" t="str">
        <f aca="false">INDEX(Items!$C$5:$C$62,MATCH($E126,Items!$A$5:$A$62,0))</f>
        <v>Bulk</v>
      </c>
      <c r="H126" s="6" t="s">
        <v>161</v>
      </c>
      <c r="I126" s="6" t="s">
        <v>191</v>
      </c>
      <c r="J126" s="6" t="n">
        <f aca="false">SUMIFS(Kits!$C$5:$C$163,Kits!$A$5:$A$163,$D126,Kits!$B$5:$B$163,$E126)</f>
        <v>15</v>
      </c>
      <c r="K126" s="6" t="n">
        <f aca="false">INDEX(Services!$F$5:$F$85,MATCH($A126,Services!$A$5:$A$85,0))</f>
        <v>0.5</v>
      </c>
      <c r="L126" s="6" t="n">
        <f aca="false">IF($H126="Auto-deduct",IF($G126="Countable",ROUNDUP($J126*IF($I126="Y",$K126,1),0),ROUND($J126*IF($I126="Y",$K126,1),1)),$J126)</f>
        <v>7.5</v>
      </c>
      <c r="M126" s="6" t="str">
        <f aca="false">INDEX(Items!$E$5:$E$62,MATCH($E126,Items!$A$5:$A$62,0))</f>
        <v>mL</v>
      </c>
      <c r="N126" s="6" t="n">
        <f aca="false">ROUND($L126/INDEX(Items!$F$5:$F$62,MATCH($E126,Items!$A$5:$A$62,0)),4)</f>
        <v>0.0075</v>
      </c>
      <c r="O126" s="6"/>
    </row>
    <row r="127" customFormat="false" ht="15" hidden="false" customHeight="false" outlineLevel="0" collapsed="false">
      <c r="A127" s="6" t="n">
        <v>14</v>
      </c>
      <c r="B127" s="6" t="s">
        <v>274</v>
      </c>
      <c r="C127" s="6" t="s">
        <v>278</v>
      </c>
      <c r="D127" s="6" t="s">
        <v>193</v>
      </c>
      <c r="E127" s="6" t="s">
        <v>86</v>
      </c>
      <c r="F127" s="6" t="str">
        <f aca="false">INDEX(Items!$B$5:$B$62,MATCH($E127,Items!$A$5:$A$62,0))</f>
        <v>DISPOSABLES &amp; CLINIC CONSUMABLES</v>
      </c>
      <c r="G127" s="6" t="str">
        <f aca="false">INDEX(Items!$C$5:$C$62,MATCH($E127,Items!$A$5:$A$62,0))</f>
        <v>Bulk</v>
      </c>
      <c r="H127" s="6" t="s">
        <v>161</v>
      </c>
      <c r="I127" s="6" t="s">
        <v>160</v>
      </c>
      <c r="J127" s="6" t="n">
        <f aca="false">SUMIFS(Kits!$C$5:$C$163,Kits!$A$5:$A$163,$D127,Kits!$B$5:$B$163,$E127)</f>
        <v>3</v>
      </c>
      <c r="K127" s="6" t="n">
        <f aca="false">INDEX(Services!$F$5:$F$85,MATCH($A127,Services!$A$5:$A$85,0))</f>
        <v>0.5</v>
      </c>
      <c r="L127" s="6" t="n">
        <f aca="false">IF($H127="Auto-deduct",IF($G127="Countable",ROUNDUP($J127*IF($I127="Y",$K127,1),0),ROUND($J127*IF($I127="Y",$K127,1),1)),$J127)</f>
        <v>3</v>
      </c>
      <c r="M127" s="6" t="str">
        <f aca="false">INDEX(Items!$E$5:$E$62,MATCH($E127,Items!$A$5:$A$62,0))</f>
        <v>pc</v>
      </c>
      <c r="N127" s="6" t="n">
        <f aca="false">ROUND($L127/INDEX(Items!$F$5:$F$62,MATCH($E127,Items!$A$5:$A$62,0)),4)</f>
        <v>0.0375</v>
      </c>
      <c r="O127" s="6"/>
    </row>
    <row r="128" customFormat="false" ht="15" hidden="false" customHeight="false" outlineLevel="0" collapsed="false">
      <c r="A128" s="6" t="n">
        <v>14</v>
      </c>
      <c r="B128" s="6" t="s">
        <v>274</v>
      </c>
      <c r="C128" s="6" t="s">
        <v>278</v>
      </c>
      <c r="D128" s="6" t="s">
        <v>193</v>
      </c>
      <c r="E128" s="6" t="s">
        <v>58</v>
      </c>
      <c r="F128" s="6" t="str">
        <f aca="false">INDEX(Items!$B$5:$B$62,MATCH($E128,Items!$A$5:$A$62,0))</f>
        <v>DISPOSABLES &amp; CLINIC CONSUMABLES</v>
      </c>
      <c r="G128" s="6" t="str">
        <f aca="false">INDEX(Items!$C$5:$C$62,MATCH($E128,Items!$A$5:$A$62,0))</f>
        <v>Bulk</v>
      </c>
      <c r="H128" s="6" t="s">
        <v>161</v>
      </c>
      <c r="I128" s="6" t="s">
        <v>160</v>
      </c>
      <c r="J128" s="6" t="n">
        <f aca="false">SUMIFS(Kits!$C$5:$C$163,Kits!$A$5:$A$163,$D128,Kits!$B$5:$B$163,$E128)</f>
        <v>4</v>
      </c>
      <c r="K128" s="6" t="n">
        <f aca="false">INDEX(Services!$F$5:$F$85,MATCH($A128,Services!$A$5:$A$85,0))</f>
        <v>0.5</v>
      </c>
      <c r="L128" s="6" t="n">
        <f aca="false">IF($H128="Auto-deduct",IF($G128="Countable",ROUNDUP($J128*IF($I128="Y",$K128,1),0),ROUND($J128*IF($I128="Y",$K128,1),1)),$J128)</f>
        <v>4</v>
      </c>
      <c r="M128" s="6" t="str">
        <f aca="false">INDEX(Items!$E$5:$E$62,MATCH($E128,Items!$A$5:$A$62,0))</f>
        <v>sheet</v>
      </c>
      <c r="N128" s="6" t="n">
        <f aca="false">ROUND($L128/INDEX(Items!$F$5:$F$62,MATCH($E128,Items!$A$5:$A$62,0)),4)</f>
        <v>0.02</v>
      </c>
      <c r="O128" s="6"/>
    </row>
    <row r="129" customFormat="false" ht="15" hidden="false" customHeight="false" outlineLevel="0" collapsed="false">
      <c r="A129" s="6" t="n">
        <v>14</v>
      </c>
      <c r="B129" s="6" t="s">
        <v>274</v>
      </c>
      <c r="C129" s="6" t="s">
        <v>278</v>
      </c>
      <c r="D129" s="6" t="s">
        <v>193</v>
      </c>
      <c r="E129" s="6" t="s">
        <v>135</v>
      </c>
      <c r="F129" s="6" t="str">
        <f aca="false">INDEX(Items!$B$5:$B$62,MATCH($E129,Items!$A$5:$A$62,0))</f>
        <v>SKINCARE PRODUCTS (RETAIL / AFTERCARE)</v>
      </c>
      <c r="G129" s="6" t="str">
        <f aca="false">INDEX(Items!$C$5:$C$62,MATCH($E129,Items!$A$5:$A$62,0))</f>
        <v>Bulk</v>
      </c>
      <c r="H129" s="6" t="s">
        <v>161</v>
      </c>
      <c r="I129" s="6" t="s">
        <v>191</v>
      </c>
      <c r="J129" s="6" t="n">
        <f aca="false">SUMIFS(Kits!$C$5:$C$163,Kits!$A$5:$A$163,$D129,Kits!$B$5:$B$163,$E129)</f>
        <v>3</v>
      </c>
      <c r="K129" s="6" t="n">
        <f aca="false">INDEX(Services!$F$5:$F$85,MATCH($A129,Services!$A$5:$A$85,0))</f>
        <v>0.5</v>
      </c>
      <c r="L129" s="6" t="n">
        <f aca="false">IF($H129="Auto-deduct",IF($G129="Countable",ROUNDUP($J129*IF($I129="Y",$K129,1),0),ROUND($J129*IF($I129="Y",$K129,1),1)),$J129)</f>
        <v>1.5</v>
      </c>
      <c r="M129" s="6" t="str">
        <f aca="false">INDEX(Items!$E$5:$E$62,MATCH($E129,Items!$A$5:$A$62,0))</f>
        <v>g</v>
      </c>
      <c r="N129" s="6" t="n">
        <f aca="false">ROUND($L129/INDEX(Items!$F$5:$F$62,MATCH($E129,Items!$A$5:$A$62,0)),4)</f>
        <v>0.03</v>
      </c>
      <c r="O129" s="6"/>
    </row>
    <row r="130" customFormat="false" ht="15" hidden="false" customHeight="false" outlineLevel="0" collapsed="false">
      <c r="A130" s="6" t="n">
        <v>14</v>
      </c>
      <c r="B130" s="6" t="s">
        <v>274</v>
      </c>
      <c r="C130" s="6" t="s">
        <v>278</v>
      </c>
      <c r="D130" s="6" t="s">
        <v>163</v>
      </c>
      <c r="E130" s="6" t="s">
        <v>50</v>
      </c>
      <c r="F130" s="6" t="str">
        <f aca="false">INDEX(Items!$B$5:$B$62,MATCH($E130,Items!$A$5:$A$62,0))</f>
        <v>DISPOSABLES &amp; CLINIC CONSUMABLES</v>
      </c>
      <c r="G130" s="6" t="str">
        <f aca="false">INDEX(Items!$C$5:$C$62,MATCH($E130,Items!$A$5:$A$62,0))</f>
        <v>Countable</v>
      </c>
      <c r="H130" s="6" t="s">
        <v>161</v>
      </c>
      <c r="I130" s="6" t="s">
        <v>160</v>
      </c>
      <c r="J130" s="6" t="n">
        <f aca="false">SUMIFS(Kits!$C$5:$C$163,Kits!$A$5:$A$163,$D130,Kits!$B$5:$B$163,$E130)</f>
        <v>1</v>
      </c>
      <c r="K130" s="6" t="n">
        <f aca="false">INDEX(Services!$F$5:$F$85,MATCH($A130,Services!$A$5:$A$85,0))</f>
        <v>0.5</v>
      </c>
      <c r="L130" s="6" t="n">
        <f aca="false">IF($H130="Auto-deduct",IF($G130="Countable",ROUNDUP($J130*IF($I130="Y",$K130,1),0),ROUND($J130*IF($I130="Y",$K130,1),1)),$J130)</f>
        <v>1</v>
      </c>
      <c r="M130" s="6" t="str">
        <f aca="false">INDEX(Items!$E$5:$E$62,MATCH($E130,Items!$A$5:$A$62,0))</f>
        <v>pc</v>
      </c>
      <c r="N130" s="6" t="n">
        <f aca="false">ROUND($L130/INDEX(Items!$F$5:$F$62,MATCH($E130,Items!$A$5:$A$62,0)),4)</f>
        <v>1</v>
      </c>
      <c r="O130" s="6"/>
    </row>
    <row r="131" customFormat="false" ht="15" hidden="false" customHeight="false" outlineLevel="0" collapsed="false">
      <c r="A131" s="6" t="n">
        <v>15</v>
      </c>
      <c r="B131" s="6" t="s">
        <v>286</v>
      </c>
      <c r="C131" s="6" t="s">
        <v>278</v>
      </c>
      <c r="D131" s="6" t="s">
        <v>159</v>
      </c>
      <c r="E131" s="6" t="s">
        <v>52</v>
      </c>
      <c r="F131" s="6" t="str">
        <f aca="false">INDEX(Items!$B$5:$B$62,MATCH($E131,Items!$A$5:$A$62,0))</f>
        <v>DISPOSABLES &amp; CLINIC CONSUMABLES</v>
      </c>
      <c r="G131" s="6" t="str">
        <f aca="false">INDEX(Items!$C$5:$C$62,MATCH($E131,Items!$A$5:$A$62,0))</f>
        <v>Countable</v>
      </c>
      <c r="H131" s="6" t="s">
        <v>161</v>
      </c>
      <c r="I131" s="6" t="s">
        <v>160</v>
      </c>
      <c r="J131" s="6" t="n">
        <f aca="false">SUMIFS(Kits!$C$5:$C$163,Kits!$A$5:$A$163,$D131,Kits!$B$5:$B$163,$E131)</f>
        <v>1</v>
      </c>
      <c r="K131" s="6" t="n">
        <f aca="false">INDEX(Services!$F$5:$F$85,MATCH($A131,Services!$A$5:$A$85,0))</f>
        <v>4</v>
      </c>
      <c r="L131" s="6" t="n">
        <f aca="false">IF($H131="Auto-deduct",IF($G131="Countable",ROUNDUP($J131*IF($I131="Y",$K131,1),0),ROUND($J131*IF($I131="Y",$K131,1),1)),$J131)</f>
        <v>1</v>
      </c>
      <c r="M131" s="6" t="str">
        <f aca="false">INDEX(Items!$E$5:$E$62,MATCH($E131,Items!$A$5:$A$62,0))</f>
        <v>pc</v>
      </c>
      <c r="N131" s="6" t="n">
        <f aca="false">ROUND($L131/INDEX(Items!$F$5:$F$62,MATCH($E131,Items!$A$5:$A$62,0)),4)</f>
        <v>1</v>
      </c>
      <c r="O131" s="6"/>
    </row>
    <row r="132" customFormat="false" ht="15" hidden="false" customHeight="false" outlineLevel="0" collapsed="false">
      <c r="A132" s="6" t="n">
        <v>15</v>
      </c>
      <c r="B132" s="6" t="s">
        <v>286</v>
      </c>
      <c r="C132" s="6" t="s">
        <v>278</v>
      </c>
      <c r="D132" s="6" t="s">
        <v>159</v>
      </c>
      <c r="E132" s="6" t="s">
        <v>53</v>
      </c>
      <c r="F132" s="6" t="str">
        <f aca="false">INDEX(Items!$B$5:$B$62,MATCH($E132,Items!$A$5:$A$62,0))</f>
        <v>DISPOSABLES &amp; CLINIC CONSUMABLES</v>
      </c>
      <c r="G132" s="6" t="str">
        <f aca="false">INDEX(Items!$C$5:$C$62,MATCH($E132,Items!$A$5:$A$62,0))</f>
        <v>Countable</v>
      </c>
      <c r="H132" s="6" t="s">
        <v>161</v>
      </c>
      <c r="I132" s="6" t="s">
        <v>160</v>
      </c>
      <c r="J132" s="6" t="n">
        <f aca="false">SUMIFS(Kits!$C$5:$C$163,Kits!$A$5:$A$163,$D132,Kits!$B$5:$B$163,$E132)</f>
        <v>1</v>
      </c>
      <c r="K132" s="6" t="n">
        <f aca="false">INDEX(Services!$F$5:$F$85,MATCH($A132,Services!$A$5:$A$85,0))</f>
        <v>4</v>
      </c>
      <c r="L132" s="6" t="n">
        <f aca="false">IF($H132="Auto-deduct",IF($G132="Countable",ROUNDUP($J132*IF($I132="Y",$K132,1),0),ROUND($J132*IF($I132="Y",$K132,1),1)),$J132)</f>
        <v>1</v>
      </c>
      <c r="M132" s="6" t="str">
        <f aca="false">INDEX(Items!$E$5:$E$62,MATCH($E132,Items!$A$5:$A$62,0))</f>
        <v>pair</v>
      </c>
      <c r="N132" s="6" t="n">
        <f aca="false">ROUND($L132/INDEX(Items!$F$5:$F$62,MATCH($E132,Items!$A$5:$A$62,0)),4)</f>
        <v>1</v>
      </c>
      <c r="O132" s="6"/>
    </row>
    <row r="133" customFormat="false" ht="15" hidden="false" customHeight="false" outlineLevel="0" collapsed="false">
      <c r="A133" s="6" t="n">
        <v>15</v>
      </c>
      <c r="B133" s="6" t="s">
        <v>286</v>
      </c>
      <c r="C133" s="6" t="s">
        <v>278</v>
      </c>
      <c r="D133" s="6" t="s">
        <v>159</v>
      </c>
      <c r="E133" s="6" t="s">
        <v>88</v>
      </c>
      <c r="F133" s="6" t="str">
        <f aca="false">INDEX(Items!$B$5:$B$62,MATCH($E133,Items!$A$5:$A$62,0))</f>
        <v>DISPOSABLES &amp; CLINIC CONSUMABLES</v>
      </c>
      <c r="G133" s="6" t="str">
        <f aca="false">INDEX(Items!$C$5:$C$62,MATCH($E133,Items!$A$5:$A$62,0))</f>
        <v>Bulk</v>
      </c>
      <c r="H133" s="6" t="s">
        <v>161</v>
      </c>
      <c r="I133" s="6" t="s">
        <v>160</v>
      </c>
      <c r="J133" s="6" t="n">
        <f aca="false">SUMIFS(Kits!$C$5:$C$163,Kits!$A$5:$A$163,$D133,Kits!$B$5:$B$163,$E133)</f>
        <v>5</v>
      </c>
      <c r="K133" s="6" t="n">
        <f aca="false">INDEX(Services!$F$5:$F$85,MATCH($A133,Services!$A$5:$A$85,0))</f>
        <v>4</v>
      </c>
      <c r="L133" s="6" t="n">
        <f aca="false">IF($H133="Auto-deduct",IF($G133="Countable",ROUNDUP($J133*IF($I133="Y",$K133,1),0),ROUND($J133*IF($I133="Y",$K133,1),1)),$J133)</f>
        <v>5</v>
      </c>
      <c r="M133" s="6" t="str">
        <f aca="false">INDEX(Items!$E$5:$E$62,MATCH($E133,Items!$A$5:$A$62,0))</f>
        <v>mL</v>
      </c>
      <c r="N133" s="6" t="n">
        <f aca="false">ROUND($L133/INDEX(Items!$F$5:$F$62,MATCH($E133,Items!$A$5:$A$62,0)),4)</f>
        <v>0.01</v>
      </c>
      <c r="O133" s="6"/>
    </row>
    <row r="134" customFormat="false" ht="15" hidden="false" customHeight="false" outlineLevel="0" collapsed="false">
      <c r="A134" s="6" t="n">
        <v>15</v>
      </c>
      <c r="B134" s="6" t="s">
        <v>286</v>
      </c>
      <c r="C134" s="6" t="s">
        <v>278</v>
      </c>
      <c r="D134" s="6" t="s">
        <v>193</v>
      </c>
      <c r="E134" s="6" t="s">
        <v>147</v>
      </c>
      <c r="F134" s="6" t="str">
        <f aca="false">INDEX(Items!$B$5:$B$62,MATCH($E134,Items!$A$5:$A$62,0))</f>
        <v>TOOLS / EQUIPMENT / MISC</v>
      </c>
      <c r="G134" s="6" t="str">
        <f aca="false">INDEX(Items!$C$5:$C$62,MATCH($E134,Items!$A$5:$A$62,0))</f>
        <v>Countable</v>
      </c>
      <c r="H134" s="6" t="s">
        <v>161</v>
      </c>
      <c r="I134" s="6" t="s">
        <v>160</v>
      </c>
      <c r="J134" s="6" t="n">
        <f aca="false">SUMIFS(Kits!$C$5:$C$163,Kits!$A$5:$A$163,$D134,Kits!$B$5:$B$163,$E134)</f>
        <v>1</v>
      </c>
      <c r="K134" s="6" t="n">
        <f aca="false">INDEX(Services!$F$5:$F$85,MATCH($A134,Services!$A$5:$A$85,0))</f>
        <v>4</v>
      </c>
      <c r="L134" s="6" t="n">
        <f aca="false">IF($H134="Auto-deduct",IF($G134="Countable",ROUNDUP($J134*IF($I134="Y",$K134,1),0),ROUND($J134*IF($I134="Y",$K134,1),1)),$J134)</f>
        <v>1</v>
      </c>
      <c r="M134" s="6" t="str">
        <f aca="false">INDEX(Items!$E$5:$E$62,MATCH($E134,Items!$A$5:$A$62,0))</f>
        <v>pc</v>
      </c>
      <c r="N134" s="6" t="n">
        <f aca="false">ROUND($L134/INDEX(Items!$F$5:$F$62,MATCH($E134,Items!$A$5:$A$62,0)),4)</f>
        <v>1</v>
      </c>
      <c r="O134" s="6"/>
    </row>
    <row r="135" customFormat="false" ht="15" hidden="false" customHeight="false" outlineLevel="0" collapsed="false">
      <c r="A135" s="6" t="n">
        <v>15</v>
      </c>
      <c r="B135" s="6" t="s">
        <v>286</v>
      </c>
      <c r="C135" s="6" t="s">
        <v>278</v>
      </c>
      <c r="D135" s="6" t="s">
        <v>193</v>
      </c>
      <c r="E135" s="6" t="s">
        <v>114</v>
      </c>
      <c r="F135" s="6" t="str">
        <f aca="false">INDEX(Items!$B$5:$B$62,MATCH($E135,Items!$A$5:$A$62,0))</f>
        <v>FACIAL TREATMENT PRODUCTS (PROFESSIONAL USE)</v>
      </c>
      <c r="G135" s="6" t="str">
        <f aca="false">INDEX(Items!$C$5:$C$62,MATCH($E135,Items!$A$5:$A$62,0))</f>
        <v>Bulk</v>
      </c>
      <c r="H135" s="6" t="s">
        <v>161</v>
      </c>
      <c r="I135" s="6" t="s">
        <v>191</v>
      </c>
      <c r="J135" s="6" t="n">
        <f aca="false">SUMIFS(Kits!$C$5:$C$163,Kits!$A$5:$A$163,$D135,Kits!$B$5:$B$163,$E135)</f>
        <v>15</v>
      </c>
      <c r="K135" s="6" t="n">
        <f aca="false">INDEX(Services!$F$5:$F$85,MATCH($A135,Services!$A$5:$A$85,0))</f>
        <v>4</v>
      </c>
      <c r="L135" s="6" t="n">
        <f aca="false">IF($H135="Auto-deduct",IF($G135="Countable",ROUNDUP($J135*IF($I135="Y",$K135,1),0),ROUND($J135*IF($I135="Y",$K135,1),1)),$J135)</f>
        <v>60</v>
      </c>
      <c r="M135" s="6" t="str">
        <f aca="false">INDEX(Items!$E$5:$E$62,MATCH($E135,Items!$A$5:$A$62,0))</f>
        <v>mL</v>
      </c>
      <c r="N135" s="6" t="n">
        <f aca="false">ROUND($L135/INDEX(Items!$F$5:$F$62,MATCH($E135,Items!$A$5:$A$62,0)),4)</f>
        <v>0.06</v>
      </c>
      <c r="O135" s="6"/>
    </row>
    <row r="136" customFormat="false" ht="15" hidden="false" customHeight="false" outlineLevel="0" collapsed="false">
      <c r="A136" s="6" t="n">
        <v>15</v>
      </c>
      <c r="B136" s="6" t="s">
        <v>286</v>
      </c>
      <c r="C136" s="6" t="s">
        <v>278</v>
      </c>
      <c r="D136" s="6" t="s">
        <v>193</v>
      </c>
      <c r="E136" s="6" t="s">
        <v>86</v>
      </c>
      <c r="F136" s="6" t="str">
        <f aca="false">INDEX(Items!$B$5:$B$62,MATCH($E136,Items!$A$5:$A$62,0))</f>
        <v>DISPOSABLES &amp; CLINIC CONSUMABLES</v>
      </c>
      <c r="G136" s="6" t="str">
        <f aca="false">INDEX(Items!$C$5:$C$62,MATCH($E136,Items!$A$5:$A$62,0))</f>
        <v>Bulk</v>
      </c>
      <c r="H136" s="6" t="s">
        <v>161</v>
      </c>
      <c r="I136" s="6" t="s">
        <v>160</v>
      </c>
      <c r="J136" s="6" t="n">
        <f aca="false">SUMIFS(Kits!$C$5:$C$163,Kits!$A$5:$A$163,$D136,Kits!$B$5:$B$163,$E136)</f>
        <v>3</v>
      </c>
      <c r="K136" s="6" t="n">
        <f aca="false">INDEX(Services!$F$5:$F$85,MATCH($A136,Services!$A$5:$A$85,0))</f>
        <v>4</v>
      </c>
      <c r="L136" s="6" t="n">
        <f aca="false">IF($H136="Auto-deduct",IF($G136="Countable",ROUNDUP($J136*IF($I136="Y",$K136,1),0),ROUND($J136*IF($I136="Y",$K136,1),1)),$J136)</f>
        <v>3</v>
      </c>
      <c r="M136" s="6" t="str">
        <f aca="false">INDEX(Items!$E$5:$E$62,MATCH($E136,Items!$A$5:$A$62,0))</f>
        <v>pc</v>
      </c>
      <c r="N136" s="6" t="n">
        <f aca="false">ROUND($L136/INDEX(Items!$F$5:$F$62,MATCH($E136,Items!$A$5:$A$62,0)),4)</f>
        <v>0.0375</v>
      </c>
      <c r="O136" s="6"/>
    </row>
    <row r="137" customFormat="false" ht="15" hidden="false" customHeight="false" outlineLevel="0" collapsed="false">
      <c r="A137" s="6" t="n">
        <v>15</v>
      </c>
      <c r="B137" s="6" t="s">
        <v>286</v>
      </c>
      <c r="C137" s="6" t="s">
        <v>278</v>
      </c>
      <c r="D137" s="6" t="s">
        <v>193</v>
      </c>
      <c r="E137" s="6" t="s">
        <v>58</v>
      </c>
      <c r="F137" s="6" t="str">
        <f aca="false">INDEX(Items!$B$5:$B$62,MATCH($E137,Items!$A$5:$A$62,0))</f>
        <v>DISPOSABLES &amp; CLINIC CONSUMABLES</v>
      </c>
      <c r="G137" s="6" t="str">
        <f aca="false">INDEX(Items!$C$5:$C$62,MATCH($E137,Items!$A$5:$A$62,0))</f>
        <v>Bulk</v>
      </c>
      <c r="H137" s="6" t="s">
        <v>161</v>
      </c>
      <c r="I137" s="6" t="s">
        <v>160</v>
      </c>
      <c r="J137" s="6" t="n">
        <f aca="false">SUMIFS(Kits!$C$5:$C$163,Kits!$A$5:$A$163,$D137,Kits!$B$5:$B$163,$E137)</f>
        <v>4</v>
      </c>
      <c r="K137" s="6" t="n">
        <f aca="false">INDEX(Services!$F$5:$F$85,MATCH($A137,Services!$A$5:$A$85,0))</f>
        <v>4</v>
      </c>
      <c r="L137" s="6" t="n">
        <f aca="false">IF($H137="Auto-deduct",IF($G137="Countable",ROUNDUP($J137*IF($I137="Y",$K137,1),0),ROUND($J137*IF($I137="Y",$K137,1),1)),$J137)</f>
        <v>4</v>
      </c>
      <c r="M137" s="6" t="str">
        <f aca="false">INDEX(Items!$E$5:$E$62,MATCH($E137,Items!$A$5:$A$62,0))</f>
        <v>sheet</v>
      </c>
      <c r="N137" s="6" t="n">
        <f aca="false">ROUND($L137/INDEX(Items!$F$5:$F$62,MATCH($E137,Items!$A$5:$A$62,0)),4)</f>
        <v>0.02</v>
      </c>
      <c r="O137" s="6"/>
    </row>
    <row r="138" customFormat="false" ht="15" hidden="false" customHeight="false" outlineLevel="0" collapsed="false">
      <c r="A138" s="6" t="n">
        <v>15</v>
      </c>
      <c r="B138" s="6" t="s">
        <v>286</v>
      </c>
      <c r="C138" s="6" t="s">
        <v>278</v>
      </c>
      <c r="D138" s="6" t="s">
        <v>193</v>
      </c>
      <c r="E138" s="6" t="s">
        <v>135</v>
      </c>
      <c r="F138" s="6" t="str">
        <f aca="false">INDEX(Items!$B$5:$B$62,MATCH($E138,Items!$A$5:$A$62,0))</f>
        <v>SKINCARE PRODUCTS (RETAIL / AFTERCARE)</v>
      </c>
      <c r="G138" s="6" t="str">
        <f aca="false">INDEX(Items!$C$5:$C$62,MATCH($E138,Items!$A$5:$A$62,0))</f>
        <v>Bulk</v>
      </c>
      <c r="H138" s="6" t="s">
        <v>161</v>
      </c>
      <c r="I138" s="6" t="s">
        <v>191</v>
      </c>
      <c r="J138" s="6" t="n">
        <f aca="false">SUMIFS(Kits!$C$5:$C$163,Kits!$A$5:$A$163,$D138,Kits!$B$5:$B$163,$E138)</f>
        <v>3</v>
      </c>
      <c r="K138" s="6" t="n">
        <f aca="false">INDEX(Services!$F$5:$F$85,MATCH($A138,Services!$A$5:$A$85,0))</f>
        <v>4</v>
      </c>
      <c r="L138" s="6" t="n">
        <f aca="false">IF($H138="Auto-deduct",IF($G138="Countable",ROUNDUP($J138*IF($I138="Y",$K138,1),0),ROUND($J138*IF($I138="Y",$K138,1),1)),$J138)</f>
        <v>12</v>
      </c>
      <c r="M138" s="6" t="str">
        <f aca="false">INDEX(Items!$E$5:$E$62,MATCH($E138,Items!$A$5:$A$62,0))</f>
        <v>g</v>
      </c>
      <c r="N138" s="6" t="n">
        <f aca="false">ROUND($L138/INDEX(Items!$F$5:$F$62,MATCH($E138,Items!$A$5:$A$62,0)),4)</f>
        <v>0.24</v>
      </c>
      <c r="O138" s="6"/>
    </row>
    <row r="139" customFormat="false" ht="15" hidden="false" customHeight="false" outlineLevel="0" collapsed="false">
      <c r="A139" s="6" t="n">
        <v>16</v>
      </c>
      <c r="B139" s="6" t="s">
        <v>289</v>
      </c>
      <c r="C139" s="6" t="s">
        <v>278</v>
      </c>
      <c r="D139" s="6" t="s">
        <v>159</v>
      </c>
      <c r="E139" s="6" t="s">
        <v>52</v>
      </c>
      <c r="F139" s="6" t="str">
        <f aca="false">INDEX(Items!$B$5:$B$62,MATCH($E139,Items!$A$5:$A$62,0))</f>
        <v>DISPOSABLES &amp; CLINIC CONSUMABLES</v>
      </c>
      <c r="G139" s="6" t="str">
        <f aca="false">INDEX(Items!$C$5:$C$62,MATCH($E139,Items!$A$5:$A$62,0))</f>
        <v>Countable</v>
      </c>
      <c r="H139" s="6" t="s">
        <v>161</v>
      </c>
      <c r="I139" s="6" t="s">
        <v>160</v>
      </c>
      <c r="J139" s="6" t="n">
        <f aca="false">SUMIFS(Kits!$C$5:$C$163,Kits!$A$5:$A$163,$D139,Kits!$B$5:$B$163,$E139)</f>
        <v>1</v>
      </c>
      <c r="K139" s="6" t="n">
        <f aca="false">INDEX(Services!$F$5:$F$85,MATCH($A139,Services!$A$5:$A$85,0))</f>
        <v>1.5</v>
      </c>
      <c r="L139" s="6" t="n">
        <f aca="false">IF($H139="Auto-deduct",IF($G139="Countable",ROUNDUP($J139*IF($I139="Y",$K139,1),0),ROUND($J139*IF($I139="Y",$K139,1),1)),$J139)</f>
        <v>1</v>
      </c>
      <c r="M139" s="6" t="str">
        <f aca="false">INDEX(Items!$E$5:$E$62,MATCH($E139,Items!$A$5:$A$62,0))</f>
        <v>pc</v>
      </c>
      <c r="N139" s="6" t="n">
        <f aca="false">ROUND($L139/INDEX(Items!$F$5:$F$62,MATCH($E139,Items!$A$5:$A$62,0)),4)</f>
        <v>1</v>
      </c>
      <c r="O139" s="6"/>
    </row>
    <row r="140" customFormat="false" ht="15" hidden="false" customHeight="false" outlineLevel="0" collapsed="false">
      <c r="A140" s="6" t="n">
        <v>16</v>
      </c>
      <c r="B140" s="6" t="s">
        <v>289</v>
      </c>
      <c r="C140" s="6" t="s">
        <v>278</v>
      </c>
      <c r="D140" s="6" t="s">
        <v>159</v>
      </c>
      <c r="E140" s="6" t="s">
        <v>53</v>
      </c>
      <c r="F140" s="6" t="str">
        <f aca="false">INDEX(Items!$B$5:$B$62,MATCH($E140,Items!$A$5:$A$62,0))</f>
        <v>DISPOSABLES &amp; CLINIC CONSUMABLES</v>
      </c>
      <c r="G140" s="6" t="str">
        <f aca="false">INDEX(Items!$C$5:$C$62,MATCH($E140,Items!$A$5:$A$62,0))</f>
        <v>Countable</v>
      </c>
      <c r="H140" s="6" t="s">
        <v>161</v>
      </c>
      <c r="I140" s="6" t="s">
        <v>160</v>
      </c>
      <c r="J140" s="6" t="n">
        <f aca="false">SUMIFS(Kits!$C$5:$C$163,Kits!$A$5:$A$163,$D140,Kits!$B$5:$B$163,$E140)</f>
        <v>1</v>
      </c>
      <c r="K140" s="6" t="n">
        <f aca="false">INDEX(Services!$F$5:$F$85,MATCH($A140,Services!$A$5:$A$85,0))</f>
        <v>1.5</v>
      </c>
      <c r="L140" s="6" t="n">
        <f aca="false">IF($H140="Auto-deduct",IF($G140="Countable",ROUNDUP($J140*IF($I140="Y",$K140,1),0),ROUND($J140*IF($I140="Y",$K140,1),1)),$J140)</f>
        <v>1</v>
      </c>
      <c r="M140" s="6" t="str">
        <f aca="false">INDEX(Items!$E$5:$E$62,MATCH($E140,Items!$A$5:$A$62,0))</f>
        <v>pair</v>
      </c>
      <c r="N140" s="6" t="n">
        <f aca="false">ROUND($L140/INDEX(Items!$F$5:$F$62,MATCH($E140,Items!$A$5:$A$62,0)),4)</f>
        <v>1</v>
      </c>
      <c r="O140" s="6"/>
    </row>
    <row r="141" customFormat="false" ht="15" hidden="false" customHeight="false" outlineLevel="0" collapsed="false">
      <c r="A141" s="6" t="n">
        <v>16</v>
      </c>
      <c r="B141" s="6" t="s">
        <v>289</v>
      </c>
      <c r="C141" s="6" t="s">
        <v>278</v>
      </c>
      <c r="D141" s="6" t="s">
        <v>159</v>
      </c>
      <c r="E141" s="6" t="s">
        <v>88</v>
      </c>
      <c r="F141" s="6" t="str">
        <f aca="false">INDEX(Items!$B$5:$B$62,MATCH($E141,Items!$A$5:$A$62,0))</f>
        <v>DISPOSABLES &amp; CLINIC CONSUMABLES</v>
      </c>
      <c r="G141" s="6" t="str">
        <f aca="false">INDEX(Items!$C$5:$C$62,MATCH($E141,Items!$A$5:$A$62,0))</f>
        <v>Bulk</v>
      </c>
      <c r="H141" s="6" t="s">
        <v>161</v>
      </c>
      <c r="I141" s="6" t="s">
        <v>160</v>
      </c>
      <c r="J141" s="6" t="n">
        <f aca="false">SUMIFS(Kits!$C$5:$C$163,Kits!$A$5:$A$163,$D141,Kits!$B$5:$B$163,$E141)</f>
        <v>5</v>
      </c>
      <c r="K141" s="6" t="n">
        <f aca="false">INDEX(Services!$F$5:$F$85,MATCH($A141,Services!$A$5:$A$85,0))</f>
        <v>1.5</v>
      </c>
      <c r="L141" s="6" t="n">
        <f aca="false">IF($H141="Auto-deduct",IF($G141="Countable",ROUNDUP($J141*IF($I141="Y",$K141,1),0),ROUND($J141*IF($I141="Y",$K141,1),1)),$J141)</f>
        <v>5</v>
      </c>
      <c r="M141" s="6" t="str">
        <f aca="false">INDEX(Items!$E$5:$E$62,MATCH($E141,Items!$A$5:$A$62,0))</f>
        <v>mL</v>
      </c>
      <c r="N141" s="6" t="n">
        <f aca="false">ROUND($L141/INDEX(Items!$F$5:$F$62,MATCH($E141,Items!$A$5:$A$62,0)),4)</f>
        <v>0.01</v>
      </c>
      <c r="O141" s="6"/>
    </row>
    <row r="142" customFormat="false" ht="15" hidden="false" customHeight="false" outlineLevel="0" collapsed="false">
      <c r="A142" s="6" t="n">
        <v>16</v>
      </c>
      <c r="B142" s="6" t="s">
        <v>289</v>
      </c>
      <c r="C142" s="6" t="s">
        <v>278</v>
      </c>
      <c r="D142" s="6" t="s">
        <v>193</v>
      </c>
      <c r="E142" s="6" t="s">
        <v>147</v>
      </c>
      <c r="F142" s="6" t="str">
        <f aca="false">INDEX(Items!$B$5:$B$62,MATCH($E142,Items!$A$5:$A$62,0))</f>
        <v>TOOLS / EQUIPMENT / MISC</v>
      </c>
      <c r="G142" s="6" t="str">
        <f aca="false">INDEX(Items!$C$5:$C$62,MATCH($E142,Items!$A$5:$A$62,0))</f>
        <v>Countable</v>
      </c>
      <c r="H142" s="6" t="s">
        <v>161</v>
      </c>
      <c r="I142" s="6" t="s">
        <v>160</v>
      </c>
      <c r="J142" s="6" t="n">
        <f aca="false">SUMIFS(Kits!$C$5:$C$163,Kits!$A$5:$A$163,$D142,Kits!$B$5:$B$163,$E142)</f>
        <v>1</v>
      </c>
      <c r="K142" s="6" t="n">
        <f aca="false">INDEX(Services!$F$5:$F$85,MATCH($A142,Services!$A$5:$A$85,0))</f>
        <v>1.5</v>
      </c>
      <c r="L142" s="6" t="n">
        <f aca="false">IF($H142="Auto-deduct",IF($G142="Countable",ROUNDUP($J142*IF($I142="Y",$K142,1),0),ROUND($J142*IF($I142="Y",$K142,1),1)),$J142)</f>
        <v>1</v>
      </c>
      <c r="M142" s="6" t="str">
        <f aca="false">INDEX(Items!$E$5:$E$62,MATCH($E142,Items!$A$5:$A$62,0))</f>
        <v>pc</v>
      </c>
      <c r="N142" s="6" t="n">
        <f aca="false">ROUND($L142/INDEX(Items!$F$5:$F$62,MATCH($E142,Items!$A$5:$A$62,0)),4)</f>
        <v>1</v>
      </c>
      <c r="O142" s="6"/>
    </row>
    <row r="143" customFormat="false" ht="15" hidden="false" customHeight="false" outlineLevel="0" collapsed="false">
      <c r="A143" s="6" t="n">
        <v>16</v>
      </c>
      <c r="B143" s="6" t="s">
        <v>289</v>
      </c>
      <c r="C143" s="6" t="s">
        <v>278</v>
      </c>
      <c r="D143" s="6" t="s">
        <v>193</v>
      </c>
      <c r="E143" s="6" t="s">
        <v>114</v>
      </c>
      <c r="F143" s="6" t="str">
        <f aca="false">INDEX(Items!$B$5:$B$62,MATCH($E143,Items!$A$5:$A$62,0))</f>
        <v>FACIAL TREATMENT PRODUCTS (PROFESSIONAL USE)</v>
      </c>
      <c r="G143" s="6" t="str">
        <f aca="false">INDEX(Items!$C$5:$C$62,MATCH($E143,Items!$A$5:$A$62,0))</f>
        <v>Bulk</v>
      </c>
      <c r="H143" s="6" t="s">
        <v>161</v>
      </c>
      <c r="I143" s="6" t="s">
        <v>191</v>
      </c>
      <c r="J143" s="6" t="n">
        <f aca="false">SUMIFS(Kits!$C$5:$C$163,Kits!$A$5:$A$163,$D143,Kits!$B$5:$B$163,$E143)</f>
        <v>15</v>
      </c>
      <c r="K143" s="6" t="n">
        <f aca="false">INDEX(Services!$F$5:$F$85,MATCH($A143,Services!$A$5:$A$85,0))</f>
        <v>1.5</v>
      </c>
      <c r="L143" s="6" t="n">
        <f aca="false">IF($H143="Auto-deduct",IF($G143="Countable",ROUNDUP($J143*IF($I143="Y",$K143,1),0),ROUND($J143*IF($I143="Y",$K143,1),1)),$J143)</f>
        <v>22.5</v>
      </c>
      <c r="M143" s="6" t="str">
        <f aca="false">INDEX(Items!$E$5:$E$62,MATCH($E143,Items!$A$5:$A$62,0))</f>
        <v>mL</v>
      </c>
      <c r="N143" s="6" t="n">
        <f aca="false">ROUND($L143/INDEX(Items!$F$5:$F$62,MATCH($E143,Items!$A$5:$A$62,0)),4)</f>
        <v>0.0225</v>
      </c>
      <c r="O143" s="6"/>
    </row>
    <row r="144" customFormat="false" ht="15" hidden="false" customHeight="false" outlineLevel="0" collapsed="false">
      <c r="A144" s="6" t="n">
        <v>16</v>
      </c>
      <c r="B144" s="6" t="s">
        <v>289</v>
      </c>
      <c r="C144" s="6" t="s">
        <v>278</v>
      </c>
      <c r="D144" s="6" t="s">
        <v>193</v>
      </c>
      <c r="E144" s="6" t="s">
        <v>86</v>
      </c>
      <c r="F144" s="6" t="str">
        <f aca="false">INDEX(Items!$B$5:$B$62,MATCH($E144,Items!$A$5:$A$62,0))</f>
        <v>DISPOSABLES &amp; CLINIC CONSUMABLES</v>
      </c>
      <c r="G144" s="6" t="str">
        <f aca="false">INDEX(Items!$C$5:$C$62,MATCH($E144,Items!$A$5:$A$62,0))</f>
        <v>Bulk</v>
      </c>
      <c r="H144" s="6" t="s">
        <v>161</v>
      </c>
      <c r="I144" s="6" t="s">
        <v>160</v>
      </c>
      <c r="J144" s="6" t="n">
        <f aca="false">SUMIFS(Kits!$C$5:$C$163,Kits!$A$5:$A$163,$D144,Kits!$B$5:$B$163,$E144)</f>
        <v>3</v>
      </c>
      <c r="K144" s="6" t="n">
        <f aca="false">INDEX(Services!$F$5:$F$85,MATCH($A144,Services!$A$5:$A$85,0))</f>
        <v>1.5</v>
      </c>
      <c r="L144" s="6" t="n">
        <f aca="false">IF($H144="Auto-deduct",IF($G144="Countable",ROUNDUP($J144*IF($I144="Y",$K144,1),0),ROUND($J144*IF($I144="Y",$K144,1),1)),$J144)</f>
        <v>3</v>
      </c>
      <c r="M144" s="6" t="str">
        <f aca="false">INDEX(Items!$E$5:$E$62,MATCH($E144,Items!$A$5:$A$62,0))</f>
        <v>pc</v>
      </c>
      <c r="N144" s="6" t="n">
        <f aca="false">ROUND($L144/INDEX(Items!$F$5:$F$62,MATCH($E144,Items!$A$5:$A$62,0)),4)</f>
        <v>0.0375</v>
      </c>
      <c r="O144" s="6"/>
    </row>
    <row r="145" customFormat="false" ht="15" hidden="false" customHeight="false" outlineLevel="0" collapsed="false">
      <c r="A145" s="6" t="n">
        <v>16</v>
      </c>
      <c r="B145" s="6" t="s">
        <v>289</v>
      </c>
      <c r="C145" s="6" t="s">
        <v>278</v>
      </c>
      <c r="D145" s="6" t="s">
        <v>193</v>
      </c>
      <c r="E145" s="6" t="s">
        <v>58</v>
      </c>
      <c r="F145" s="6" t="str">
        <f aca="false">INDEX(Items!$B$5:$B$62,MATCH($E145,Items!$A$5:$A$62,0))</f>
        <v>DISPOSABLES &amp; CLINIC CONSUMABLES</v>
      </c>
      <c r="G145" s="6" t="str">
        <f aca="false">INDEX(Items!$C$5:$C$62,MATCH($E145,Items!$A$5:$A$62,0))</f>
        <v>Bulk</v>
      </c>
      <c r="H145" s="6" t="s">
        <v>161</v>
      </c>
      <c r="I145" s="6" t="s">
        <v>160</v>
      </c>
      <c r="J145" s="6" t="n">
        <f aca="false">SUMIFS(Kits!$C$5:$C$163,Kits!$A$5:$A$163,$D145,Kits!$B$5:$B$163,$E145)</f>
        <v>4</v>
      </c>
      <c r="K145" s="6" t="n">
        <f aca="false">INDEX(Services!$F$5:$F$85,MATCH($A145,Services!$A$5:$A$85,0))</f>
        <v>1.5</v>
      </c>
      <c r="L145" s="6" t="n">
        <f aca="false">IF($H145="Auto-deduct",IF($G145="Countable",ROUNDUP($J145*IF($I145="Y",$K145,1),0),ROUND($J145*IF($I145="Y",$K145,1),1)),$J145)</f>
        <v>4</v>
      </c>
      <c r="M145" s="6" t="str">
        <f aca="false">INDEX(Items!$E$5:$E$62,MATCH($E145,Items!$A$5:$A$62,0))</f>
        <v>sheet</v>
      </c>
      <c r="N145" s="6" t="n">
        <f aca="false">ROUND($L145/INDEX(Items!$F$5:$F$62,MATCH($E145,Items!$A$5:$A$62,0)),4)</f>
        <v>0.02</v>
      </c>
      <c r="O145" s="6"/>
    </row>
    <row r="146" customFormat="false" ht="15" hidden="false" customHeight="false" outlineLevel="0" collapsed="false">
      <c r="A146" s="6" t="n">
        <v>16</v>
      </c>
      <c r="B146" s="6" t="s">
        <v>289</v>
      </c>
      <c r="C146" s="6" t="s">
        <v>278</v>
      </c>
      <c r="D146" s="6" t="s">
        <v>193</v>
      </c>
      <c r="E146" s="6" t="s">
        <v>135</v>
      </c>
      <c r="F146" s="6" t="str">
        <f aca="false">INDEX(Items!$B$5:$B$62,MATCH($E146,Items!$A$5:$A$62,0))</f>
        <v>SKINCARE PRODUCTS (RETAIL / AFTERCARE)</v>
      </c>
      <c r="G146" s="6" t="str">
        <f aca="false">INDEX(Items!$C$5:$C$62,MATCH($E146,Items!$A$5:$A$62,0))</f>
        <v>Bulk</v>
      </c>
      <c r="H146" s="6" t="s">
        <v>161</v>
      </c>
      <c r="I146" s="6" t="s">
        <v>191</v>
      </c>
      <c r="J146" s="6" t="n">
        <f aca="false">SUMIFS(Kits!$C$5:$C$163,Kits!$A$5:$A$163,$D146,Kits!$B$5:$B$163,$E146)</f>
        <v>3</v>
      </c>
      <c r="K146" s="6" t="n">
        <f aca="false">INDEX(Services!$F$5:$F$85,MATCH($A146,Services!$A$5:$A$85,0))</f>
        <v>1.5</v>
      </c>
      <c r="L146" s="6" t="n">
        <f aca="false">IF($H146="Auto-deduct",IF($G146="Countable",ROUNDUP($J146*IF($I146="Y",$K146,1),0),ROUND($J146*IF($I146="Y",$K146,1),1)),$J146)</f>
        <v>4.5</v>
      </c>
      <c r="M146" s="6" t="str">
        <f aca="false">INDEX(Items!$E$5:$E$62,MATCH($E146,Items!$A$5:$A$62,0))</f>
        <v>g</v>
      </c>
      <c r="N146" s="6" t="n">
        <f aca="false">ROUND($L146/INDEX(Items!$F$5:$F$62,MATCH($E146,Items!$A$5:$A$62,0)),4)</f>
        <v>0.09</v>
      </c>
      <c r="O146" s="6"/>
    </row>
    <row r="147" customFormat="false" ht="15" hidden="false" customHeight="false" outlineLevel="0" collapsed="false">
      <c r="A147" s="6" t="n">
        <v>16</v>
      </c>
      <c r="B147" s="6" t="s">
        <v>289</v>
      </c>
      <c r="C147" s="6" t="s">
        <v>278</v>
      </c>
      <c r="D147" s="6" t="s">
        <v>197</v>
      </c>
      <c r="E147" s="6" t="s">
        <v>150</v>
      </c>
      <c r="F147" s="6" t="str">
        <f aca="false">INDEX(Items!$B$5:$B$62,MATCH($E147,Items!$A$5:$A$62,0))</f>
        <v>TOOLS / EQUIPMENT / MISC</v>
      </c>
      <c r="G147" s="6" t="str">
        <f aca="false">INDEX(Items!$C$5:$C$62,MATCH($E147,Items!$A$5:$A$62,0))</f>
        <v>Bulk</v>
      </c>
      <c r="H147" s="6" t="s">
        <v>161</v>
      </c>
      <c r="I147" s="6" t="s">
        <v>191</v>
      </c>
      <c r="J147" s="6" t="n">
        <f aca="false">SUMIFS(Kits!$C$5:$C$163,Kits!$A$5:$A$163,$D147,Kits!$B$5:$B$163,$E147)</f>
        <v>5</v>
      </c>
      <c r="K147" s="6" t="n">
        <f aca="false">INDEX(Services!$F$5:$F$85,MATCH($A147,Services!$A$5:$A$85,0))</f>
        <v>1.5</v>
      </c>
      <c r="L147" s="6" t="n">
        <f aca="false">IF($H147="Auto-deduct",IF($G147="Countable",ROUNDUP($J147*IF($I147="Y",$K147,1),0),ROUND($J147*IF($I147="Y",$K147,1),1)),$J147)</f>
        <v>7.5</v>
      </c>
      <c r="M147" s="6" t="str">
        <f aca="false">INDEX(Items!$E$5:$E$62,MATCH($E147,Items!$A$5:$A$62,0))</f>
        <v>g</v>
      </c>
      <c r="N147" s="6" t="n">
        <f aca="false">ROUND($L147/INDEX(Items!$F$5:$F$62,MATCH($E147,Items!$A$5:$A$62,0)),4)</f>
        <v>0.25</v>
      </c>
      <c r="O147" s="6"/>
    </row>
    <row r="148" customFormat="false" ht="15" hidden="false" customHeight="false" outlineLevel="0" collapsed="false">
      <c r="A148" s="6" t="n">
        <v>16</v>
      </c>
      <c r="B148" s="6" t="s">
        <v>289</v>
      </c>
      <c r="C148" s="6" t="s">
        <v>278</v>
      </c>
      <c r="D148" s="6" t="s">
        <v>197</v>
      </c>
      <c r="E148" s="6" t="s">
        <v>79</v>
      </c>
      <c r="F148" s="6" t="str">
        <f aca="false">INDEX(Items!$B$5:$B$62,MATCH($E148,Items!$A$5:$A$62,0))</f>
        <v>DISPOSABLES &amp; CLINIC CONSUMABLES</v>
      </c>
      <c r="G148" s="6" t="str">
        <f aca="false">INDEX(Items!$C$5:$C$62,MATCH($E148,Items!$A$5:$A$62,0))</f>
        <v>Bulk</v>
      </c>
      <c r="H148" s="6" t="s">
        <v>161</v>
      </c>
      <c r="I148" s="6" t="s">
        <v>191</v>
      </c>
      <c r="J148" s="6" t="n">
        <f aca="false">SUMIFS(Kits!$C$5:$C$163,Kits!$A$5:$A$163,$D148,Kits!$B$5:$B$163,$E148)</f>
        <v>30</v>
      </c>
      <c r="K148" s="6" t="n">
        <f aca="false">INDEX(Services!$F$5:$F$85,MATCH($A148,Services!$A$5:$A$85,0))</f>
        <v>1.5</v>
      </c>
      <c r="L148" s="6" t="n">
        <f aca="false">IF($H148="Auto-deduct",IF($G148="Countable",ROUNDUP($J148*IF($I148="Y",$K148,1),0),ROUND($J148*IF($I148="Y",$K148,1),1)),$J148)</f>
        <v>45</v>
      </c>
      <c r="M148" s="6" t="str">
        <f aca="false">INDEX(Items!$E$5:$E$62,MATCH($E148,Items!$A$5:$A$62,0))</f>
        <v>cm</v>
      </c>
      <c r="N148" s="6" t="n">
        <f aca="false">ROUND($L148/INDEX(Items!$F$5:$F$62,MATCH($E148,Items!$A$5:$A$62,0)),4)</f>
        <v>0.015</v>
      </c>
      <c r="O148" s="6"/>
    </row>
    <row r="149" customFormat="false" ht="15" hidden="false" customHeight="false" outlineLevel="0" collapsed="false">
      <c r="A149" s="6" t="n">
        <v>16</v>
      </c>
      <c r="B149" s="6" t="s">
        <v>289</v>
      </c>
      <c r="C149" s="6" t="s">
        <v>278</v>
      </c>
      <c r="D149" s="6" t="s">
        <v>201</v>
      </c>
      <c r="E149" s="6" t="s">
        <v>129</v>
      </c>
      <c r="F149" s="6" t="str">
        <f aca="false">INDEX(Items!$B$5:$B$62,MATCH($E149,Items!$A$5:$A$62,0))</f>
        <v>SKINCARE PRODUCTS (RETAIL / AFTERCARE)</v>
      </c>
      <c r="G149" s="6" t="str">
        <f aca="false">INDEX(Items!$C$5:$C$62,MATCH($E149,Items!$A$5:$A$62,0))</f>
        <v>Countable</v>
      </c>
      <c r="H149" s="6" t="s">
        <v>185</v>
      </c>
      <c r="I149" s="6" t="s">
        <v>160</v>
      </c>
      <c r="J149" s="6" t="n">
        <f aca="false">SUMIFS(Kits!$C$5:$C$163,Kits!$A$5:$A$163,$D149,Kits!$B$5:$B$163,$E149)</f>
        <v>1</v>
      </c>
      <c r="K149" s="6" t="n">
        <f aca="false">INDEX(Services!$F$5:$F$85,MATCH($A149,Services!$A$5:$A$85,0))</f>
        <v>1.5</v>
      </c>
      <c r="L149" s="6" t="n">
        <f aca="false">IF($H149="Auto-deduct",IF($G149="Countable",ROUNDUP($J149*IF($I149="Y",$K149,1),0),ROUND($J149*IF($I149="Y",$K149,1),1)),$J149)</f>
        <v>1</v>
      </c>
      <c r="M149" s="6" t="str">
        <f aca="false">INDEX(Items!$E$5:$E$62,MATCH($E149,Items!$A$5:$A$62,0))</f>
        <v>tube</v>
      </c>
      <c r="N149" s="6" t="n">
        <f aca="false">ROUND($L149/INDEX(Items!$F$5:$F$62,MATCH($E149,Items!$A$5:$A$62,0)),4)</f>
        <v>1</v>
      </c>
      <c r="O149" s="6"/>
    </row>
    <row r="150" customFormat="false" ht="15" hidden="false" customHeight="false" outlineLevel="0" collapsed="false">
      <c r="A150" s="6" t="n">
        <v>17</v>
      </c>
      <c r="B150" s="6" t="s">
        <v>290</v>
      </c>
      <c r="C150" s="6" t="s">
        <v>278</v>
      </c>
      <c r="D150" s="6" t="s">
        <v>159</v>
      </c>
      <c r="E150" s="6" t="s">
        <v>52</v>
      </c>
      <c r="F150" s="6" t="str">
        <f aca="false">INDEX(Items!$B$5:$B$62,MATCH($E150,Items!$A$5:$A$62,0))</f>
        <v>DISPOSABLES &amp; CLINIC CONSUMABLES</v>
      </c>
      <c r="G150" s="6" t="str">
        <f aca="false">INDEX(Items!$C$5:$C$62,MATCH($E150,Items!$A$5:$A$62,0))</f>
        <v>Countable</v>
      </c>
      <c r="H150" s="6" t="s">
        <v>161</v>
      </c>
      <c r="I150" s="6" t="s">
        <v>160</v>
      </c>
      <c r="J150" s="6" t="n">
        <f aca="false">SUMIFS(Kits!$C$5:$C$163,Kits!$A$5:$A$163,$D150,Kits!$B$5:$B$163,$E150)</f>
        <v>1</v>
      </c>
      <c r="K150" s="6" t="n">
        <f aca="false">INDEX(Services!$F$5:$F$85,MATCH($A150,Services!$A$5:$A$85,0))</f>
        <v>2</v>
      </c>
      <c r="L150" s="6" t="n">
        <f aca="false">IF($H150="Auto-deduct",IF($G150="Countable",ROUNDUP($J150*IF($I150="Y",$K150,1),0),ROUND($J150*IF($I150="Y",$K150,1),1)),$J150)</f>
        <v>1</v>
      </c>
      <c r="M150" s="6" t="str">
        <f aca="false">INDEX(Items!$E$5:$E$62,MATCH($E150,Items!$A$5:$A$62,0))</f>
        <v>pc</v>
      </c>
      <c r="N150" s="6" t="n">
        <f aca="false">ROUND($L150/INDEX(Items!$F$5:$F$62,MATCH($E150,Items!$A$5:$A$62,0)),4)</f>
        <v>1</v>
      </c>
      <c r="O150" s="6"/>
    </row>
    <row r="151" customFormat="false" ht="15" hidden="false" customHeight="false" outlineLevel="0" collapsed="false">
      <c r="A151" s="6" t="n">
        <v>17</v>
      </c>
      <c r="B151" s="6" t="s">
        <v>290</v>
      </c>
      <c r="C151" s="6" t="s">
        <v>278</v>
      </c>
      <c r="D151" s="6" t="s">
        <v>159</v>
      </c>
      <c r="E151" s="6" t="s">
        <v>53</v>
      </c>
      <c r="F151" s="6" t="str">
        <f aca="false">INDEX(Items!$B$5:$B$62,MATCH($E151,Items!$A$5:$A$62,0))</f>
        <v>DISPOSABLES &amp; CLINIC CONSUMABLES</v>
      </c>
      <c r="G151" s="6" t="str">
        <f aca="false">INDEX(Items!$C$5:$C$62,MATCH($E151,Items!$A$5:$A$62,0))</f>
        <v>Countable</v>
      </c>
      <c r="H151" s="6" t="s">
        <v>161</v>
      </c>
      <c r="I151" s="6" t="s">
        <v>160</v>
      </c>
      <c r="J151" s="6" t="n">
        <f aca="false">SUMIFS(Kits!$C$5:$C$163,Kits!$A$5:$A$163,$D151,Kits!$B$5:$B$163,$E151)</f>
        <v>1</v>
      </c>
      <c r="K151" s="6" t="n">
        <f aca="false">INDEX(Services!$F$5:$F$85,MATCH($A151,Services!$A$5:$A$85,0))</f>
        <v>2</v>
      </c>
      <c r="L151" s="6" t="n">
        <f aca="false">IF($H151="Auto-deduct",IF($G151="Countable",ROUNDUP($J151*IF($I151="Y",$K151,1),0),ROUND($J151*IF($I151="Y",$K151,1),1)),$J151)</f>
        <v>1</v>
      </c>
      <c r="M151" s="6" t="str">
        <f aca="false">INDEX(Items!$E$5:$E$62,MATCH($E151,Items!$A$5:$A$62,0))</f>
        <v>pair</v>
      </c>
      <c r="N151" s="6" t="n">
        <f aca="false">ROUND($L151/INDEX(Items!$F$5:$F$62,MATCH($E151,Items!$A$5:$A$62,0)),4)</f>
        <v>1</v>
      </c>
      <c r="O151" s="6"/>
    </row>
    <row r="152" customFormat="false" ht="15" hidden="false" customHeight="false" outlineLevel="0" collapsed="false">
      <c r="A152" s="6" t="n">
        <v>17</v>
      </c>
      <c r="B152" s="6" t="s">
        <v>290</v>
      </c>
      <c r="C152" s="6" t="s">
        <v>278</v>
      </c>
      <c r="D152" s="6" t="s">
        <v>159</v>
      </c>
      <c r="E152" s="6" t="s">
        <v>88</v>
      </c>
      <c r="F152" s="6" t="str">
        <f aca="false">INDEX(Items!$B$5:$B$62,MATCH($E152,Items!$A$5:$A$62,0))</f>
        <v>DISPOSABLES &amp; CLINIC CONSUMABLES</v>
      </c>
      <c r="G152" s="6" t="str">
        <f aca="false">INDEX(Items!$C$5:$C$62,MATCH($E152,Items!$A$5:$A$62,0))</f>
        <v>Bulk</v>
      </c>
      <c r="H152" s="6" t="s">
        <v>161</v>
      </c>
      <c r="I152" s="6" t="s">
        <v>160</v>
      </c>
      <c r="J152" s="6" t="n">
        <f aca="false">SUMIFS(Kits!$C$5:$C$163,Kits!$A$5:$A$163,$D152,Kits!$B$5:$B$163,$E152)</f>
        <v>5</v>
      </c>
      <c r="K152" s="6" t="n">
        <f aca="false">INDEX(Services!$F$5:$F$85,MATCH($A152,Services!$A$5:$A$85,0))</f>
        <v>2</v>
      </c>
      <c r="L152" s="6" t="n">
        <f aca="false">IF($H152="Auto-deduct",IF($G152="Countable",ROUNDUP($J152*IF($I152="Y",$K152,1),0),ROUND($J152*IF($I152="Y",$K152,1),1)),$J152)</f>
        <v>5</v>
      </c>
      <c r="M152" s="6" t="str">
        <f aca="false">INDEX(Items!$E$5:$E$62,MATCH($E152,Items!$A$5:$A$62,0))</f>
        <v>mL</v>
      </c>
      <c r="N152" s="6" t="n">
        <f aca="false">ROUND($L152/INDEX(Items!$F$5:$F$62,MATCH($E152,Items!$A$5:$A$62,0)),4)</f>
        <v>0.01</v>
      </c>
      <c r="O152" s="6"/>
    </row>
    <row r="153" customFormat="false" ht="15" hidden="false" customHeight="false" outlineLevel="0" collapsed="false">
      <c r="A153" s="6" t="n">
        <v>17</v>
      </c>
      <c r="B153" s="6" t="s">
        <v>290</v>
      </c>
      <c r="C153" s="6" t="s">
        <v>278</v>
      </c>
      <c r="D153" s="6" t="s">
        <v>193</v>
      </c>
      <c r="E153" s="6" t="s">
        <v>147</v>
      </c>
      <c r="F153" s="6" t="str">
        <f aca="false">INDEX(Items!$B$5:$B$62,MATCH($E153,Items!$A$5:$A$62,0))</f>
        <v>TOOLS / EQUIPMENT / MISC</v>
      </c>
      <c r="G153" s="6" t="str">
        <f aca="false">INDEX(Items!$C$5:$C$62,MATCH($E153,Items!$A$5:$A$62,0))</f>
        <v>Countable</v>
      </c>
      <c r="H153" s="6" t="s">
        <v>161</v>
      </c>
      <c r="I153" s="6" t="s">
        <v>160</v>
      </c>
      <c r="J153" s="6" t="n">
        <f aca="false">SUMIFS(Kits!$C$5:$C$163,Kits!$A$5:$A$163,$D153,Kits!$B$5:$B$163,$E153)</f>
        <v>1</v>
      </c>
      <c r="K153" s="6" t="n">
        <f aca="false">INDEX(Services!$F$5:$F$85,MATCH($A153,Services!$A$5:$A$85,0))</f>
        <v>2</v>
      </c>
      <c r="L153" s="6" t="n">
        <f aca="false">IF($H153="Auto-deduct",IF($G153="Countable",ROUNDUP($J153*IF($I153="Y",$K153,1),0),ROUND($J153*IF($I153="Y",$K153,1),1)),$J153)</f>
        <v>1</v>
      </c>
      <c r="M153" s="6" t="str">
        <f aca="false">INDEX(Items!$E$5:$E$62,MATCH($E153,Items!$A$5:$A$62,0))</f>
        <v>pc</v>
      </c>
      <c r="N153" s="6" t="n">
        <f aca="false">ROUND($L153/INDEX(Items!$F$5:$F$62,MATCH($E153,Items!$A$5:$A$62,0)),4)</f>
        <v>1</v>
      </c>
      <c r="O153" s="6"/>
    </row>
    <row r="154" customFormat="false" ht="15" hidden="false" customHeight="false" outlineLevel="0" collapsed="false">
      <c r="A154" s="6" t="n">
        <v>17</v>
      </c>
      <c r="B154" s="6" t="s">
        <v>290</v>
      </c>
      <c r="C154" s="6" t="s">
        <v>278</v>
      </c>
      <c r="D154" s="6" t="s">
        <v>193</v>
      </c>
      <c r="E154" s="6" t="s">
        <v>114</v>
      </c>
      <c r="F154" s="6" t="str">
        <f aca="false">INDEX(Items!$B$5:$B$62,MATCH($E154,Items!$A$5:$A$62,0))</f>
        <v>FACIAL TREATMENT PRODUCTS (PROFESSIONAL USE)</v>
      </c>
      <c r="G154" s="6" t="str">
        <f aca="false">INDEX(Items!$C$5:$C$62,MATCH($E154,Items!$A$5:$A$62,0))</f>
        <v>Bulk</v>
      </c>
      <c r="H154" s="6" t="s">
        <v>161</v>
      </c>
      <c r="I154" s="6" t="s">
        <v>191</v>
      </c>
      <c r="J154" s="6" t="n">
        <f aca="false">SUMIFS(Kits!$C$5:$C$163,Kits!$A$5:$A$163,$D154,Kits!$B$5:$B$163,$E154)</f>
        <v>15</v>
      </c>
      <c r="K154" s="6" t="n">
        <f aca="false">INDEX(Services!$F$5:$F$85,MATCH($A154,Services!$A$5:$A$85,0))</f>
        <v>2</v>
      </c>
      <c r="L154" s="6" t="n">
        <f aca="false">IF($H154="Auto-deduct",IF($G154="Countable",ROUNDUP($J154*IF($I154="Y",$K154,1),0),ROUND($J154*IF($I154="Y",$K154,1),1)),$J154)</f>
        <v>30</v>
      </c>
      <c r="M154" s="6" t="str">
        <f aca="false">INDEX(Items!$E$5:$E$62,MATCH($E154,Items!$A$5:$A$62,0))</f>
        <v>mL</v>
      </c>
      <c r="N154" s="6" t="n">
        <f aca="false">ROUND($L154/INDEX(Items!$F$5:$F$62,MATCH($E154,Items!$A$5:$A$62,0)),4)</f>
        <v>0.03</v>
      </c>
      <c r="O154" s="6"/>
    </row>
    <row r="155" customFormat="false" ht="15" hidden="false" customHeight="false" outlineLevel="0" collapsed="false">
      <c r="A155" s="6" t="n">
        <v>17</v>
      </c>
      <c r="B155" s="6" t="s">
        <v>290</v>
      </c>
      <c r="C155" s="6" t="s">
        <v>278</v>
      </c>
      <c r="D155" s="6" t="s">
        <v>193</v>
      </c>
      <c r="E155" s="6" t="s">
        <v>86</v>
      </c>
      <c r="F155" s="6" t="str">
        <f aca="false">INDEX(Items!$B$5:$B$62,MATCH($E155,Items!$A$5:$A$62,0))</f>
        <v>DISPOSABLES &amp; CLINIC CONSUMABLES</v>
      </c>
      <c r="G155" s="6" t="str">
        <f aca="false">INDEX(Items!$C$5:$C$62,MATCH($E155,Items!$A$5:$A$62,0))</f>
        <v>Bulk</v>
      </c>
      <c r="H155" s="6" t="s">
        <v>161</v>
      </c>
      <c r="I155" s="6" t="s">
        <v>160</v>
      </c>
      <c r="J155" s="6" t="n">
        <f aca="false">SUMIFS(Kits!$C$5:$C$163,Kits!$A$5:$A$163,$D155,Kits!$B$5:$B$163,$E155)</f>
        <v>3</v>
      </c>
      <c r="K155" s="6" t="n">
        <f aca="false">INDEX(Services!$F$5:$F$85,MATCH($A155,Services!$A$5:$A$85,0))</f>
        <v>2</v>
      </c>
      <c r="L155" s="6" t="n">
        <f aca="false">IF($H155="Auto-deduct",IF($G155="Countable",ROUNDUP($J155*IF($I155="Y",$K155,1),0),ROUND($J155*IF($I155="Y",$K155,1),1)),$J155)</f>
        <v>3</v>
      </c>
      <c r="M155" s="6" t="str">
        <f aca="false">INDEX(Items!$E$5:$E$62,MATCH($E155,Items!$A$5:$A$62,0))</f>
        <v>pc</v>
      </c>
      <c r="N155" s="6" t="n">
        <f aca="false">ROUND($L155/INDEX(Items!$F$5:$F$62,MATCH($E155,Items!$A$5:$A$62,0)),4)</f>
        <v>0.0375</v>
      </c>
      <c r="O155" s="6"/>
    </row>
    <row r="156" customFormat="false" ht="15" hidden="false" customHeight="false" outlineLevel="0" collapsed="false">
      <c r="A156" s="6" t="n">
        <v>17</v>
      </c>
      <c r="B156" s="6" t="s">
        <v>290</v>
      </c>
      <c r="C156" s="6" t="s">
        <v>278</v>
      </c>
      <c r="D156" s="6" t="s">
        <v>193</v>
      </c>
      <c r="E156" s="6" t="s">
        <v>58</v>
      </c>
      <c r="F156" s="6" t="str">
        <f aca="false">INDEX(Items!$B$5:$B$62,MATCH($E156,Items!$A$5:$A$62,0))</f>
        <v>DISPOSABLES &amp; CLINIC CONSUMABLES</v>
      </c>
      <c r="G156" s="6" t="str">
        <f aca="false">INDEX(Items!$C$5:$C$62,MATCH($E156,Items!$A$5:$A$62,0))</f>
        <v>Bulk</v>
      </c>
      <c r="H156" s="6" t="s">
        <v>161</v>
      </c>
      <c r="I156" s="6" t="s">
        <v>160</v>
      </c>
      <c r="J156" s="6" t="n">
        <f aca="false">SUMIFS(Kits!$C$5:$C$163,Kits!$A$5:$A$163,$D156,Kits!$B$5:$B$163,$E156)</f>
        <v>4</v>
      </c>
      <c r="K156" s="6" t="n">
        <f aca="false">INDEX(Services!$F$5:$F$85,MATCH($A156,Services!$A$5:$A$85,0))</f>
        <v>2</v>
      </c>
      <c r="L156" s="6" t="n">
        <f aca="false">IF($H156="Auto-deduct",IF($G156="Countable",ROUNDUP($J156*IF($I156="Y",$K156,1),0),ROUND($J156*IF($I156="Y",$K156,1),1)),$J156)</f>
        <v>4</v>
      </c>
      <c r="M156" s="6" t="str">
        <f aca="false">INDEX(Items!$E$5:$E$62,MATCH($E156,Items!$A$5:$A$62,0))</f>
        <v>sheet</v>
      </c>
      <c r="N156" s="6" t="n">
        <f aca="false">ROUND($L156/INDEX(Items!$F$5:$F$62,MATCH($E156,Items!$A$5:$A$62,0)),4)</f>
        <v>0.02</v>
      </c>
      <c r="O156" s="6"/>
    </row>
    <row r="157" customFormat="false" ht="15" hidden="false" customHeight="false" outlineLevel="0" collapsed="false">
      <c r="A157" s="6" t="n">
        <v>17</v>
      </c>
      <c r="B157" s="6" t="s">
        <v>290</v>
      </c>
      <c r="C157" s="6" t="s">
        <v>278</v>
      </c>
      <c r="D157" s="6" t="s">
        <v>193</v>
      </c>
      <c r="E157" s="6" t="s">
        <v>135</v>
      </c>
      <c r="F157" s="6" t="str">
        <f aca="false">INDEX(Items!$B$5:$B$62,MATCH($E157,Items!$A$5:$A$62,0))</f>
        <v>SKINCARE PRODUCTS (RETAIL / AFTERCARE)</v>
      </c>
      <c r="G157" s="6" t="str">
        <f aca="false">INDEX(Items!$C$5:$C$62,MATCH($E157,Items!$A$5:$A$62,0))</f>
        <v>Bulk</v>
      </c>
      <c r="H157" s="6" t="s">
        <v>161</v>
      </c>
      <c r="I157" s="6" t="s">
        <v>191</v>
      </c>
      <c r="J157" s="6" t="n">
        <f aca="false">SUMIFS(Kits!$C$5:$C$163,Kits!$A$5:$A$163,$D157,Kits!$B$5:$B$163,$E157)</f>
        <v>3</v>
      </c>
      <c r="K157" s="6" t="n">
        <f aca="false">INDEX(Services!$F$5:$F$85,MATCH($A157,Services!$A$5:$A$85,0))</f>
        <v>2</v>
      </c>
      <c r="L157" s="6" t="n">
        <f aca="false">IF($H157="Auto-deduct",IF($G157="Countable",ROUNDUP($J157*IF($I157="Y",$K157,1),0),ROUND($J157*IF($I157="Y",$K157,1),1)),$J157)</f>
        <v>6</v>
      </c>
      <c r="M157" s="6" t="str">
        <f aca="false">INDEX(Items!$E$5:$E$62,MATCH($E157,Items!$A$5:$A$62,0))</f>
        <v>g</v>
      </c>
      <c r="N157" s="6" t="n">
        <f aca="false">ROUND($L157/INDEX(Items!$F$5:$F$62,MATCH($E157,Items!$A$5:$A$62,0)),4)</f>
        <v>0.12</v>
      </c>
      <c r="O157" s="6"/>
    </row>
    <row r="158" customFormat="false" ht="15" hidden="false" customHeight="false" outlineLevel="0" collapsed="false">
      <c r="A158" s="6" t="n">
        <v>18</v>
      </c>
      <c r="B158" s="6" t="s">
        <v>291</v>
      </c>
      <c r="C158" s="6" t="s">
        <v>278</v>
      </c>
      <c r="D158" s="6" t="s">
        <v>159</v>
      </c>
      <c r="E158" s="6" t="s">
        <v>52</v>
      </c>
      <c r="F158" s="6" t="str">
        <f aca="false">INDEX(Items!$B$5:$B$62,MATCH($E158,Items!$A$5:$A$62,0))</f>
        <v>DISPOSABLES &amp; CLINIC CONSUMABLES</v>
      </c>
      <c r="G158" s="6" t="str">
        <f aca="false">INDEX(Items!$C$5:$C$62,MATCH($E158,Items!$A$5:$A$62,0))</f>
        <v>Countable</v>
      </c>
      <c r="H158" s="6" t="s">
        <v>161</v>
      </c>
      <c r="I158" s="6" t="s">
        <v>160</v>
      </c>
      <c r="J158" s="6" t="n">
        <f aca="false">SUMIFS(Kits!$C$5:$C$163,Kits!$A$5:$A$163,$D158,Kits!$B$5:$B$163,$E158)</f>
        <v>1</v>
      </c>
      <c r="K158" s="6" t="n">
        <f aca="false">INDEX(Services!$F$5:$F$85,MATCH($A158,Services!$A$5:$A$85,0))</f>
        <v>2</v>
      </c>
      <c r="L158" s="6" t="n">
        <f aca="false">IF($H158="Auto-deduct",IF($G158="Countable",ROUNDUP($J158*IF($I158="Y",$K158,1),0),ROUND($J158*IF($I158="Y",$K158,1),1)),$J158)</f>
        <v>1</v>
      </c>
      <c r="M158" s="6" t="str">
        <f aca="false">INDEX(Items!$E$5:$E$62,MATCH($E158,Items!$A$5:$A$62,0))</f>
        <v>pc</v>
      </c>
      <c r="N158" s="6" t="n">
        <f aca="false">ROUND($L158/INDEX(Items!$F$5:$F$62,MATCH($E158,Items!$A$5:$A$62,0)),4)</f>
        <v>1</v>
      </c>
      <c r="O158" s="6"/>
    </row>
    <row r="159" customFormat="false" ht="15" hidden="false" customHeight="false" outlineLevel="0" collapsed="false">
      <c r="A159" s="6" t="n">
        <v>18</v>
      </c>
      <c r="B159" s="6" t="s">
        <v>291</v>
      </c>
      <c r="C159" s="6" t="s">
        <v>278</v>
      </c>
      <c r="D159" s="6" t="s">
        <v>159</v>
      </c>
      <c r="E159" s="6" t="s">
        <v>53</v>
      </c>
      <c r="F159" s="6" t="str">
        <f aca="false">INDEX(Items!$B$5:$B$62,MATCH($E159,Items!$A$5:$A$62,0))</f>
        <v>DISPOSABLES &amp; CLINIC CONSUMABLES</v>
      </c>
      <c r="G159" s="6" t="str">
        <f aca="false">INDEX(Items!$C$5:$C$62,MATCH($E159,Items!$A$5:$A$62,0))</f>
        <v>Countable</v>
      </c>
      <c r="H159" s="6" t="s">
        <v>161</v>
      </c>
      <c r="I159" s="6" t="s">
        <v>160</v>
      </c>
      <c r="J159" s="6" t="n">
        <f aca="false">SUMIFS(Kits!$C$5:$C$163,Kits!$A$5:$A$163,$D159,Kits!$B$5:$B$163,$E159)</f>
        <v>1</v>
      </c>
      <c r="K159" s="6" t="n">
        <f aca="false">INDEX(Services!$F$5:$F$85,MATCH($A159,Services!$A$5:$A$85,0))</f>
        <v>2</v>
      </c>
      <c r="L159" s="6" t="n">
        <f aca="false">IF($H159="Auto-deduct",IF($G159="Countable",ROUNDUP($J159*IF($I159="Y",$K159,1),0),ROUND($J159*IF($I159="Y",$K159,1),1)),$J159)</f>
        <v>1</v>
      </c>
      <c r="M159" s="6" t="str">
        <f aca="false">INDEX(Items!$E$5:$E$62,MATCH($E159,Items!$A$5:$A$62,0))</f>
        <v>pair</v>
      </c>
      <c r="N159" s="6" t="n">
        <f aca="false">ROUND($L159/INDEX(Items!$F$5:$F$62,MATCH($E159,Items!$A$5:$A$62,0)),4)</f>
        <v>1</v>
      </c>
      <c r="O159" s="6"/>
    </row>
    <row r="160" customFormat="false" ht="15" hidden="false" customHeight="false" outlineLevel="0" collapsed="false">
      <c r="A160" s="6" t="n">
        <v>18</v>
      </c>
      <c r="B160" s="6" t="s">
        <v>291</v>
      </c>
      <c r="C160" s="6" t="s">
        <v>278</v>
      </c>
      <c r="D160" s="6" t="s">
        <v>159</v>
      </c>
      <c r="E160" s="6" t="s">
        <v>88</v>
      </c>
      <c r="F160" s="6" t="str">
        <f aca="false">INDEX(Items!$B$5:$B$62,MATCH($E160,Items!$A$5:$A$62,0))</f>
        <v>DISPOSABLES &amp; CLINIC CONSUMABLES</v>
      </c>
      <c r="G160" s="6" t="str">
        <f aca="false">INDEX(Items!$C$5:$C$62,MATCH($E160,Items!$A$5:$A$62,0))</f>
        <v>Bulk</v>
      </c>
      <c r="H160" s="6" t="s">
        <v>161</v>
      </c>
      <c r="I160" s="6" t="s">
        <v>160</v>
      </c>
      <c r="J160" s="6" t="n">
        <f aca="false">SUMIFS(Kits!$C$5:$C$163,Kits!$A$5:$A$163,$D160,Kits!$B$5:$B$163,$E160)</f>
        <v>5</v>
      </c>
      <c r="K160" s="6" t="n">
        <f aca="false">INDEX(Services!$F$5:$F$85,MATCH($A160,Services!$A$5:$A$85,0))</f>
        <v>2</v>
      </c>
      <c r="L160" s="6" t="n">
        <f aca="false">IF($H160="Auto-deduct",IF($G160="Countable",ROUNDUP($J160*IF($I160="Y",$K160,1),0),ROUND($J160*IF($I160="Y",$K160,1),1)),$J160)</f>
        <v>5</v>
      </c>
      <c r="M160" s="6" t="str">
        <f aca="false">INDEX(Items!$E$5:$E$62,MATCH($E160,Items!$A$5:$A$62,0))</f>
        <v>mL</v>
      </c>
      <c r="N160" s="6" t="n">
        <f aca="false">ROUND($L160/INDEX(Items!$F$5:$F$62,MATCH($E160,Items!$A$5:$A$62,0)),4)</f>
        <v>0.01</v>
      </c>
      <c r="O160" s="6"/>
    </row>
    <row r="161" customFormat="false" ht="15" hidden="false" customHeight="false" outlineLevel="0" collapsed="false">
      <c r="A161" s="6" t="n">
        <v>18</v>
      </c>
      <c r="B161" s="6" t="s">
        <v>291</v>
      </c>
      <c r="C161" s="6" t="s">
        <v>278</v>
      </c>
      <c r="D161" s="6" t="s">
        <v>193</v>
      </c>
      <c r="E161" s="6" t="s">
        <v>147</v>
      </c>
      <c r="F161" s="6" t="str">
        <f aca="false">INDEX(Items!$B$5:$B$62,MATCH($E161,Items!$A$5:$A$62,0))</f>
        <v>TOOLS / EQUIPMENT / MISC</v>
      </c>
      <c r="G161" s="6" t="str">
        <f aca="false">INDEX(Items!$C$5:$C$62,MATCH($E161,Items!$A$5:$A$62,0))</f>
        <v>Countable</v>
      </c>
      <c r="H161" s="6" t="s">
        <v>161</v>
      </c>
      <c r="I161" s="6" t="s">
        <v>160</v>
      </c>
      <c r="J161" s="6" t="n">
        <f aca="false">SUMIFS(Kits!$C$5:$C$163,Kits!$A$5:$A$163,$D161,Kits!$B$5:$B$163,$E161)</f>
        <v>1</v>
      </c>
      <c r="K161" s="6" t="n">
        <f aca="false">INDEX(Services!$F$5:$F$85,MATCH($A161,Services!$A$5:$A$85,0))</f>
        <v>2</v>
      </c>
      <c r="L161" s="6" t="n">
        <f aca="false">IF($H161="Auto-deduct",IF($G161="Countable",ROUNDUP($J161*IF($I161="Y",$K161,1),0),ROUND($J161*IF($I161="Y",$K161,1),1)),$J161)</f>
        <v>1</v>
      </c>
      <c r="M161" s="6" t="str">
        <f aca="false">INDEX(Items!$E$5:$E$62,MATCH($E161,Items!$A$5:$A$62,0))</f>
        <v>pc</v>
      </c>
      <c r="N161" s="6" t="n">
        <f aca="false">ROUND($L161/INDEX(Items!$F$5:$F$62,MATCH($E161,Items!$A$5:$A$62,0)),4)</f>
        <v>1</v>
      </c>
      <c r="O161" s="6"/>
    </row>
    <row r="162" customFormat="false" ht="15" hidden="false" customHeight="false" outlineLevel="0" collapsed="false">
      <c r="A162" s="6" t="n">
        <v>18</v>
      </c>
      <c r="B162" s="6" t="s">
        <v>291</v>
      </c>
      <c r="C162" s="6" t="s">
        <v>278</v>
      </c>
      <c r="D162" s="6" t="s">
        <v>193</v>
      </c>
      <c r="E162" s="6" t="s">
        <v>114</v>
      </c>
      <c r="F162" s="6" t="str">
        <f aca="false">INDEX(Items!$B$5:$B$62,MATCH($E162,Items!$A$5:$A$62,0))</f>
        <v>FACIAL TREATMENT PRODUCTS (PROFESSIONAL USE)</v>
      </c>
      <c r="G162" s="6" t="str">
        <f aca="false">INDEX(Items!$C$5:$C$62,MATCH($E162,Items!$A$5:$A$62,0))</f>
        <v>Bulk</v>
      </c>
      <c r="H162" s="6" t="s">
        <v>161</v>
      </c>
      <c r="I162" s="6" t="s">
        <v>191</v>
      </c>
      <c r="J162" s="6" t="n">
        <f aca="false">SUMIFS(Kits!$C$5:$C$163,Kits!$A$5:$A$163,$D162,Kits!$B$5:$B$163,$E162)</f>
        <v>15</v>
      </c>
      <c r="K162" s="6" t="n">
        <f aca="false">INDEX(Services!$F$5:$F$85,MATCH($A162,Services!$A$5:$A$85,0))</f>
        <v>2</v>
      </c>
      <c r="L162" s="6" t="n">
        <f aca="false">IF($H162="Auto-deduct",IF($G162="Countable",ROUNDUP($J162*IF($I162="Y",$K162,1),0),ROUND($J162*IF($I162="Y",$K162,1),1)),$J162)</f>
        <v>30</v>
      </c>
      <c r="M162" s="6" t="str">
        <f aca="false">INDEX(Items!$E$5:$E$62,MATCH($E162,Items!$A$5:$A$62,0))</f>
        <v>mL</v>
      </c>
      <c r="N162" s="6" t="n">
        <f aca="false">ROUND($L162/INDEX(Items!$F$5:$F$62,MATCH($E162,Items!$A$5:$A$62,0)),4)</f>
        <v>0.03</v>
      </c>
      <c r="O162" s="6"/>
    </row>
    <row r="163" customFormat="false" ht="15" hidden="false" customHeight="false" outlineLevel="0" collapsed="false">
      <c r="A163" s="6" t="n">
        <v>18</v>
      </c>
      <c r="B163" s="6" t="s">
        <v>291</v>
      </c>
      <c r="C163" s="6" t="s">
        <v>278</v>
      </c>
      <c r="D163" s="6" t="s">
        <v>193</v>
      </c>
      <c r="E163" s="6" t="s">
        <v>86</v>
      </c>
      <c r="F163" s="6" t="str">
        <f aca="false">INDEX(Items!$B$5:$B$62,MATCH($E163,Items!$A$5:$A$62,0))</f>
        <v>DISPOSABLES &amp; CLINIC CONSUMABLES</v>
      </c>
      <c r="G163" s="6" t="str">
        <f aca="false">INDEX(Items!$C$5:$C$62,MATCH($E163,Items!$A$5:$A$62,0))</f>
        <v>Bulk</v>
      </c>
      <c r="H163" s="6" t="s">
        <v>161</v>
      </c>
      <c r="I163" s="6" t="s">
        <v>160</v>
      </c>
      <c r="J163" s="6" t="n">
        <f aca="false">SUMIFS(Kits!$C$5:$C$163,Kits!$A$5:$A$163,$D163,Kits!$B$5:$B$163,$E163)</f>
        <v>3</v>
      </c>
      <c r="K163" s="6" t="n">
        <f aca="false">INDEX(Services!$F$5:$F$85,MATCH($A163,Services!$A$5:$A$85,0))</f>
        <v>2</v>
      </c>
      <c r="L163" s="6" t="n">
        <f aca="false">IF($H163="Auto-deduct",IF($G163="Countable",ROUNDUP($J163*IF($I163="Y",$K163,1),0),ROUND($J163*IF($I163="Y",$K163,1),1)),$J163)</f>
        <v>3</v>
      </c>
      <c r="M163" s="6" t="str">
        <f aca="false">INDEX(Items!$E$5:$E$62,MATCH($E163,Items!$A$5:$A$62,0))</f>
        <v>pc</v>
      </c>
      <c r="N163" s="6" t="n">
        <f aca="false">ROUND($L163/INDEX(Items!$F$5:$F$62,MATCH($E163,Items!$A$5:$A$62,0)),4)</f>
        <v>0.0375</v>
      </c>
      <c r="O163" s="6"/>
    </row>
    <row r="164" customFormat="false" ht="15" hidden="false" customHeight="false" outlineLevel="0" collapsed="false">
      <c r="A164" s="6" t="n">
        <v>18</v>
      </c>
      <c r="B164" s="6" t="s">
        <v>291</v>
      </c>
      <c r="C164" s="6" t="s">
        <v>278</v>
      </c>
      <c r="D164" s="6" t="s">
        <v>193</v>
      </c>
      <c r="E164" s="6" t="s">
        <v>58</v>
      </c>
      <c r="F164" s="6" t="str">
        <f aca="false">INDEX(Items!$B$5:$B$62,MATCH($E164,Items!$A$5:$A$62,0))</f>
        <v>DISPOSABLES &amp; CLINIC CONSUMABLES</v>
      </c>
      <c r="G164" s="6" t="str">
        <f aca="false">INDEX(Items!$C$5:$C$62,MATCH($E164,Items!$A$5:$A$62,0))</f>
        <v>Bulk</v>
      </c>
      <c r="H164" s="6" t="s">
        <v>161</v>
      </c>
      <c r="I164" s="6" t="s">
        <v>160</v>
      </c>
      <c r="J164" s="6" t="n">
        <f aca="false">SUMIFS(Kits!$C$5:$C$163,Kits!$A$5:$A$163,$D164,Kits!$B$5:$B$163,$E164)</f>
        <v>4</v>
      </c>
      <c r="K164" s="6" t="n">
        <f aca="false">INDEX(Services!$F$5:$F$85,MATCH($A164,Services!$A$5:$A$85,0))</f>
        <v>2</v>
      </c>
      <c r="L164" s="6" t="n">
        <f aca="false">IF($H164="Auto-deduct",IF($G164="Countable",ROUNDUP($J164*IF($I164="Y",$K164,1),0),ROUND($J164*IF($I164="Y",$K164,1),1)),$J164)</f>
        <v>4</v>
      </c>
      <c r="M164" s="6" t="str">
        <f aca="false">INDEX(Items!$E$5:$E$62,MATCH($E164,Items!$A$5:$A$62,0))</f>
        <v>sheet</v>
      </c>
      <c r="N164" s="6" t="n">
        <f aca="false">ROUND($L164/INDEX(Items!$F$5:$F$62,MATCH($E164,Items!$A$5:$A$62,0)),4)</f>
        <v>0.02</v>
      </c>
      <c r="O164" s="6"/>
    </row>
    <row r="165" customFormat="false" ht="15" hidden="false" customHeight="false" outlineLevel="0" collapsed="false">
      <c r="A165" s="6" t="n">
        <v>18</v>
      </c>
      <c r="B165" s="6" t="s">
        <v>291</v>
      </c>
      <c r="C165" s="6" t="s">
        <v>278</v>
      </c>
      <c r="D165" s="6" t="s">
        <v>193</v>
      </c>
      <c r="E165" s="6" t="s">
        <v>135</v>
      </c>
      <c r="F165" s="6" t="str">
        <f aca="false">INDEX(Items!$B$5:$B$62,MATCH($E165,Items!$A$5:$A$62,0))</f>
        <v>SKINCARE PRODUCTS (RETAIL / AFTERCARE)</v>
      </c>
      <c r="G165" s="6" t="str">
        <f aca="false">INDEX(Items!$C$5:$C$62,MATCH($E165,Items!$A$5:$A$62,0))</f>
        <v>Bulk</v>
      </c>
      <c r="H165" s="6" t="s">
        <v>161</v>
      </c>
      <c r="I165" s="6" t="s">
        <v>191</v>
      </c>
      <c r="J165" s="6" t="n">
        <f aca="false">SUMIFS(Kits!$C$5:$C$163,Kits!$A$5:$A$163,$D165,Kits!$B$5:$B$163,$E165)</f>
        <v>3</v>
      </c>
      <c r="K165" s="6" t="n">
        <f aca="false">INDEX(Services!$F$5:$F$85,MATCH($A165,Services!$A$5:$A$85,0))</f>
        <v>2</v>
      </c>
      <c r="L165" s="6" t="n">
        <f aca="false">IF($H165="Auto-deduct",IF($G165="Countable",ROUNDUP($J165*IF($I165="Y",$K165,1),0),ROUND($J165*IF($I165="Y",$K165,1),1)),$J165)</f>
        <v>6</v>
      </c>
      <c r="M165" s="6" t="str">
        <f aca="false">INDEX(Items!$E$5:$E$62,MATCH($E165,Items!$A$5:$A$62,0))</f>
        <v>g</v>
      </c>
      <c r="N165" s="6" t="n">
        <f aca="false">ROUND($L165/INDEX(Items!$F$5:$F$62,MATCH($E165,Items!$A$5:$A$62,0)),4)</f>
        <v>0.12</v>
      </c>
      <c r="O165" s="6"/>
    </row>
    <row r="166" customFormat="false" ht="15" hidden="false" customHeight="false" outlineLevel="0" collapsed="false">
      <c r="A166" s="6" t="n">
        <v>19</v>
      </c>
      <c r="B166" s="6" t="s">
        <v>292</v>
      </c>
      <c r="C166" s="6" t="s">
        <v>278</v>
      </c>
      <c r="D166" s="6" t="s">
        <v>159</v>
      </c>
      <c r="E166" s="6" t="s">
        <v>52</v>
      </c>
      <c r="F166" s="6" t="str">
        <f aca="false">INDEX(Items!$B$5:$B$62,MATCH($E166,Items!$A$5:$A$62,0))</f>
        <v>DISPOSABLES &amp; CLINIC CONSUMABLES</v>
      </c>
      <c r="G166" s="6" t="str">
        <f aca="false">INDEX(Items!$C$5:$C$62,MATCH($E166,Items!$A$5:$A$62,0))</f>
        <v>Countable</v>
      </c>
      <c r="H166" s="6" t="s">
        <v>161</v>
      </c>
      <c r="I166" s="6" t="s">
        <v>160</v>
      </c>
      <c r="J166" s="6" t="n">
        <f aca="false">SUMIFS(Kits!$C$5:$C$163,Kits!$A$5:$A$163,$D166,Kits!$B$5:$B$163,$E166)</f>
        <v>1</v>
      </c>
      <c r="K166" s="6" t="n">
        <f aca="false">INDEX(Services!$F$5:$F$85,MATCH($A166,Services!$A$5:$A$85,0))</f>
        <v>2</v>
      </c>
      <c r="L166" s="6" t="n">
        <f aca="false">IF($H166="Auto-deduct",IF($G166="Countable",ROUNDUP($J166*IF($I166="Y",$K166,1),0),ROUND($J166*IF($I166="Y",$K166,1),1)),$J166)</f>
        <v>1</v>
      </c>
      <c r="M166" s="6" t="str">
        <f aca="false">INDEX(Items!$E$5:$E$62,MATCH($E166,Items!$A$5:$A$62,0))</f>
        <v>pc</v>
      </c>
      <c r="N166" s="6" t="n">
        <f aca="false">ROUND($L166/INDEX(Items!$F$5:$F$62,MATCH($E166,Items!$A$5:$A$62,0)),4)</f>
        <v>1</v>
      </c>
      <c r="O166" s="6"/>
    </row>
    <row r="167" customFormat="false" ht="15" hidden="false" customHeight="false" outlineLevel="0" collapsed="false">
      <c r="A167" s="6" t="n">
        <v>19</v>
      </c>
      <c r="B167" s="6" t="s">
        <v>292</v>
      </c>
      <c r="C167" s="6" t="s">
        <v>278</v>
      </c>
      <c r="D167" s="6" t="s">
        <v>159</v>
      </c>
      <c r="E167" s="6" t="s">
        <v>53</v>
      </c>
      <c r="F167" s="6" t="str">
        <f aca="false">INDEX(Items!$B$5:$B$62,MATCH($E167,Items!$A$5:$A$62,0))</f>
        <v>DISPOSABLES &amp; CLINIC CONSUMABLES</v>
      </c>
      <c r="G167" s="6" t="str">
        <f aca="false">INDEX(Items!$C$5:$C$62,MATCH($E167,Items!$A$5:$A$62,0))</f>
        <v>Countable</v>
      </c>
      <c r="H167" s="6" t="s">
        <v>161</v>
      </c>
      <c r="I167" s="6" t="s">
        <v>160</v>
      </c>
      <c r="J167" s="6" t="n">
        <f aca="false">SUMIFS(Kits!$C$5:$C$163,Kits!$A$5:$A$163,$D167,Kits!$B$5:$B$163,$E167)</f>
        <v>1</v>
      </c>
      <c r="K167" s="6" t="n">
        <f aca="false">INDEX(Services!$F$5:$F$85,MATCH($A167,Services!$A$5:$A$85,0))</f>
        <v>2</v>
      </c>
      <c r="L167" s="6" t="n">
        <f aca="false">IF($H167="Auto-deduct",IF($G167="Countable",ROUNDUP($J167*IF($I167="Y",$K167,1),0),ROUND($J167*IF($I167="Y",$K167,1),1)),$J167)</f>
        <v>1</v>
      </c>
      <c r="M167" s="6" t="str">
        <f aca="false">INDEX(Items!$E$5:$E$62,MATCH($E167,Items!$A$5:$A$62,0))</f>
        <v>pair</v>
      </c>
      <c r="N167" s="6" t="n">
        <f aca="false">ROUND($L167/INDEX(Items!$F$5:$F$62,MATCH($E167,Items!$A$5:$A$62,0)),4)</f>
        <v>1</v>
      </c>
      <c r="O167" s="6"/>
    </row>
    <row r="168" customFormat="false" ht="15" hidden="false" customHeight="false" outlineLevel="0" collapsed="false">
      <c r="A168" s="6" t="n">
        <v>19</v>
      </c>
      <c r="B168" s="6" t="s">
        <v>292</v>
      </c>
      <c r="C168" s="6" t="s">
        <v>278</v>
      </c>
      <c r="D168" s="6" t="s">
        <v>159</v>
      </c>
      <c r="E168" s="6" t="s">
        <v>88</v>
      </c>
      <c r="F168" s="6" t="str">
        <f aca="false">INDEX(Items!$B$5:$B$62,MATCH($E168,Items!$A$5:$A$62,0))</f>
        <v>DISPOSABLES &amp; CLINIC CONSUMABLES</v>
      </c>
      <c r="G168" s="6" t="str">
        <f aca="false">INDEX(Items!$C$5:$C$62,MATCH($E168,Items!$A$5:$A$62,0))</f>
        <v>Bulk</v>
      </c>
      <c r="H168" s="6" t="s">
        <v>161</v>
      </c>
      <c r="I168" s="6" t="s">
        <v>160</v>
      </c>
      <c r="J168" s="6" t="n">
        <f aca="false">SUMIFS(Kits!$C$5:$C$163,Kits!$A$5:$A$163,$D168,Kits!$B$5:$B$163,$E168)</f>
        <v>5</v>
      </c>
      <c r="K168" s="6" t="n">
        <f aca="false">INDEX(Services!$F$5:$F$85,MATCH($A168,Services!$A$5:$A$85,0))</f>
        <v>2</v>
      </c>
      <c r="L168" s="6" t="n">
        <f aca="false">IF($H168="Auto-deduct",IF($G168="Countable",ROUNDUP($J168*IF($I168="Y",$K168,1),0),ROUND($J168*IF($I168="Y",$K168,1),1)),$J168)</f>
        <v>5</v>
      </c>
      <c r="M168" s="6" t="str">
        <f aca="false">INDEX(Items!$E$5:$E$62,MATCH($E168,Items!$A$5:$A$62,0))</f>
        <v>mL</v>
      </c>
      <c r="N168" s="6" t="n">
        <f aca="false">ROUND($L168/INDEX(Items!$F$5:$F$62,MATCH($E168,Items!$A$5:$A$62,0)),4)</f>
        <v>0.01</v>
      </c>
      <c r="O168" s="6"/>
    </row>
    <row r="169" customFormat="false" ht="15" hidden="false" customHeight="false" outlineLevel="0" collapsed="false">
      <c r="A169" s="6" t="n">
        <v>19</v>
      </c>
      <c r="B169" s="6" t="s">
        <v>292</v>
      </c>
      <c r="C169" s="6" t="s">
        <v>278</v>
      </c>
      <c r="D169" s="6" t="s">
        <v>193</v>
      </c>
      <c r="E169" s="6" t="s">
        <v>147</v>
      </c>
      <c r="F169" s="6" t="str">
        <f aca="false">INDEX(Items!$B$5:$B$62,MATCH($E169,Items!$A$5:$A$62,0))</f>
        <v>TOOLS / EQUIPMENT / MISC</v>
      </c>
      <c r="G169" s="6" t="str">
        <f aca="false">INDEX(Items!$C$5:$C$62,MATCH($E169,Items!$A$5:$A$62,0))</f>
        <v>Countable</v>
      </c>
      <c r="H169" s="6" t="s">
        <v>161</v>
      </c>
      <c r="I169" s="6" t="s">
        <v>160</v>
      </c>
      <c r="J169" s="6" t="n">
        <f aca="false">SUMIFS(Kits!$C$5:$C$163,Kits!$A$5:$A$163,$D169,Kits!$B$5:$B$163,$E169)</f>
        <v>1</v>
      </c>
      <c r="K169" s="6" t="n">
        <f aca="false">INDEX(Services!$F$5:$F$85,MATCH($A169,Services!$A$5:$A$85,0))</f>
        <v>2</v>
      </c>
      <c r="L169" s="6" t="n">
        <f aca="false">IF($H169="Auto-deduct",IF($G169="Countable",ROUNDUP($J169*IF($I169="Y",$K169,1),0),ROUND($J169*IF($I169="Y",$K169,1),1)),$J169)</f>
        <v>1</v>
      </c>
      <c r="M169" s="6" t="str">
        <f aca="false">INDEX(Items!$E$5:$E$62,MATCH($E169,Items!$A$5:$A$62,0))</f>
        <v>pc</v>
      </c>
      <c r="N169" s="6" t="n">
        <f aca="false">ROUND($L169/INDEX(Items!$F$5:$F$62,MATCH($E169,Items!$A$5:$A$62,0)),4)</f>
        <v>1</v>
      </c>
      <c r="O169" s="6"/>
    </row>
    <row r="170" customFormat="false" ht="15" hidden="false" customHeight="false" outlineLevel="0" collapsed="false">
      <c r="A170" s="6" t="n">
        <v>19</v>
      </c>
      <c r="B170" s="6" t="s">
        <v>292</v>
      </c>
      <c r="C170" s="6" t="s">
        <v>278</v>
      </c>
      <c r="D170" s="6" t="s">
        <v>193</v>
      </c>
      <c r="E170" s="6" t="s">
        <v>114</v>
      </c>
      <c r="F170" s="6" t="str">
        <f aca="false">INDEX(Items!$B$5:$B$62,MATCH($E170,Items!$A$5:$A$62,0))</f>
        <v>FACIAL TREATMENT PRODUCTS (PROFESSIONAL USE)</v>
      </c>
      <c r="G170" s="6" t="str">
        <f aca="false">INDEX(Items!$C$5:$C$62,MATCH($E170,Items!$A$5:$A$62,0))</f>
        <v>Bulk</v>
      </c>
      <c r="H170" s="6" t="s">
        <v>161</v>
      </c>
      <c r="I170" s="6" t="s">
        <v>191</v>
      </c>
      <c r="J170" s="6" t="n">
        <f aca="false">SUMIFS(Kits!$C$5:$C$163,Kits!$A$5:$A$163,$D170,Kits!$B$5:$B$163,$E170)</f>
        <v>15</v>
      </c>
      <c r="K170" s="6" t="n">
        <f aca="false">INDEX(Services!$F$5:$F$85,MATCH($A170,Services!$A$5:$A$85,0))</f>
        <v>2</v>
      </c>
      <c r="L170" s="6" t="n">
        <f aca="false">IF($H170="Auto-deduct",IF($G170="Countable",ROUNDUP($J170*IF($I170="Y",$K170,1),0),ROUND($J170*IF($I170="Y",$K170,1),1)),$J170)</f>
        <v>30</v>
      </c>
      <c r="M170" s="6" t="str">
        <f aca="false">INDEX(Items!$E$5:$E$62,MATCH($E170,Items!$A$5:$A$62,0))</f>
        <v>mL</v>
      </c>
      <c r="N170" s="6" t="n">
        <f aca="false">ROUND($L170/INDEX(Items!$F$5:$F$62,MATCH($E170,Items!$A$5:$A$62,0)),4)</f>
        <v>0.03</v>
      </c>
      <c r="O170" s="6"/>
    </row>
    <row r="171" customFormat="false" ht="15" hidden="false" customHeight="false" outlineLevel="0" collapsed="false">
      <c r="A171" s="6" t="n">
        <v>19</v>
      </c>
      <c r="B171" s="6" t="s">
        <v>292</v>
      </c>
      <c r="C171" s="6" t="s">
        <v>278</v>
      </c>
      <c r="D171" s="6" t="s">
        <v>193</v>
      </c>
      <c r="E171" s="6" t="s">
        <v>86</v>
      </c>
      <c r="F171" s="6" t="str">
        <f aca="false">INDEX(Items!$B$5:$B$62,MATCH($E171,Items!$A$5:$A$62,0))</f>
        <v>DISPOSABLES &amp; CLINIC CONSUMABLES</v>
      </c>
      <c r="G171" s="6" t="str">
        <f aca="false">INDEX(Items!$C$5:$C$62,MATCH($E171,Items!$A$5:$A$62,0))</f>
        <v>Bulk</v>
      </c>
      <c r="H171" s="6" t="s">
        <v>161</v>
      </c>
      <c r="I171" s="6" t="s">
        <v>160</v>
      </c>
      <c r="J171" s="6" t="n">
        <f aca="false">SUMIFS(Kits!$C$5:$C$163,Kits!$A$5:$A$163,$D171,Kits!$B$5:$B$163,$E171)</f>
        <v>3</v>
      </c>
      <c r="K171" s="6" t="n">
        <f aca="false">INDEX(Services!$F$5:$F$85,MATCH($A171,Services!$A$5:$A$85,0))</f>
        <v>2</v>
      </c>
      <c r="L171" s="6" t="n">
        <f aca="false">IF($H171="Auto-deduct",IF($G171="Countable",ROUNDUP($J171*IF($I171="Y",$K171,1),0),ROUND($J171*IF($I171="Y",$K171,1),1)),$J171)</f>
        <v>3</v>
      </c>
      <c r="M171" s="6" t="str">
        <f aca="false">INDEX(Items!$E$5:$E$62,MATCH($E171,Items!$A$5:$A$62,0))</f>
        <v>pc</v>
      </c>
      <c r="N171" s="6" t="n">
        <f aca="false">ROUND($L171/INDEX(Items!$F$5:$F$62,MATCH($E171,Items!$A$5:$A$62,0)),4)</f>
        <v>0.0375</v>
      </c>
      <c r="O171" s="6"/>
    </row>
    <row r="172" customFormat="false" ht="15" hidden="false" customHeight="false" outlineLevel="0" collapsed="false">
      <c r="A172" s="6" t="n">
        <v>19</v>
      </c>
      <c r="B172" s="6" t="s">
        <v>292</v>
      </c>
      <c r="C172" s="6" t="s">
        <v>278</v>
      </c>
      <c r="D172" s="6" t="s">
        <v>193</v>
      </c>
      <c r="E172" s="6" t="s">
        <v>58</v>
      </c>
      <c r="F172" s="6" t="str">
        <f aca="false">INDEX(Items!$B$5:$B$62,MATCH($E172,Items!$A$5:$A$62,0))</f>
        <v>DISPOSABLES &amp; CLINIC CONSUMABLES</v>
      </c>
      <c r="G172" s="6" t="str">
        <f aca="false">INDEX(Items!$C$5:$C$62,MATCH($E172,Items!$A$5:$A$62,0))</f>
        <v>Bulk</v>
      </c>
      <c r="H172" s="6" t="s">
        <v>161</v>
      </c>
      <c r="I172" s="6" t="s">
        <v>160</v>
      </c>
      <c r="J172" s="6" t="n">
        <f aca="false">SUMIFS(Kits!$C$5:$C$163,Kits!$A$5:$A$163,$D172,Kits!$B$5:$B$163,$E172)</f>
        <v>4</v>
      </c>
      <c r="K172" s="6" t="n">
        <f aca="false">INDEX(Services!$F$5:$F$85,MATCH($A172,Services!$A$5:$A$85,0))</f>
        <v>2</v>
      </c>
      <c r="L172" s="6" t="n">
        <f aca="false">IF($H172="Auto-deduct",IF($G172="Countable",ROUNDUP($J172*IF($I172="Y",$K172,1),0),ROUND($J172*IF($I172="Y",$K172,1),1)),$J172)</f>
        <v>4</v>
      </c>
      <c r="M172" s="6" t="str">
        <f aca="false">INDEX(Items!$E$5:$E$62,MATCH($E172,Items!$A$5:$A$62,0))</f>
        <v>sheet</v>
      </c>
      <c r="N172" s="6" t="n">
        <f aca="false">ROUND($L172/INDEX(Items!$F$5:$F$62,MATCH($E172,Items!$A$5:$A$62,0)),4)</f>
        <v>0.02</v>
      </c>
      <c r="O172" s="6"/>
    </row>
    <row r="173" customFormat="false" ht="15" hidden="false" customHeight="false" outlineLevel="0" collapsed="false">
      <c r="A173" s="6" t="n">
        <v>19</v>
      </c>
      <c r="B173" s="6" t="s">
        <v>292</v>
      </c>
      <c r="C173" s="6" t="s">
        <v>278</v>
      </c>
      <c r="D173" s="6" t="s">
        <v>193</v>
      </c>
      <c r="E173" s="6" t="s">
        <v>135</v>
      </c>
      <c r="F173" s="6" t="str">
        <f aca="false">INDEX(Items!$B$5:$B$62,MATCH($E173,Items!$A$5:$A$62,0))</f>
        <v>SKINCARE PRODUCTS (RETAIL / AFTERCARE)</v>
      </c>
      <c r="G173" s="6" t="str">
        <f aca="false">INDEX(Items!$C$5:$C$62,MATCH($E173,Items!$A$5:$A$62,0))</f>
        <v>Bulk</v>
      </c>
      <c r="H173" s="6" t="s">
        <v>161</v>
      </c>
      <c r="I173" s="6" t="s">
        <v>191</v>
      </c>
      <c r="J173" s="6" t="n">
        <f aca="false">SUMIFS(Kits!$C$5:$C$163,Kits!$A$5:$A$163,$D173,Kits!$B$5:$B$163,$E173)</f>
        <v>3</v>
      </c>
      <c r="K173" s="6" t="n">
        <f aca="false">INDEX(Services!$F$5:$F$85,MATCH($A173,Services!$A$5:$A$85,0))</f>
        <v>2</v>
      </c>
      <c r="L173" s="6" t="n">
        <f aca="false">IF($H173="Auto-deduct",IF($G173="Countable",ROUNDUP($J173*IF($I173="Y",$K173,1),0),ROUND($J173*IF($I173="Y",$K173,1),1)),$J173)</f>
        <v>6</v>
      </c>
      <c r="M173" s="6" t="str">
        <f aca="false">INDEX(Items!$E$5:$E$62,MATCH($E173,Items!$A$5:$A$62,0))</f>
        <v>g</v>
      </c>
      <c r="N173" s="6" t="n">
        <f aca="false">ROUND($L173/INDEX(Items!$F$5:$F$62,MATCH($E173,Items!$A$5:$A$62,0)),4)</f>
        <v>0.12</v>
      </c>
      <c r="O173" s="6"/>
    </row>
    <row r="174" customFormat="false" ht="15" hidden="false" customHeight="false" outlineLevel="0" collapsed="false">
      <c r="A174" s="6" t="n">
        <v>20</v>
      </c>
      <c r="B174" s="6" t="s">
        <v>294</v>
      </c>
      <c r="C174" s="6" t="s">
        <v>293</v>
      </c>
      <c r="D174" s="6" t="s">
        <v>159</v>
      </c>
      <c r="E174" s="6" t="s">
        <v>52</v>
      </c>
      <c r="F174" s="6" t="str">
        <f aca="false">INDEX(Items!$B$5:$B$62,MATCH($E174,Items!$A$5:$A$62,0))</f>
        <v>DISPOSABLES &amp; CLINIC CONSUMABLES</v>
      </c>
      <c r="G174" s="6" t="str">
        <f aca="false">INDEX(Items!$C$5:$C$62,MATCH($E174,Items!$A$5:$A$62,0))</f>
        <v>Countable</v>
      </c>
      <c r="H174" s="6" t="s">
        <v>161</v>
      </c>
      <c r="I174" s="6" t="s">
        <v>160</v>
      </c>
      <c r="J174" s="6" t="n">
        <f aca="false">SUMIFS(Kits!$C$5:$C$163,Kits!$A$5:$A$163,$D174,Kits!$B$5:$B$163,$E174)</f>
        <v>1</v>
      </c>
      <c r="K174" s="6" t="n">
        <f aca="false">INDEX(Services!$F$5:$F$85,MATCH($A174,Services!$A$5:$A$85,0))</f>
        <v>1</v>
      </c>
      <c r="L174" s="6" t="n">
        <f aca="false">IF($H174="Auto-deduct",IF($G174="Countable",ROUNDUP($J174*IF($I174="Y",$K174,1),0),ROUND($J174*IF($I174="Y",$K174,1),1)),$J174)</f>
        <v>1</v>
      </c>
      <c r="M174" s="6" t="str">
        <f aca="false">INDEX(Items!$E$5:$E$62,MATCH($E174,Items!$A$5:$A$62,0))</f>
        <v>pc</v>
      </c>
      <c r="N174" s="6" t="n">
        <f aca="false">ROUND($L174/INDEX(Items!$F$5:$F$62,MATCH($E174,Items!$A$5:$A$62,0)),4)</f>
        <v>1</v>
      </c>
      <c r="O174" s="6"/>
    </row>
    <row r="175" customFormat="false" ht="15" hidden="false" customHeight="false" outlineLevel="0" collapsed="false">
      <c r="A175" s="6" t="n">
        <v>20</v>
      </c>
      <c r="B175" s="6" t="s">
        <v>294</v>
      </c>
      <c r="C175" s="6" t="s">
        <v>293</v>
      </c>
      <c r="D175" s="6" t="s">
        <v>159</v>
      </c>
      <c r="E175" s="6" t="s">
        <v>53</v>
      </c>
      <c r="F175" s="6" t="str">
        <f aca="false">INDEX(Items!$B$5:$B$62,MATCH($E175,Items!$A$5:$A$62,0))</f>
        <v>DISPOSABLES &amp; CLINIC CONSUMABLES</v>
      </c>
      <c r="G175" s="6" t="str">
        <f aca="false">INDEX(Items!$C$5:$C$62,MATCH($E175,Items!$A$5:$A$62,0))</f>
        <v>Countable</v>
      </c>
      <c r="H175" s="6" t="s">
        <v>161</v>
      </c>
      <c r="I175" s="6" t="s">
        <v>160</v>
      </c>
      <c r="J175" s="6" t="n">
        <f aca="false">SUMIFS(Kits!$C$5:$C$163,Kits!$A$5:$A$163,$D175,Kits!$B$5:$B$163,$E175)</f>
        <v>1</v>
      </c>
      <c r="K175" s="6" t="n">
        <f aca="false">INDEX(Services!$F$5:$F$85,MATCH($A175,Services!$A$5:$A$85,0))</f>
        <v>1</v>
      </c>
      <c r="L175" s="6" t="n">
        <f aca="false">IF($H175="Auto-deduct",IF($G175="Countable",ROUNDUP($J175*IF($I175="Y",$K175,1),0),ROUND($J175*IF($I175="Y",$K175,1),1)),$J175)</f>
        <v>1</v>
      </c>
      <c r="M175" s="6" t="str">
        <f aca="false">INDEX(Items!$E$5:$E$62,MATCH($E175,Items!$A$5:$A$62,0))</f>
        <v>pair</v>
      </c>
      <c r="N175" s="6" t="n">
        <f aca="false">ROUND($L175/INDEX(Items!$F$5:$F$62,MATCH($E175,Items!$A$5:$A$62,0)),4)</f>
        <v>1</v>
      </c>
      <c r="O175" s="6"/>
    </row>
    <row r="176" customFormat="false" ht="15" hidden="false" customHeight="false" outlineLevel="0" collapsed="false">
      <c r="A176" s="6" t="n">
        <v>20</v>
      </c>
      <c r="B176" s="6" t="s">
        <v>294</v>
      </c>
      <c r="C176" s="6" t="s">
        <v>293</v>
      </c>
      <c r="D176" s="6" t="s">
        <v>159</v>
      </c>
      <c r="E176" s="6" t="s">
        <v>88</v>
      </c>
      <c r="F176" s="6" t="str">
        <f aca="false">INDEX(Items!$B$5:$B$62,MATCH($E176,Items!$A$5:$A$62,0))</f>
        <v>DISPOSABLES &amp; CLINIC CONSUMABLES</v>
      </c>
      <c r="G176" s="6" t="str">
        <f aca="false">INDEX(Items!$C$5:$C$62,MATCH($E176,Items!$A$5:$A$62,0))</f>
        <v>Bulk</v>
      </c>
      <c r="H176" s="6" t="s">
        <v>161</v>
      </c>
      <c r="I176" s="6" t="s">
        <v>160</v>
      </c>
      <c r="J176" s="6" t="n">
        <f aca="false">SUMIFS(Kits!$C$5:$C$163,Kits!$A$5:$A$163,$D176,Kits!$B$5:$B$163,$E176)</f>
        <v>5</v>
      </c>
      <c r="K176" s="6" t="n">
        <f aca="false">INDEX(Services!$F$5:$F$85,MATCH($A176,Services!$A$5:$A$85,0))</f>
        <v>1</v>
      </c>
      <c r="L176" s="6" t="n">
        <f aca="false">IF($H176="Auto-deduct",IF($G176="Countable",ROUNDUP($J176*IF($I176="Y",$K176,1),0),ROUND($J176*IF($I176="Y",$K176,1),1)),$J176)</f>
        <v>5</v>
      </c>
      <c r="M176" s="6" t="str">
        <f aca="false">INDEX(Items!$E$5:$E$62,MATCH($E176,Items!$A$5:$A$62,0))</f>
        <v>mL</v>
      </c>
      <c r="N176" s="6" t="n">
        <f aca="false">ROUND($L176/INDEX(Items!$F$5:$F$62,MATCH($E176,Items!$A$5:$A$62,0)),4)</f>
        <v>0.01</v>
      </c>
      <c r="O176" s="6"/>
    </row>
    <row r="177" customFormat="false" ht="15" hidden="false" customHeight="false" outlineLevel="0" collapsed="false">
      <c r="A177" s="6" t="n">
        <v>20</v>
      </c>
      <c r="B177" s="6" t="s">
        <v>294</v>
      </c>
      <c r="C177" s="6" t="s">
        <v>293</v>
      </c>
      <c r="D177" s="6" t="s">
        <v>163</v>
      </c>
      <c r="E177" s="6" t="s">
        <v>50</v>
      </c>
      <c r="F177" s="6" t="str">
        <f aca="false">INDEX(Items!$B$5:$B$62,MATCH($E177,Items!$A$5:$A$62,0))</f>
        <v>DISPOSABLES &amp; CLINIC CONSUMABLES</v>
      </c>
      <c r="G177" s="6" t="str">
        <f aca="false">INDEX(Items!$C$5:$C$62,MATCH($E177,Items!$A$5:$A$62,0))</f>
        <v>Countable</v>
      </c>
      <c r="H177" s="6" t="s">
        <v>161</v>
      </c>
      <c r="I177" s="6" t="s">
        <v>160</v>
      </c>
      <c r="J177" s="6" t="n">
        <f aca="false">SUMIFS(Kits!$C$5:$C$163,Kits!$A$5:$A$163,$D177,Kits!$B$5:$B$163,$E177)</f>
        <v>1</v>
      </c>
      <c r="K177" s="6" t="n">
        <f aca="false">INDEX(Services!$F$5:$F$85,MATCH($A177,Services!$A$5:$A$85,0))</f>
        <v>1</v>
      </c>
      <c r="L177" s="6" t="n">
        <f aca="false">IF($H177="Auto-deduct",IF($G177="Countable",ROUNDUP($J177*IF($I177="Y",$K177,1),0),ROUND($J177*IF($I177="Y",$K177,1),1)),$J177)</f>
        <v>1</v>
      </c>
      <c r="M177" s="6" t="str">
        <f aca="false">INDEX(Items!$E$5:$E$62,MATCH($E177,Items!$A$5:$A$62,0))</f>
        <v>pc</v>
      </c>
      <c r="N177" s="6" t="n">
        <f aca="false">ROUND($L177/INDEX(Items!$F$5:$F$62,MATCH($E177,Items!$A$5:$A$62,0)),4)</f>
        <v>1</v>
      </c>
      <c r="O177" s="6"/>
    </row>
    <row r="178" customFormat="false" ht="15" hidden="false" customHeight="false" outlineLevel="0" collapsed="false">
      <c r="A178" s="6" t="n">
        <v>20</v>
      </c>
      <c r="B178" s="6" t="s">
        <v>294</v>
      </c>
      <c r="C178" s="6" t="s">
        <v>293</v>
      </c>
      <c r="D178" s="6" t="s">
        <v>203</v>
      </c>
      <c r="E178" s="6" t="s">
        <v>150</v>
      </c>
      <c r="F178" s="6" t="str">
        <f aca="false">INDEX(Items!$B$5:$B$62,MATCH($E178,Items!$A$5:$A$62,0))</f>
        <v>TOOLS / EQUIPMENT / MISC</v>
      </c>
      <c r="G178" s="6" t="str">
        <f aca="false">INDEX(Items!$C$5:$C$62,MATCH($E178,Items!$A$5:$A$62,0))</f>
        <v>Bulk</v>
      </c>
      <c r="H178" s="6" t="s">
        <v>161</v>
      </c>
      <c r="I178" s="6" t="s">
        <v>160</v>
      </c>
      <c r="J178" s="6" t="n">
        <f aca="false">SUMIFS(Kits!$C$5:$C$163,Kits!$A$5:$A$163,$D178,Kits!$B$5:$B$163,$E178)</f>
        <v>3</v>
      </c>
      <c r="K178" s="6" t="n">
        <f aca="false">INDEX(Services!$F$5:$F$85,MATCH($A178,Services!$A$5:$A$85,0))</f>
        <v>1</v>
      </c>
      <c r="L178" s="6" t="n">
        <f aca="false">IF($H178="Auto-deduct",IF($G178="Countable",ROUNDUP($J178*IF($I178="Y",$K178,1),0),ROUND($J178*IF($I178="Y",$K178,1),1)),$J178)</f>
        <v>3</v>
      </c>
      <c r="M178" s="6" t="str">
        <f aca="false">INDEX(Items!$E$5:$E$62,MATCH($E178,Items!$A$5:$A$62,0))</f>
        <v>g</v>
      </c>
      <c r="N178" s="6" t="n">
        <f aca="false">ROUND($L178/INDEX(Items!$F$5:$F$62,MATCH($E178,Items!$A$5:$A$62,0)),4)</f>
        <v>0.1</v>
      </c>
      <c r="O178" s="6"/>
    </row>
    <row r="179" customFormat="false" ht="15" hidden="false" customHeight="false" outlineLevel="0" collapsed="false">
      <c r="A179" s="6" t="n">
        <v>20</v>
      </c>
      <c r="B179" s="6" t="s">
        <v>294</v>
      </c>
      <c r="C179" s="6" t="s">
        <v>293</v>
      </c>
      <c r="D179" s="6" t="s">
        <v>203</v>
      </c>
      <c r="E179" s="6" t="s">
        <v>79</v>
      </c>
      <c r="F179" s="6" t="str">
        <f aca="false">INDEX(Items!$B$5:$B$62,MATCH($E179,Items!$A$5:$A$62,0))</f>
        <v>DISPOSABLES &amp; CLINIC CONSUMABLES</v>
      </c>
      <c r="G179" s="6" t="str">
        <f aca="false">INDEX(Items!$C$5:$C$62,MATCH($E179,Items!$A$5:$A$62,0))</f>
        <v>Bulk</v>
      </c>
      <c r="H179" s="6" t="s">
        <v>161</v>
      </c>
      <c r="I179" s="6" t="s">
        <v>160</v>
      </c>
      <c r="J179" s="6" t="n">
        <f aca="false">SUMIFS(Kits!$C$5:$C$163,Kits!$A$5:$A$163,$D179,Kits!$B$5:$B$163,$E179)</f>
        <v>20</v>
      </c>
      <c r="K179" s="6" t="n">
        <f aca="false">INDEX(Services!$F$5:$F$85,MATCH($A179,Services!$A$5:$A$85,0))</f>
        <v>1</v>
      </c>
      <c r="L179" s="6" t="n">
        <f aca="false">IF($H179="Auto-deduct",IF($G179="Countable",ROUNDUP($J179*IF($I179="Y",$K179,1),0),ROUND($J179*IF($I179="Y",$K179,1),1)),$J179)</f>
        <v>20</v>
      </c>
      <c r="M179" s="6" t="str">
        <f aca="false">INDEX(Items!$E$5:$E$62,MATCH($E179,Items!$A$5:$A$62,0))</f>
        <v>cm</v>
      </c>
      <c r="N179" s="6" t="n">
        <f aca="false">ROUND($L179/INDEX(Items!$F$5:$F$62,MATCH($E179,Items!$A$5:$A$62,0)),4)</f>
        <v>0.0067</v>
      </c>
      <c r="O179" s="6"/>
    </row>
    <row r="180" customFormat="false" ht="15" hidden="false" customHeight="false" outlineLevel="0" collapsed="false">
      <c r="A180" s="6" t="n">
        <v>20</v>
      </c>
      <c r="B180" s="6" t="s">
        <v>294</v>
      </c>
      <c r="C180" s="6" t="s">
        <v>293</v>
      </c>
      <c r="D180" s="6" t="s">
        <v>203</v>
      </c>
      <c r="E180" s="6" t="s">
        <v>84</v>
      </c>
      <c r="F180" s="6" t="str">
        <f aca="false">INDEX(Items!$B$5:$B$62,MATCH($E180,Items!$A$5:$A$62,0))</f>
        <v>DISPOSABLES &amp; CLINIC CONSUMABLES</v>
      </c>
      <c r="G180" s="6" t="str">
        <f aca="false">INDEX(Items!$C$5:$C$62,MATCH($E180,Items!$A$5:$A$62,0))</f>
        <v>Countable</v>
      </c>
      <c r="H180" s="6" t="s">
        <v>161</v>
      </c>
      <c r="I180" s="6" t="s">
        <v>160</v>
      </c>
      <c r="J180" s="6" t="n">
        <f aca="false">SUMIFS(Kits!$C$5:$C$163,Kits!$A$5:$A$163,$D180,Kits!$B$5:$B$163,$E180)</f>
        <v>3</v>
      </c>
      <c r="K180" s="6" t="n">
        <f aca="false">INDEX(Services!$F$5:$F$85,MATCH($A180,Services!$A$5:$A$85,0))</f>
        <v>1</v>
      </c>
      <c r="L180" s="6" t="n">
        <f aca="false">IF($H180="Auto-deduct",IF($G180="Countable",ROUNDUP($J180*IF($I180="Y",$K180,1),0),ROUND($J180*IF($I180="Y",$K180,1),1)),$J180)</f>
        <v>3</v>
      </c>
      <c r="M180" s="6" t="str">
        <f aca="false">INDEX(Items!$E$5:$E$62,MATCH($E180,Items!$A$5:$A$62,0))</f>
        <v>pc</v>
      </c>
      <c r="N180" s="6" t="n">
        <f aca="false">ROUND($L180/INDEX(Items!$F$5:$F$62,MATCH($E180,Items!$A$5:$A$62,0)),4)</f>
        <v>3</v>
      </c>
      <c r="O180" s="6"/>
    </row>
    <row r="181" customFormat="false" ht="15" hidden="false" customHeight="false" outlineLevel="0" collapsed="false">
      <c r="A181" s="6" t="n">
        <v>20</v>
      </c>
      <c r="B181" s="6" t="s">
        <v>294</v>
      </c>
      <c r="C181" s="6" t="s">
        <v>293</v>
      </c>
      <c r="D181" s="6" t="s">
        <v>203</v>
      </c>
      <c r="E181" s="6" t="s">
        <v>72</v>
      </c>
      <c r="F181" s="6" t="str">
        <f aca="false">INDEX(Items!$B$5:$B$62,MATCH($E181,Items!$A$5:$A$62,0))</f>
        <v>DISPOSABLES &amp; CLINIC CONSUMABLES</v>
      </c>
      <c r="G181" s="6" t="str">
        <f aca="false">INDEX(Items!$C$5:$C$62,MATCH($E181,Items!$A$5:$A$62,0))</f>
        <v>Bulk</v>
      </c>
      <c r="H181" s="6" t="s">
        <v>161</v>
      </c>
      <c r="I181" s="6" t="s">
        <v>160</v>
      </c>
      <c r="J181" s="6" t="n">
        <f aca="false">SUMIFS(Kits!$C$5:$C$163,Kits!$A$5:$A$163,$D181,Kits!$B$5:$B$163,$E181)</f>
        <v>4</v>
      </c>
      <c r="K181" s="6" t="n">
        <f aca="false">INDEX(Services!$F$5:$F$85,MATCH($A181,Services!$A$5:$A$85,0))</f>
        <v>1</v>
      </c>
      <c r="L181" s="6" t="n">
        <f aca="false">IF($H181="Auto-deduct",IF($G181="Countable",ROUNDUP($J181*IF($I181="Y",$K181,1),0),ROUND($J181*IF($I181="Y",$K181,1),1)),$J181)</f>
        <v>4</v>
      </c>
      <c r="M181" s="6" t="str">
        <f aca="false">INDEX(Items!$E$5:$E$62,MATCH($E181,Items!$A$5:$A$62,0))</f>
        <v>pc</v>
      </c>
      <c r="N181" s="6" t="n">
        <f aca="false">ROUND($L181/INDEX(Items!$F$5:$F$62,MATCH($E181,Items!$A$5:$A$62,0)),4)</f>
        <v>0.04</v>
      </c>
      <c r="O181" s="6"/>
    </row>
    <row r="182" customFormat="false" ht="15" hidden="false" customHeight="false" outlineLevel="0" collapsed="false">
      <c r="A182" s="6" t="n">
        <v>20</v>
      </c>
      <c r="B182" s="6" t="s">
        <v>294</v>
      </c>
      <c r="C182" s="6" t="s">
        <v>293</v>
      </c>
      <c r="D182" s="6" t="s">
        <v>203</v>
      </c>
      <c r="E182" s="6" t="s">
        <v>81</v>
      </c>
      <c r="F182" s="6" t="str">
        <f aca="false">INDEX(Items!$B$5:$B$62,MATCH($E182,Items!$A$5:$A$62,0))</f>
        <v>DISPOSABLES &amp; CLINIC CONSUMABLES</v>
      </c>
      <c r="G182" s="6" t="str">
        <f aca="false">INDEX(Items!$C$5:$C$62,MATCH($E182,Items!$A$5:$A$62,0))</f>
        <v>Bulk</v>
      </c>
      <c r="H182" s="6" t="s">
        <v>161</v>
      </c>
      <c r="I182" s="6" t="s">
        <v>160</v>
      </c>
      <c r="J182" s="6" t="n">
        <f aca="false">SUMIFS(Kits!$C$5:$C$163,Kits!$A$5:$A$163,$D182,Kits!$B$5:$B$163,$E182)</f>
        <v>2</v>
      </c>
      <c r="K182" s="6" t="n">
        <f aca="false">INDEX(Services!$F$5:$F$85,MATCH($A182,Services!$A$5:$A$85,0))</f>
        <v>1</v>
      </c>
      <c r="L182" s="6" t="n">
        <f aca="false">IF($H182="Auto-deduct",IF($G182="Countable",ROUNDUP($J182*IF($I182="Y",$K182,1),0),ROUND($J182*IF($I182="Y",$K182,1),1)),$J182)</f>
        <v>2</v>
      </c>
      <c r="M182" s="6" t="str">
        <f aca="false">INDEX(Items!$E$5:$E$62,MATCH($E182,Items!$A$5:$A$62,0))</f>
        <v>pc</v>
      </c>
      <c r="N182" s="6" t="n">
        <f aca="false">ROUND($L182/INDEX(Items!$F$5:$F$62,MATCH($E182,Items!$A$5:$A$62,0)),4)</f>
        <v>0.02</v>
      </c>
      <c r="O182" s="6"/>
    </row>
    <row r="183" customFormat="false" ht="15" hidden="false" customHeight="false" outlineLevel="0" collapsed="false">
      <c r="A183" s="6" t="n">
        <v>20</v>
      </c>
      <c r="B183" s="6" t="s">
        <v>294</v>
      </c>
      <c r="C183" s="6" t="s">
        <v>293</v>
      </c>
      <c r="D183" s="6" t="s">
        <v>203</v>
      </c>
      <c r="E183" s="6" t="s">
        <v>125</v>
      </c>
      <c r="F183" s="6" t="str">
        <f aca="false">INDEX(Items!$B$5:$B$62,MATCH($E183,Items!$A$5:$A$62,0))</f>
        <v>SKINCARE PRODUCTS (RETAIL / AFTERCARE)</v>
      </c>
      <c r="G183" s="6" t="str">
        <f aca="false">INDEX(Items!$C$5:$C$62,MATCH($E183,Items!$A$5:$A$62,0))</f>
        <v>Countable</v>
      </c>
      <c r="H183" s="6" t="s">
        <v>185</v>
      </c>
      <c r="I183" s="6" t="s">
        <v>160</v>
      </c>
      <c r="J183" s="6" t="n">
        <f aca="false">SUMIFS(Kits!$C$5:$C$163,Kits!$A$5:$A$163,$D183,Kits!$B$5:$B$163,$E183)</f>
        <v>1</v>
      </c>
      <c r="K183" s="6" t="n">
        <f aca="false">INDEX(Services!$F$5:$F$85,MATCH($A183,Services!$A$5:$A$85,0))</f>
        <v>1</v>
      </c>
      <c r="L183" s="6" t="n">
        <f aca="false">IF($H183="Auto-deduct",IF($G183="Countable",ROUNDUP($J183*IF($I183="Y",$K183,1),0),ROUND($J183*IF($I183="Y",$K183,1),1)),$J183)</f>
        <v>1</v>
      </c>
      <c r="M183" s="6" t="str">
        <f aca="false">INDEX(Items!$E$5:$E$62,MATCH($E183,Items!$A$5:$A$62,0))</f>
        <v>bottle</v>
      </c>
      <c r="N183" s="6" t="n">
        <f aca="false">ROUND($L183/INDEX(Items!$F$5:$F$62,MATCH($E183,Items!$A$5:$A$62,0)),4)</f>
        <v>1</v>
      </c>
      <c r="O183" s="6"/>
    </row>
    <row r="184" customFormat="false" ht="15" hidden="false" customHeight="false" outlineLevel="0" collapsed="false">
      <c r="A184" s="6" t="n">
        <v>21</v>
      </c>
      <c r="B184" s="6" t="s">
        <v>298</v>
      </c>
      <c r="C184" s="6" t="s">
        <v>297</v>
      </c>
      <c r="D184" s="6" t="s">
        <v>159</v>
      </c>
      <c r="E184" s="6" t="s">
        <v>52</v>
      </c>
      <c r="F184" s="6" t="str">
        <f aca="false">INDEX(Items!$B$5:$B$62,MATCH($E184,Items!$A$5:$A$62,0))</f>
        <v>DISPOSABLES &amp; CLINIC CONSUMABLES</v>
      </c>
      <c r="G184" s="6" t="str">
        <f aca="false">INDEX(Items!$C$5:$C$62,MATCH($E184,Items!$A$5:$A$62,0))</f>
        <v>Countable</v>
      </c>
      <c r="H184" s="6" t="s">
        <v>161</v>
      </c>
      <c r="I184" s="6" t="s">
        <v>160</v>
      </c>
      <c r="J184" s="6" t="n">
        <f aca="false">SUMIFS(Kits!$C$5:$C$163,Kits!$A$5:$A$163,$D184,Kits!$B$5:$B$163,$E184)</f>
        <v>1</v>
      </c>
      <c r="K184" s="6" t="n">
        <f aca="false">INDEX(Services!$F$5:$F$85,MATCH($A184,Services!$A$5:$A$85,0))</f>
        <v>1</v>
      </c>
      <c r="L184" s="6" t="n">
        <f aca="false">IF($H184="Auto-deduct",IF($G184="Countable",ROUNDUP($J184*IF($I184="Y",$K184,1),0),ROUND($J184*IF($I184="Y",$K184,1),1)),$J184)</f>
        <v>1</v>
      </c>
      <c r="M184" s="6" t="str">
        <f aca="false">INDEX(Items!$E$5:$E$62,MATCH($E184,Items!$A$5:$A$62,0))</f>
        <v>pc</v>
      </c>
      <c r="N184" s="6" t="n">
        <f aca="false">ROUND($L184/INDEX(Items!$F$5:$F$62,MATCH($E184,Items!$A$5:$A$62,0)),4)</f>
        <v>1</v>
      </c>
      <c r="O184" s="6"/>
    </row>
    <row r="185" customFormat="false" ht="15" hidden="false" customHeight="false" outlineLevel="0" collapsed="false">
      <c r="A185" s="6" t="n">
        <v>21</v>
      </c>
      <c r="B185" s="6" t="s">
        <v>298</v>
      </c>
      <c r="C185" s="6" t="s">
        <v>297</v>
      </c>
      <c r="D185" s="6" t="s">
        <v>159</v>
      </c>
      <c r="E185" s="6" t="s">
        <v>53</v>
      </c>
      <c r="F185" s="6" t="str">
        <f aca="false">INDEX(Items!$B$5:$B$62,MATCH($E185,Items!$A$5:$A$62,0))</f>
        <v>DISPOSABLES &amp; CLINIC CONSUMABLES</v>
      </c>
      <c r="G185" s="6" t="str">
        <f aca="false">INDEX(Items!$C$5:$C$62,MATCH($E185,Items!$A$5:$A$62,0))</f>
        <v>Countable</v>
      </c>
      <c r="H185" s="6" t="s">
        <v>161</v>
      </c>
      <c r="I185" s="6" t="s">
        <v>160</v>
      </c>
      <c r="J185" s="6" t="n">
        <f aca="false">SUMIFS(Kits!$C$5:$C$163,Kits!$A$5:$A$163,$D185,Kits!$B$5:$B$163,$E185)</f>
        <v>1</v>
      </c>
      <c r="K185" s="6" t="n">
        <f aca="false">INDEX(Services!$F$5:$F$85,MATCH($A185,Services!$A$5:$A$85,0))</f>
        <v>1</v>
      </c>
      <c r="L185" s="6" t="n">
        <f aca="false">IF($H185="Auto-deduct",IF($G185="Countable",ROUNDUP($J185*IF($I185="Y",$K185,1),0),ROUND($J185*IF($I185="Y",$K185,1),1)),$J185)</f>
        <v>1</v>
      </c>
      <c r="M185" s="6" t="str">
        <f aca="false">INDEX(Items!$E$5:$E$62,MATCH($E185,Items!$A$5:$A$62,0))</f>
        <v>pair</v>
      </c>
      <c r="N185" s="6" t="n">
        <f aca="false">ROUND($L185/INDEX(Items!$F$5:$F$62,MATCH($E185,Items!$A$5:$A$62,0)),4)</f>
        <v>1</v>
      </c>
      <c r="O185" s="6"/>
    </row>
    <row r="186" customFormat="false" ht="15" hidden="false" customHeight="false" outlineLevel="0" collapsed="false">
      <c r="A186" s="6" t="n">
        <v>21</v>
      </c>
      <c r="B186" s="6" t="s">
        <v>298</v>
      </c>
      <c r="C186" s="6" t="s">
        <v>297</v>
      </c>
      <c r="D186" s="6" t="s">
        <v>159</v>
      </c>
      <c r="E186" s="6" t="s">
        <v>88</v>
      </c>
      <c r="F186" s="6" t="str">
        <f aca="false">INDEX(Items!$B$5:$B$62,MATCH($E186,Items!$A$5:$A$62,0))</f>
        <v>DISPOSABLES &amp; CLINIC CONSUMABLES</v>
      </c>
      <c r="G186" s="6" t="str">
        <f aca="false">INDEX(Items!$C$5:$C$62,MATCH($E186,Items!$A$5:$A$62,0))</f>
        <v>Bulk</v>
      </c>
      <c r="H186" s="6" t="s">
        <v>161</v>
      </c>
      <c r="I186" s="6" t="s">
        <v>160</v>
      </c>
      <c r="J186" s="6" t="n">
        <f aca="false">SUMIFS(Kits!$C$5:$C$163,Kits!$A$5:$A$163,$D186,Kits!$B$5:$B$163,$E186)</f>
        <v>5</v>
      </c>
      <c r="K186" s="6" t="n">
        <f aca="false">INDEX(Services!$F$5:$F$85,MATCH($A186,Services!$A$5:$A$85,0))</f>
        <v>1</v>
      </c>
      <c r="L186" s="6" t="n">
        <f aca="false">IF($H186="Auto-deduct",IF($G186="Countable",ROUNDUP($J186*IF($I186="Y",$K186,1),0),ROUND($J186*IF($I186="Y",$K186,1),1)),$J186)</f>
        <v>5</v>
      </c>
      <c r="M186" s="6" t="str">
        <f aca="false">INDEX(Items!$E$5:$E$62,MATCH($E186,Items!$A$5:$A$62,0))</f>
        <v>mL</v>
      </c>
      <c r="N186" s="6" t="n">
        <f aca="false">ROUND($L186/INDEX(Items!$F$5:$F$62,MATCH($E186,Items!$A$5:$A$62,0)),4)</f>
        <v>0.01</v>
      </c>
      <c r="O186" s="6"/>
    </row>
    <row r="187" customFormat="false" ht="15" hidden="false" customHeight="false" outlineLevel="0" collapsed="false">
      <c r="A187" s="6" t="n">
        <v>21</v>
      </c>
      <c r="B187" s="6" t="s">
        <v>298</v>
      </c>
      <c r="C187" s="6" t="s">
        <v>297</v>
      </c>
      <c r="D187" s="6" t="s">
        <v>205</v>
      </c>
      <c r="E187" s="6" t="s">
        <v>79</v>
      </c>
      <c r="F187" s="6" t="str">
        <f aca="false">INDEX(Items!$B$5:$B$62,MATCH($E187,Items!$A$5:$A$62,0))</f>
        <v>DISPOSABLES &amp; CLINIC CONSUMABLES</v>
      </c>
      <c r="G187" s="6" t="str">
        <f aca="false">INDEX(Items!$C$5:$C$62,MATCH($E187,Items!$A$5:$A$62,0))</f>
        <v>Bulk</v>
      </c>
      <c r="H187" s="6" t="s">
        <v>161</v>
      </c>
      <c r="I187" s="6" t="s">
        <v>191</v>
      </c>
      <c r="J187" s="6" t="n">
        <f aca="false">SUMIFS(Kits!$C$5:$C$163,Kits!$A$5:$A$163,$D187,Kits!$B$5:$B$163,$E187)</f>
        <v>60</v>
      </c>
      <c r="K187" s="6" t="n">
        <f aca="false">INDEX(Services!$F$5:$F$85,MATCH($A187,Services!$A$5:$A$85,0))</f>
        <v>1</v>
      </c>
      <c r="L187" s="6" t="n">
        <f aca="false">IF($H187="Auto-deduct",IF($G187="Countable",ROUNDUP($J187*IF($I187="Y",$K187,1),0),ROUND($J187*IF($I187="Y",$K187,1),1)),$J187)</f>
        <v>60</v>
      </c>
      <c r="M187" s="6" t="str">
        <f aca="false">INDEX(Items!$E$5:$E$62,MATCH($E187,Items!$A$5:$A$62,0))</f>
        <v>cm</v>
      </c>
      <c r="N187" s="6" t="n">
        <f aca="false">ROUND($L187/INDEX(Items!$F$5:$F$62,MATCH($E187,Items!$A$5:$A$62,0)),4)</f>
        <v>0.02</v>
      </c>
      <c r="O187" s="6"/>
    </row>
    <row r="188" customFormat="false" ht="15" hidden="false" customHeight="false" outlineLevel="0" collapsed="false">
      <c r="A188" s="6" t="n">
        <v>21</v>
      </c>
      <c r="B188" s="6" t="s">
        <v>298</v>
      </c>
      <c r="C188" s="6" t="s">
        <v>297</v>
      </c>
      <c r="D188" s="6" t="s">
        <v>205</v>
      </c>
      <c r="E188" s="6" t="s">
        <v>86</v>
      </c>
      <c r="F188" s="6" t="str">
        <f aca="false">INDEX(Items!$B$5:$B$62,MATCH($E188,Items!$A$5:$A$62,0))</f>
        <v>DISPOSABLES &amp; CLINIC CONSUMABLES</v>
      </c>
      <c r="G188" s="6" t="str">
        <f aca="false">INDEX(Items!$C$5:$C$62,MATCH($E188,Items!$A$5:$A$62,0))</f>
        <v>Bulk</v>
      </c>
      <c r="H188" s="6" t="s">
        <v>161</v>
      </c>
      <c r="I188" s="6" t="s">
        <v>160</v>
      </c>
      <c r="J188" s="6" t="n">
        <f aca="false">SUMIFS(Kits!$C$5:$C$163,Kits!$A$5:$A$163,$D188,Kits!$B$5:$B$163,$E188)</f>
        <v>2</v>
      </c>
      <c r="K188" s="6" t="n">
        <f aca="false">INDEX(Services!$F$5:$F$85,MATCH($A188,Services!$A$5:$A$85,0))</f>
        <v>1</v>
      </c>
      <c r="L188" s="6" t="n">
        <f aca="false">IF($H188="Auto-deduct",IF($G188="Countable",ROUNDUP($J188*IF($I188="Y",$K188,1),0),ROUND($J188*IF($I188="Y",$K188,1),1)),$J188)</f>
        <v>2</v>
      </c>
      <c r="M188" s="6" t="str">
        <f aca="false">INDEX(Items!$E$5:$E$62,MATCH($E188,Items!$A$5:$A$62,0))</f>
        <v>pc</v>
      </c>
      <c r="N188" s="6" t="n">
        <f aca="false">ROUND($L188/INDEX(Items!$F$5:$F$62,MATCH($E188,Items!$A$5:$A$62,0)),4)</f>
        <v>0.025</v>
      </c>
      <c r="O188" s="6"/>
    </row>
    <row r="189" customFormat="false" ht="15" hidden="false" customHeight="false" outlineLevel="0" collapsed="false">
      <c r="A189" s="6" t="n">
        <v>21</v>
      </c>
      <c r="B189" s="6" t="s">
        <v>298</v>
      </c>
      <c r="C189" s="6" t="s">
        <v>297</v>
      </c>
      <c r="D189" s="6" t="s">
        <v>205</v>
      </c>
      <c r="E189" s="6" t="s">
        <v>58</v>
      </c>
      <c r="F189" s="6" t="str">
        <f aca="false">INDEX(Items!$B$5:$B$62,MATCH($E189,Items!$A$5:$A$62,0))</f>
        <v>DISPOSABLES &amp; CLINIC CONSUMABLES</v>
      </c>
      <c r="G189" s="6" t="str">
        <f aca="false">INDEX(Items!$C$5:$C$62,MATCH($E189,Items!$A$5:$A$62,0))</f>
        <v>Bulk</v>
      </c>
      <c r="H189" s="6" t="s">
        <v>161</v>
      </c>
      <c r="I189" s="6" t="s">
        <v>160</v>
      </c>
      <c r="J189" s="6" t="n">
        <f aca="false">SUMIFS(Kits!$C$5:$C$163,Kits!$A$5:$A$163,$D189,Kits!$B$5:$B$163,$E189)</f>
        <v>4</v>
      </c>
      <c r="K189" s="6" t="n">
        <f aca="false">INDEX(Services!$F$5:$F$85,MATCH($A189,Services!$A$5:$A$85,0))</f>
        <v>1</v>
      </c>
      <c r="L189" s="6" t="n">
        <f aca="false">IF($H189="Auto-deduct",IF($G189="Countable",ROUNDUP($J189*IF($I189="Y",$K189,1),0),ROUND($J189*IF($I189="Y",$K189,1),1)),$J189)</f>
        <v>4</v>
      </c>
      <c r="M189" s="6" t="str">
        <f aca="false">INDEX(Items!$E$5:$E$62,MATCH($E189,Items!$A$5:$A$62,0))</f>
        <v>sheet</v>
      </c>
      <c r="N189" s="6" t="n">
        <f aca="false">ROUND($L189/INDEX(Items!$F$5:$F$62,MATCH($E189,Items!$A$5:$A$62,0)),4)</f>
        <v>0.02</v>
      </c>
      <c r="O189" s="6"/>
    </row>
    <row r="190" customFormat="false" ht="15" hidden="false" customHeight="false" outlineLevel="0" collapsed="false">
      <c r="A190" s="6" t="n">
        <v>22</v>
      </c>
      <c r="B190" s="6" t="s">
        <v>300</v>
      </c>
      <c r="C190" s="6" t="s">
        <v>297</v>
      </c>
      <c r="D190" s="6" t="s">
        <v>159</v>
      </c>
      <c r="E190" s="6" t="s">
        <v>52</v>
      </c>
      <c r="F190" s="6" t="str">
        <f aca="false">INDEX(Items!$B$5:$B$62,MATCH($E190,Items!$A$5:$A$62,0))</f>
        <v>DISPOSABLES &amp; CLINIC CONSUMABLES</v>
      </c>
      <c r="G190" s="6" t="str">
        <f aca="false">INDEX(Items!$C$5:$C$62,MATCH($E190,Items!$A$5:$A$62,0))</f>
        <v>Countable</v>
      </c>
      <c r="H190" s="6" t="s">
        <v>161</v>
      </c>
      <c r="I190" s="6" t="s">
        <v>160</v>
      </c>
      <c r="J190" s="6" t="n">
        <f aca="false">SUMIFS(Kits!$C$5:$C$163,Kits!$A$5:$A$163,$D190,Kits!$B$5:$B$163,$E190)</f>
        <v>1</v>
      </c>
      <c r="K190" s="6" t="n">
        <f aca="false">INDEX(Services!$F$5:$F$85,MATCH($A190,Services!$A$5:$A$85,0))</f>
        <v>1</v>
      </c>
      <c r="L190" s="6" t="n">
        <f aca="false">IF($H190="Auto-deduct",IF($G190="Countable",ROUNDUP($J190*IF($I190="Y",$K190,1),0),ROUND($J190*IF($I190="Y",$K190,1),1)),$J190)</f>
        <v>1</v>
      </c>
      <c r="M190" s="6" t="str">
        <f aca="false">INDEX(Items!$E$5:$E$62,MATCH($E190,Items!$A$5:$A$62,0))</f>
        <v>pc</v>
      </c>
      <c r="N190" s="6" t="n">
        <f aca="false">ROUND($L190/INDEX(Items!$F$5:$F$62,MATCH($E190,Items!$A$5:$A$62,0)),4)</f>
        <v>1</v>
      </c>
      <c r="O190" s="6"/>
    </row>
    <row r="191" customFormat="false" ht="15" hidden="false" customHeight="false" outlineLevel="0" collapsed="false">
      <c r="A191" s="6" t="n">
        <v>22</v>
      </c>
      <c r="B191" s="6" t="s">
        <v>300</v>
      </c>
      <c r="C191" s="6" t="s">
        <v>297</v>
      </c>
      <c r="D191" s="6" t="s">
        <v>159</v>
      </c>
      <c r="E191" s="6" t="s">
        <v>53</v>
      </c>
      <c r="F191" s="6" t="str">
        <f aca="false">INDEX(Items!$B$5:$B$62,MATCH($E191,Items!$A$5:$A$62,0))</f>
        <v>DISPOSABLES &amp; CLINIC CONSUMABLES</v>
      </c>
      <c r="G191" s="6" t="str">
        <f aca="false">INDEX(Items!$C$5:$C$62,MATCH($E191,Items!$A$5:$A$62,0))</f>
        <v>Countable</v>
      </c>
      <c r="H191" s="6" t="s">
        <v>161</v>
      </c>
      <c r="I191" s="6" t="s">
        <v>160</v>
      </c>
      <c r="J191" s="6" t="n">
        <f aca="false">SUMIFS(Kits!$C$5:$C$163,Kits!$A$5:$A$163,$D191,Kits!$B$5:$B$163,$E191)</f>
        <v>1</v>
      </c>
      <c r="K191" s="6" t="n">
        <f aca="false">INDEX(Services!$F$5:$F$85,MATCH($A191,Services!$A$5:$A$85,0))</f>
        <v>1</v>
      </c>
      <c r="L191" s="6" t="n">
        <f aca="false">IF($H191="Auto-deduct",IF($G191="Countable",ROUNDUP($J191*IF($I191="Y",$K191,1),0),ROUND($J191*IF($I191="Y",$K191,1),1)),$J191)</f>
        <v>1</v>
      </c>
      <c r="M191" s="6" t="str">
        <f aca="false">INDEX(Items!$E$5:$E$62,MATCH($E191,Items!$A$5:$A$62,0))</f>
        <v>pair</v>
      </c>
      <c r="N191" s="6" t="n">
        <f aca="false">ROUND($L191/INDEX(Items!$F$5:$F$62,MATCH($E191,Items!$A$5:$A$62,0)),4)</f>
        <v>1</v>
      </c>
      <c r="O191" s="6"/>
    </row>
    <row r="192" customFormat="false" ht="15" hidden="false" customHeight="false" outlineLevel="0" collapsed="false">
      <c r="A192" s="6" t="n">
        <v>22</v>
      </c>
      <c r="B192" s="6" t="s">
        <v>300</v>
      </c>
      <c r="C192" s="6" t="s">
        <v>297</v>
      </c>
      <c r="D192" s="6" t="s">
        <v>159</v>
      </c>
      <c r="E192" s="6" t="s">
        <v>88</v>
      </c>
      <c r="F192" s="6" t="str">
        <f aca="false">INDEX(Items!$B$5:$B$62,MATCH($E192,Items!$A$5:$A$62,0))</f>
        <v>DISPOSABLES &amp; CLINIC CONSUMABLES</v>
      </c>
      <c r="G192" s="6" t="str">
        <f aca="false">INDEX(Items!$C$5:$C$62,MATCH($E192,Items!$A$5:$A$62,0))</f>
        <v>Bulk</v>
      </c>
      <c r="H192" s="6" t="s">
        <v>161</v>
      </c>
      <c r="I192" s="6" t="s">
        <v>160</v>
      </c>
      <c r="J192" s="6" t="n">
        <f aca="false">SUMIFS(Kits!$C$5:$C$163,Kits!$A$5:$A$163,$D192,Kits!$B$5:$B$163,$E192)</f>
        <v>5</v>
      </c>
      <c r="K192" s="6" t="n">
        <f aca="false">INDEX(Services!$F$5:$F$85,MATCH($A192,Services!$A$5:$A$85,0))</f>
        <v>1</v>
      </c>
      <c r="L192" s="6" t="n">
        <f aca="false">IF($H192="Auto-deduct",IF($G192="Countable",ROUNDUP($J192*IF($I192="Y",$K192,1),0),ROUND($J192*IF($I192="Y",$K192,1),1)),$J192)</f>
        <v>5</v>
      </c>
      <c r="M192" s="6" t="str">
        <f aca="false">INDEX(Items!$E$5:$E$62,MATCH($E192,Items!$A$5:$A$62,0))</f>
        <v>mL</v>
      </c>
      <c r="N192" s="6" t="n">
        <f aca="false">ROUND($L192/INDEX(Items!$F$5:$F$62,MATCH($E192,Items!$A$5:$A$62,0)),4)</f>
        <v>0.01</v>
      </c>
      <c r="O192" s="6"/>
    </row>
    <row r="193" customFormat="false" ht="15" hidden="false" customHeight="false" outlineLevel="0" collapsed="false">
      <c r="A193" s="6" t="n">
        <v>22</v>
      </c>
      <c r="B193" s="6" t="s">
        <v>300</v>
      </c>
      <c r="C193" s="6" t="s">
        <v>297</v>
      </c>
      <c r="D193" s="6" t="s">
        <v>205</v>
      </c>
      <c r="E193" s="6" t="s">
        <v>79</v>
      </c>
      <c r="F193" s="6" t="str">
        <f aca="false">INDEX(Items!$B$5:$B$62,MATCH($E193,Items!$A$5:$A$62,0))</f>
        <v>DISPOSABLES &amp; CLINIC CONSUMABLES</v>
      </c>
      <c r="G193" s="6" t="str">
        <f aca="false">INDEX(Items!$C$5:$C$62,MATCH($E193,Items!$A$5:$A$62,0))</f>
        <v>Bulk</v>
      </c>
      <c r="H193" s="6" t="s">
        <v>161</v>
      </c>
      <c r="I193" s="6" t="s">
        <v>191</v>
      </c>
      <c r="J193" s="6" t="n">
        <f aca="false">SUMIFS(Kits!$C$5:$C$163,Kits!$A$5:$A$163,$D193,Kits!$B$5:$B$163,$E193)</f>
        <v>60</v>
      </c>
      <c r="K193" s="6" t="n">
        <f aca="false">INDEX(Services!$F$5:$F$85,MATCH($A193,Services!$A$5:$A$85,0))</f>
        <v>1</v>
      </c>
      <c r="L193" s="6" t="n">
        <f aca="false">IF($H193="Auto-deduct",IF($G193="Countable",ROUNDUP($J193*IF($I193="Y",$K193,1),0),ROUND($J193*IF($I193="Y",$K193,1),1)),$J193)</f>
        <v>60</v>
      </c>
      <c r="M193" s="6" t="str">
        <f aca="false">INDEX(Items!$E$5:$E$62,MATCH($E193,Items!$A$5:$A$62,0))</f>
        <v>cm</v>
      </c>
      <c r="N193" s="6" t="n">
        <f aca="false">ROUND($L193/INDEX(Items!$F$5:$F$62,MATCH($E193,Items!$A$5:$A$62,0)),4)</f>
        <v>0.02</v>
      </c>
      <c r="O193" s="6"/>
    </row>
    <row r="194" customFormat="false" ht="15" hidden="false" customHeight="false" outlineLevel="0" collapsed="false">
      <c r="A194" s="6" t="n">
        <v>22</v>
      </c>
      <c r="B194" s="6" t="s">
        <v>300</v>
      </c>
      <c r="C194" s="6" t="s">
        <v>297</v>
      </c>
      <c r="D194" s="6" t="s">
        <v>205</v>
      </c>
      <c r="E194" s="6" t="s">
        <v>86</v>
      </c>
      <c r="F194" s="6" t="str">
        <f aca="false">INDEX(Items!$B$5:$B$62,MATCH($E194,Items!$A$5:$A$62,0))</f>
        <v>DISPOSABLES &amp; CLINIC CONSUMABLES</v>
      </c>
      <c r="G194" s="6" t="str">
        <f aca="false">INDEX(Items!$C$5:$C$62,MATCH($E194,Items!$A$5:$A$62,0))</f>
        <v>Bulk</v>
      </c>
      <c r="H194" s="6" t="s">
        <v>161</v>
      </c>
      <c r="I194" s="6" t="s">
        <v>160</v>
      </c>
      <c r="J194" s="6" t="n">
        <f aca="false">SUMIFS(Kits!$C$5:$C$163,Kits!$A$5:$A$163,$D194,Kits!$B$5:$B$163,$E194)</f>
        <v>2</v>
      </c>
      <c r="K194" s="6" t="n">
        <f aca="false">INDEX(Services!$F$5:$F$85,MATCH($A194,Services!$A$5:$A$85,0))</f>
        <v>1</v>
      </c>
      <c r="L194" s="6" t="n">
        <f aca="false">IF($H194="Auto-deduct",IF($G194="Countable",ROUNDUP($J194*IF($I194="Y",$K194,1),0),ROUND($J194*IF($I194="Y",$K194,1),1)),$J194)</f>
        <v>2</v>
      </c>
      <c r="M194" s="6" t="str">
        <f aca="false">INDEX(Items!$E$5:$E$62,MATCH($E194,Items!$A$5:$A$62,0))</f>
        <v>pc</v>
      </c>
      <c r="N194" s="6" t="n">
        <f aca="false">ROUND($L194/INDEX(Items!$F$5:$F$62,MATCH($E194,Items!$A$5:$A$62,0)),4)</f>
        <v>0.025</v>
      </c>
      <c r="O194" s="6"/>
    </row>
    <row r="195" customFormat="false" ht="15" hidden="false" customHeight="false" outlineLevel="0" collapsed="false">
      <c r="A195" s="6" t="n">
        <v>22</v>
      </c>
      <c r="B195" s="6" t="s">
        <v>300</v>
      </c>
      <c r="C195" s="6" t="s">
        <v>297</v>
      </c>
      <c r="D195" s="6" t="s">
        <v>205</v>
      </c>
      <c r="E195" s="6" t="s">
        <v>58</v>
      </c>
      <c r="F195" s="6" t="str">
        <f aca="false">INDEX(Items!$B$5:$B$62,MATCH($E195,Items!$A$5:$A$62,0))</f>
        <v>DISPOSABLES &amp; CLINIC CONSUMABLES</v>
      </c>
      <c r="G195" s="6" t="str">
        <f aca="false">INDEX(Items!$C$5:$C$62,MATCH($E195,Items!$A$5:$A$62,0))</f>
        <v>Bulk</v>
      </c>
      <c r="H195" s="6" t="s">
        <v>161</v>
      </c>
      <c r="I195" s="6" t="s">
        <v>160</v>
      </c>
      <c r="J195" s="6" t="n">
        <f aca="false">SUMIFS(Kits!$C$5:$C$163,Kits!$A$5:$A$163,$D195,Kits!$B$5:$B$163,$E195)</f>
        <v>4</v>
      </c>
      <c r="K195" s="6" t="n">
        <f aca="false">INDEX(Services!$F$5:$F$85,MATCH($A195,Services!$A$5:$A$85,0))</f>
        <v>1</v>
      </c>
      <c r="L195" s="6" t="n">
        <f aca="false">IF($H195="Auto-deduct",IF($G195="Countable",ROUNDUP($J195*IF($I195="Y",$K195,1),0),ROUND($J195*IF($I195="Y",$K195,1),1)),$J195)</f>
        <v>4</v>
      </c>
      <c r="M195" s="6" t="str">
        <f aca="false">INDEX(Items!$E$5:$E$62,MATCH($E195,Items!$A$5:$A$62,0))</f>
        <v>sheet</v>
      </c>
      <c r="N195" s="6" t="n">
        <f aca="false">ROUND($L195/INDEX(Items!$F$5:$F$62,MATCH($E195,Items!$A$5:$A$62,0)),4)</f>
        <v>0.02</v>
      </c>
      <c r="O195" s="6"/>
    </row>
    <row r="196" customFormat="false" ht="15" hidden="false" customHeight="false" outlineLevel="0" collapsed="false">
      <c r="A196" s="6" t="n">
        <v>23</v>
      </c>
      <c r="B196" s="6" t="s">
        <v>301</v>
      </c>
      <c r="C196" s="6" t="s">
        <v>297</v>
      </c>
      <c r="D196" s="6" t="s">
        <v>159</v>
      </c>
      <c r="E196" s="6" t="s">
        <v>52</v>
      </c>
      <c r="F196" s="6" t="str">
        <f aca="false">INDEX(Items!$B$5:$B$62,MATCH($E196,Items!$A$5:$A$62,0))</f>
        <v>DISPOSABLES &amp; CLINIC CONSUMABLES</v>
      </c>
      <c r="G196" s="6" t="str">
        <f aca="false">INDEX(Items!$C$5:$C$62,MATCH($E196,Items!$A$5:$A$62,0))</f>
        <v>Countable</v>
      </c>
      <c r="H196" s="6" t="s">
        <v>161</v>
      </c>
      <c r="I196" s="6" t="s">
        <v>160</v>
      </c>
      <c r="J196" s="6" t="n">
        <f aca="false">SUMIFS(Kits!$C$5:$C$163,Kits!$A$5:$A$163,$D196,Kits!$B$5:$B$163,$E196)</f>
        <v>1</v>
      </c>
      <c r="K196" s="6" t="n">
        <f aca="false">INDEX(Services!$F$5:$F$85,MATCH($A196,Services!$A$5:$A$85,0))</f>
        <v>2</v>
      </c>
      <c r="L196" s="6" t="n">
        <f aca="false">IF($H196="Auto-deduct",IF($G196="Countable",ROUNDUP($J196*IF($I196="Y",$K196,1),0),ROUND($J196*IF($I196="Y",$K196,1),1)),$J196)</f>
        <v>1</v>
      </c>
      <c r="M196" s="6" t="str">
        <f aca="false">INDEX(Items!$E$5:$E$62,MATCH($E196,Items!$A$5:$A$62,0))</f>
        <v>pc</v>
      </c>
      <c r="N196" s="6" t="n">
        <f aca="false">ROUND($L196/INDEX(Items!$F$5:$F$62,MATCH($E196,Items!$A$5:$A$62,0)),4)</f>
        <v>1</v>
      </c>
      <c r="O196" s="6"/>
    </row>
    <row r="197" customFormat="false" ht="15" hidden="false" customHeight="false" outlineLevel="0" collapsed="false">
      <c r="A197" s="6" t="n">
        <v>23</v>
      </c>
      <c r="B197" s="6" t="s">
        <v>301</v>
      </c>
      <c r="C197" s="6" t="s">
        <v>297</v>
      </c>
      <c r="D197" s="6" t="s">
        <v>159</v>
      </c>
      <c r="E197" s="6" t="s">
        <v>53</v>
      </c>
      <c r="F197" s="6" t="str">
        <f aca="false">INDEX(Items!$B$5:$B$62,MATCH($E197,Items!$A$5:$A$62,0))</f>
        <v>DISPOSABLES &amp; CLINIC CONSUMABLES</v>
      </c>
      <c r="G197" s="6" t="str">
        <f aca="false">INDEX(Items!$C$5:$C$62,MATCH($E197,Items!$A$5:$A$62,0))</f>
        <v>Countable</v>
      </c>
      <c r="H197" s="6" t="s">
        <v>161</v>
      </c>
      <c r="I197" s="6" t="s">
        <v>160</v>
      </c>
      <c r="J197" s="6" t="n">
        <f aca="false">SUMIFS(Kits!$C$5:$C$163,Kits!$A$5:$A$163,$D197,Kits!$B$5:$B$163,$E197)</f>
        <v>1</v>
      </c>
      <c r="K197" s="6" t="n">
        <f aca="false">INDEX(Services!$F$5:$F$85,MATCH($A197,Services!$A$5:$A$85,0))</f>
        <v>2</v>
      </c>
      <c r="L197" s="6" t="n">
        <f aca="false">IF($H197="Auto-deduct",IF($G197="Countable",ROUNDUP($J197*IF($I197="Y",$K197,1),0),ROUND($J197*IF($I197="Y",$K197,1),1)),$J197)</f>
        <v>1</v>
      </c>
      <c r="M197" s="6" t="str">
        <f aca="false">INDEX(Items!$E$5:$E$62,MATCH($E197,Items!$A$5:$A$62,0))</f>
        <v>pair</v>
      </c>
      <c r="N197" s="6" t="n">
        <f aca="false">ROUND($L197/INDEX(Items!$F$5:$F$62,MATCH($E197,Items!$A$5:$A$62,0)),4)</f>
        <v>1</v>
      </c>
      <c r="O197" s="6"/>
    </row>
    <row r="198" customFormat="false" ht="15" hidden="false" customHeight="false" outlineLevel="0" collapsed="false">
      <c r="A198" s="6" t="n">
        <v>23</v>
      </c>
      <c r="B198" s="6" t="s">
        <v>301</v>
      </c>
      <c r="C198" s="6" t="s">
        <v>297</v>
      </c>
      <c r="D198" s="6" t="s">
        <v>159</v>
      </c>
      <c r="E198" s="6" t="s">
        <v>88</v>
      </c>
      <c r="F198" s="6" t="str">
        <f aca="false">INDEX(Items!$B$5:$B$62,MATCH($E198,Items!$A$5:$A$62,0))</f>
        <v>DISPOSABLES &amp; CLINIC CONSUMABLES</v>
      </c>
      <c r="G198" s="6" t="str">
        <f aca="false">INDEX(Items!$C$5:$C$62,MATCH($E198,Items!$A$5:$A$62,0))</f>
        <v>Bulk</v>
      </c>
      <c r="H198" s="6" t="s">
        <v>161</v>
      </c>
      <c r="I198" s="6" t="s">
        <v>160</v>
      </c>
      <c r="J198" s="6" t="n">
        <f aca="false">SUMIFS(Kits!$C$5:$C$163,Kits!$A$5:$A$163,$D198,Kits!$B$5:$B$163,$E198)</f>
        <v>5</v>
      </c>
      <c r="K198" s="6" t="n">
        <f aca="false">INDEX(Services!$F$5:$F$85,MATCH($A198,Services!$A$5:$A$85,0))</f>
        <v>2</v>
      </c>
      <c r="L198" s="6" t="n">
        <f aca="false">IF($H198="Auto-deduct",IF($G198="Countable",ROUNDUP($J198*IF($I198="Y",$K198,1),0),ROUND($J198*IF($I198="Y",$K198,1),1)),$J198)</f>
        <v>5</v>
      </c>
      <c r="M198" s="6" t="str">
        <f aca="false">INDEX(Items!$E$5:$E$62,MATCH($E198,Items!$A$5:$A$62,0))</f>
        <v>mL</v>
      </c>
      <c r="N198" s="6" t="n">
        <f aca="false">ROUND($L198/INDEX(Items!$F$5:$F$62,MATCH($E198,Items!$A$5:$A$62,0)),4)</f>
        <v>0.01</v>
      </c>
      <c r="O198" s="6"/>
    </row>
    <row r="199" customFormat="false" ht="15" hidden="false" customHeight="false" outlineLevel="0" collapsed="false">
      <c r="A199" s="6" t="n">
        <v>23</v>
      </c>
      <c r="B199" s="6" t="s">
        <v>301</v>
      </c>
      <c r="C199" s="6" t="s">
        <v>297</v>
      </c>
      <c r="D199" s="6" t="s">
        <v>205</v>
      </c>
      <c r="E199" s="6" t="s">
        <v>79</v>
      </c>
      <c r="F199" s="6" t="str">
        <f aca="false">INDEX(Items!$B$5:$B$62,MATCH($E199,Items!$A$5:$A$62,0))</f>
        <v>DISPOSABLES &amp; CLINIC CONSUMABLES</v>
      </c>
      <c r="G199" s="6" t="str">
        <f aca="false">INDEX(Items!$C$5:$C$62,MATCH($E199,Items!$A$5:$A$62,0))</f>
        <v>Bulk</v>
      </c>
      <c r="H199" s="6" t="s">
        <v>161</v>
      </c>
      <c r="I199" s="6" t="s">
        <v>191</v>
      </c>
      <c r="J199" s="6" t="n">
        <f aca="false">SUMIFS(Kits!$C$5:$C$163,Kits!$A$5:$A$163,$D199,Kits!$B$5:$B$163,$E199)</f>
        <v>60</v>
      </c>
      <c r="K199" s="6" t="n">
        <f aca="false">INDEX(Services!$F$5:$F$85,MATCH($A199,Services!$A$5:$A$85,0))</f>
        <v>2</v>
      </c>
      <c r="L199" s="6" t="n">
        <f aca="false">IF($H199="Auto-deduct",IF($G199="Countable",ROUNDUP($J199*IF($I199="Y",$K199,1),0),ROUND($J199*IF($I199="Y",$K199,1),1)),$J199)</f>
        <v>120</v>
      </c>
      <c r="M199" s="6" t="str">
        <f aca="false">INDEX(Items!$E$5:$E$62,MATCH($E199,Items!$A$5:$A$62,0))</f>
        <v>cm</v>
      </c>
      <c r="N199" s="6" t="n">
        <f aca="false">ROUND($L199/INDEX(Items!$F$5:$F$62,MATCH($E199,Items!$A$5:$A$62,0)),4)</f>
        <v>0.04</v>
      </c>
      <c r="O199" s="6"/>
    </row>
    <row r="200" customFormat="false" ht="15" hidden="false" customHeight="false" outlineLevel="0" collapsed="false">
      <c r="A200" s="6" t="n">
        <v>23</v>
      </c>
      <c r="B200" s="6" t="s">
        <v>301</v>
      </c>
      <c r="C200" s="6" t="s">
        <v>297</v>
      </c>
      <c r="D200" s="6" t="s">
        <v>205</v>
      </c>
      <c r="E200" s="6" t="s">
        <v>86</v>
      </c>
      <c r="F200" s="6" t="str">
        <f aca="false">INDEX(Items!$B$5:$B$62,MATCH($E200,Items!$A$5:$A$62,0))</f>
        <v>DISPOSABLES &amp; CLINIC CONSUMABLES</v>
      </c>
      <c r="G200" s="6" t="str">
        <f aca="false">INDEX(Items!$C$5:$C$62,MATCH($E200,Items!$A$5:$A$62,0))</f>
        <v>Bulk</v>
      </c>
      <c r="H200" s="6" t="s">
        <v>161</v>
      </c>
      <c r="I200" s="6" t="s">
        <v>160</v>
      </c>
      <c r="J200" s="6" t="n">
        <f aca="false">SUMIFS(Kits!$C$5:$C$163,Kits!$A$5:$A$163,$D200,Kits!$B$5:$B$163,$E200)</f>
        <v>2</v>
      </c>
      <c r="K200" s="6" t="n">
        <f aca="false">INDEX(Services!$F$5:$F$85,MATCH($A200,Services!$A$5:$A$85,0))</f>
        <v>2</v>
      </c>
      <c r="L200" s="6" t="n">
        <f aca="false">IF($H200="Auto-deduct",IF($G200="Countable",ROUNDUP($J200*IF($I200="Y",$K200,1),0),ROUND($J200*IF($I200="Y",$K200,1),1)),$J200)</f>
        <v>2</v>
      </c>
      <c r="M200" s="6" t="str">
        <f aca="false">INDEX(Items!$E$5:$E$62,MATCH($E200,Items!$A$5:$A$62,0))</f>
        <v>pc</v>
      </c>
      <c r="N200" s="6" t="n">
        <f aca="false">ROUND($L200/INDEX(Items!$F$5:$F$62,MATCH($E200,Items!$A$5:$A$62,0)),4)</f>
        <v>0.025</v>
      </c>
      <c r="O200" s="6"/>
    </row>
    <row r="201" customFormat="false" ht="15" hidden="false" customHeight="false" outlineLevel="0" collapsed="false">
      <c r="A201" s="6" t="n">
        <v>23</v>
      </c>
      <c r="B201" s="6" t="s">
        <v>301</v>
      </c>
      <c r="C201" s="6" t="s">
        <v>297</v>
      </c>
      <c r="D201" s="6" t="s">
        <v>205</v>
      </c>
      <c r="E201" s="6" t="s">
        <v>58</v>
      </c>
      <c r="F201" s="6" t="str">
        <f aca="false">INDEX(Items!$B$5:$B$62,MATCH($E201,Items!$A$5:$A$62,0))</f>
        <v>DISPOSABLES &amp; CLINIC CONSUMABLES</v>
      </c>
      <c r="G201" s="6" t="str">
        <f aca="false">INDEX(Items!$C$5:$C$62,MATCH($E201,Items!$A$5:$A$62,0))</f>
        <v>Bulk</v>
      </c>
      <c r="H201" s="6" t="s">
        <v>161</v>
      </c>
      <c r="I201" s="6" t="s">
        <v>160</v>
      </c>
      <c r="J201" s="6" t="n">
        <f aca="false">SUMIFS(Kits!$C$5:$C$163,Kits!$A$5:$A$163,$D201,Kits!$B$5:$B$163,$E201)</f>
        <v>4</v>
      </c>
      <c r="K201" s="6" t="n">
        <f aca="false">INDEX(Services!$F$5:$F$85,MATCH($A201,Services!$A$5:$A$85,0))</f>
        <v>2</v>
      </c>
      <c r="L201" s="6" t="n">
        <f aca="false">IF($H201="Auto-deduct",IF($G201="Countable",ROUNDUP($J201*IF($I201="Y",$K201,1),0),ROUND($J201*IF($I201="Y",$K201,1),1)),$J201)</f>
        <v>4</v>
      </c>
      <c r="M201" s="6" t="str">
        <f aca="false">INDEX(Items!$E$5:$E$62,MATCH($E201,Items!$A$5:$A$62,0))</f>
        <v>sheet</v>
      </c>
      <c r="N201" s="6" t="n">
        <f aca="false">ROUND($L201/INDEX(Items!$F$5:$F$62,MATCH($E201,Items!$A$5:$A$62,0)),4)</f>
        <v>0.02</v>
      </c>
      <c r="O201" s="6"/>
    </row>
    <row r="202" customFormat="false" ht="15" hidden="false" customHeight="false" outlineLevel="0" collapsed="false">
      <c r="A202" s="6" t="n">
        <v>24</v>
      </c>
      <c r="B202" s="6" t="s">
        <v>303</v>
      </c>
      <c r="C202" s="6" t="s">
        <v>302</v>
      </c>
      <c r="D202" s="6" t="s">
        <v>159</v>
      </c>
      <c r="E202" s="6" t="s">
        <v>52</v>
      </c>
      <c r="F202" s="6" t="str">
        <f aca="false">INDEX(Items!$B$5:$B$62,MATCH($E202,Items!$A$5:$A$62,0))</f>
        <v>DISPOSABLES &amp; CLINIC CONSUMABLES</v>
      </c>
      <c r="G202" s="6" t="str">
        <f aca="false">INDEX(Items!$C$5:$C$62,MATCH($E202,Items!$A$5:$A$62,0))</f>
        <v>Countable</v>
      </c>
      <c r="H202" s="6" t="s">
        <v>161</v>
      </c>
      <c r="I202" s="6" t="s">
        <v>160</v>
      </c>
      <c r="J202" s="6" t="n">
        <f aca="false">SUMIFS(Kits!$C$5:$C$163,Kits!$A$5:$A$163,$D202,Kits!$B$5:$B$163,$E202)</f>
        <v>1</v>
      </c>
      <c r="K202" s="6" t="n">
        <f aca="false">INDEX(Services!$F$5:$F$85,MATCH($A202,Services!$A$5:$A$85,0))</f>
        <v>1</v>
      </c>
      <c r="L202" s="6" t="n">
        <f aca="false">IF($H202="Auto-deduct",IF($G202="Countable",ROUNDUP($J202*IF($I202="Y",$K202,1),0),ROUND($J202*IF($I202="Y",$K202,1),1)),$J202)</f>
        <v>1</v>
      </c>
      <c r="M202" s="6" t="str">
        <f aca="false">INDEX(Items!$E$5:$E$62,MATCH($E202,Items!$A$5:$A$62,0))</f>
        <v>pc</v>
      </c>
      <c r="N202" s="6" t="n">
        <f aca="false">ROUND($L202/INDEX(Items!$F$5:$F$62,MATCH($E202,Items!$A$5:$A$62,0)),4)</f>
        <v>1</v>
      </c>
      <c r="O202" s="6"/>
    </row>
    <row r="203" customFormat="false" ht="15" hidden="false" customHeight="false" outlineLevel="0" collapsed="false">
      <c r="A203" s="6" t="n">
        <v>24</v>
      </c>
      <c r="B203" s="6" t="s">
        <v>303</v>
      </c>
      <c r="C203" s="6" t="s">
        <v>302</v>
      </c>
      <c r="D203" s="6" t="s">
        <v>159</v>
      </c>
      <c r="E203" s="6" t="s">
        <v>53</v>
      </c>
      <c r="F203" s="6" t="str">
        <f aca="false">INDEX(Items!$B$5:$B$62,MATCH($E203,Items!$A$5:$A$62,0))</f>
        <v>DISPOSABLES &amp; CLINIC CONSUMABLES</v>
      </c>
      <c r="G203" s="6" t="str">
        <f aca="false">INDEX(Items!$C$5:$C$62,MATCH($E203,Items!$A$5:$A$62,0))</f>
        <v>Countable</v>
      </c>
      <c r="H203" s="6" t="s">
        <v>161</v>
      </c>
      <c r="I203" s="6" t="s">
        <v>160</v>
      </c>
      <c r="J203" s="6" t="n">
        <f aca="false">SUMIFS(Kits!$C$5:$C$163,Kits!$A$5:$A$163,$D203,Kits!$B$5:$B$163,$E203)</f>
        <v>1</v>
      </c>
      <c r="K203" s="6" t="n">
        <f aca="false">INDEX(Services!$F$5:$F$85,MATCH($A203,Services!$A$5:$A$85,0))</f>
        <v>1</v>
      </c>
      <c r="L203" s="6" t="n">
        <f aca="false">IF($H203="Auto-deduct",IF($G203="Countable",ROUNDUP($J203*IF($I203="Y",$K203,1),0),ROUND($J203*IF($I203="Y",$K203,1),1)),$J203)</f>
        <v>1</v>
      </c>
      <c r="M203" s="6" t="str">
        <f aca="false">INDEX(Items!$E$5:$E$62,MATCH($E203,Items!$A$5:$A$62,0))</f>
        <v>pair</v>
      </c>
      <c r="N203" s="6" t="n">
        <f aca="false">ROUND($L203/INDEX(Items!$F$5:$F$62,MATCH($E203,Items!$A$5:$A$62,0)),4)</f>
        <v>1</v>
      </c>
      <c r="O203" s="6"/>
    </row>
    <row r="204" customFormat="false" ht="15" hidden="false" customHeight="false" outlineLevel="0" collapsed="false">
      <c r="A204" s="6" t="n">
        <v>24</v>
      </c>
      <c r="B204" s="6" t="s">
        <v>303</v>
      </c>
      <c r="C204" s="6" t="s">
        <v>302</v>
      </c>
      <c r="D204" s="6" t="s">
        <v>159</v>
      </c>
      <c r="E204" s="6" t="s">
        <v>88</v>
      </c>
      <c r="F204" s="6" t="str">
        <f aca="false">INDEX(Items!$B$5:$B$62,MATCH($E204,Items!$A$5:$A$62,0))</f>
        <v>DISPOSABLES &amp; CLINIC CONSUMABLES</v>
      </c>
      <c r="G204" s="6" t="str">
        <f aca="false">INDEX(Items!$C$5:$C$62,MATCH($E204,Items!$A$5:$A$62,0))</f>
        <v>Bulk</v>
      </c>
      <c r="H204" s="6" t="s">
        <v>161</v>
      </c>
      <c r="I204" s="6" t="s">
        <v>160</v>
      </c>
      <c r="J204" s="6" t="n">
        <f aca="false">SUMIFS(Kits!$C$5:$C$163,Kits!$A$5:$A$163,$D204,Kits!$B$5:$B$163,$E204)</f>
        <v>5</v>
      </c>
      <c r="K204" s="6" t="n">
        <f aca="false">INDEX(Services!$F$5:$F$85,MATCH($A204,Services!$A$5:$A$85,0))</f>
        <v>1</v>
      </c>
      <c r="L204" s="6" t="n">
        <f aca="false">IF($H204="Auto-deduct",IF($G204="Countable",ROUNDUP($J204*IF($I204="Y",$K204,1),0),ROUND($J204*IF($I204="Y",$K204,1),1)),$J204)</f>
        <v>5</v>
      </c>
      <c r="M204" s="6" t="str">
        <f aca="false">INDEX(Items!$E$5:$E$62,MATCH($E204,Items!$A$5:$A$62,0))</f>
        <v>mL</v>
      </c>
      <c r="N204" s="6" t="n">
        <f aca="false">ROUND($L204/INDEX(Items!$F$5:$F$62,MATCH($E204,Items!$A$5:$A$62,0)),4)</f>
        <v>0.01</v>
      </c>
      <c r="O204" s="6"/>
    </row>
    <row r="205" customFormat="false" ht="15" hidden="false" customHeight="false" outlineLevel="0" collapsed="false">
      <c r="A205" s="6" t="n">
        <v>24</v>
      </c>
      <c r="B205" s="6" t="s">
        <v>303</v>
      </c>
      <c r="C205" s="6" t="s">
        <v>302</v>
      </c>
      <c r="D205" s="6" t="s">
        <v>207</v>
      </c>
      <c r="E205" s="6" t="s">
        <v>86</v>
      </c>
      <c r="F205" s="6" t="str">
        <f aca="false">INDEX(Items!$B$5:$B$62,MATCH($E205,Items!$A$5:$A$62,0))</f>
        <v>DISPOSABLES &amp; CLINIC CONSUMABLES</v>
      </c>
      <c r="G205" s="6" t="str">
        <f aca="false">INDEX(Items!$C$5:$C$62,MATCH($E205,Items!$A$5:$A$62,0))</f>
        <v>Bulk</v>
      </c>
      <c r="H205" s="6" t="s">
        <v>161</v>
      </c>
      <c r="I205" s="6" t="s">
        <v>160</v>
      </c>
      <c r="J205" s="6" t="n">
        <f aca="false">SUMIFS(Kits!$C$5:$C$163,Kits!$A$5:$A$163,$D205,Kits!$B$5:$B$163,$E205)</f>
        <v>3</v>
      </c>
      <c r="K205" s="6" t="n">
        <f aca="false">INDEX(Services!$F$5:$F$85,MATCH($A205,Services!$A$5:$A$85,0))</f>
        <v>1</v>
      </c>
      <c r="L205" s="6" t="n">
        <f aca="false">IF($H205="Auto-deduct",IF($G205="Countable",ROUNDUP($J205*IF($I205="Y",$K205,1),0),ROUND($J205*IF($I205="Y",$K205,1),1)),$J205)</f>
        <v>3</v>
      </c>
      <c r="M205" s="6" t="str">
        <f aca="false">INDEX(Items!$E$5:$E$62,MATCH($E205,Items!$A$5:$A$62,0))</f>
        <v>pc</v>
      </c>
      <c r="N205" s="6" t="n">
        <f aca="false">ROUND($L205/INDEX(Items!$F$5:$F$62,MATCH($E205,Items!$A$5:$A$62,0)),4)</f>
        <v>0.0375</v>
      </c>
      <c r="O205" s="6"/>
    </row>
    <row r="206" customFormat="false" ht="15" hidden="false" customHeight="false" outlineLevel="0" collapsed="false">
      <c r="A206" s="6" t="n">
        <v>24</v>
      </c>
      <c r="B206" s="6" t="s">
        <v>303</v>
      </c>
      <c r="C206" s="6" t="s">
        <v>302</v>
      </c>
      <c r="D206" s="6" t="s">
        <v>207</v>
      </c>
      <c r="E206" s="6" t="s">
        <v>58</v>
      </c>
      <c r="F206" s="6" t="str">
        <f aca="false">INDEX(Items!$B$5:$B$62,MATCH($E206,Items!$A$5:$A$62,0))</f>
        <v>DISPOSABLES &amp; CLINIC CONSUMABLES</v>
      </c>
      <c r="G206" s="6" t="str">
        <f aca="false">INDEX(Items!$C$5:$C$62,MATCH($E206,Items!$A$5:$A$62,0))</f>
        <v>Bulk</v>
      </c>
      <c r="H206" s="6" t="s">
        <v>161</v>
      </c>
      <c r="I206" s="6" t="s">
        <v>160</v>
      </c>
      <c r="J206" s="6" t="n">
        <f aca="false">SUMIFS(Kits!$C$5:$C$163,Kits!$A$5:$A$163,$D206,Kits!$B$5:$B$163,$E206)</f>
        <v>6</v>
      </c>
      <c r="K206" s="6" t="n">
        <f aca="false">INDEX(Services!$F$5:$F$85,MATCH($A206,Services!$A$5:$A$85,0))</f>
        <v>1</v>
      </c>
      <c r="L206" s="6" t="n">
        <f aca="false">IF($H206="Auto-deduct",IF($G206="Countable",ROUNDUP($J206*IF($I206="Y",$K206,1),0),ROUND($J206*IF($I206="Y",$K206,1),1)),$J206)</f>
        <v>6</v>
      </c>
      <c r="M206" s="6" t="str">
        <f aca="false">INDEX(Items!$E$5:$E$62,MATCH($E206,Items!$A$5:$A$62,0))</f>
        <v>sheet</v>
      </c>
      <c r="N206" s="6" t="n">
        <f aca="false">ROUND($L206/INDEX(Items!$F$5:$F$62,MATCH($E206,Items!$A$5:$A$62,0)),4)</f>
        <v>0.03</v>
      </c>
      <c r="O206" s="6"/>
    </row>
    <row r="207" customFormat="false" ht="15" hidden="false" customHeight="false" outlineLevel="0" collapsed="false">
      <c r="A207" s="6" t="n">
        <v>24</v>
      </c>
      <c r="B207" s="6" t="s">
        <v>303</v>
      </c>
      <c r="C207" s="6" t="s">
        <v>302</v>
      </c>
      <c r="D207" s="6" t="s">
        <v>207</v>
      </c>
      <c r="E207" s="6" t="s">
        <v>88</v>
      </c>
      <c r="F207" s="6" t="str">
        <f aca="false">INDEX(Items!$B$5:$B$62,MATCH($E207,Items!$A$5:$A$62,0))</f>
        <v>DISPOSABLES &amp; CLINIC CONSUMABLES</v>
      </c>
      <c r="G207" s="6" t="str">
        <f aca="false">INDEX(Items!$C$5:$C$62,MATCH($E207,Items!$A$5:$A$62,0))</f>
        <v>Bulk</v>
      </c>
      <c r="H207" s="6" t="s">
        <v>161</v>
      </c>
      <c r="I207" s="6" t="s">
        <v>160</v>
      </c>
      <c r="J207" s="6" t="n">
        <f aca="false">SUMIFS(Kits!$C$5:$C$163,Kits!$A$5:$A$163,$D207,Kits!$B$5:$B$163,$E207)</f>
        <v>15</v>
      </c>
      <c r="K207" s="6" t="n">
        <f aca="false">INDEX(Services!$F$5:$F$85,MATCH($A207,Services!$A$5:$A$85,0))</f>
        <v>1</v>
      </c>
      <c r="L207" s="6" t="n">
        <f aca="false">IF($H207="Auto-deduct",IF($G207="Countable",ROUNDUP($J207*IF($I207="Y",$K207,1),0),ROUND($J207*IF($I207="Y",$K207,1),1)),$J207)</f>
        <v>15</v>
      </c>
      <c r="M207" s="6" t="str">
        <f aca="false">INDEX(Items!$E$5:$E$62,MATCH($E207,Items!$A$5:$A$62,0))</f>
        <v>mL</v>
      </c>
      <c r="N207" s="6" t="n">
        <f aca="false">ROUND($L207/INDEX(Items!$F$5:$F$62,MATCH($E207,Items!$A$5:$A$62,0)),4)</f>
        <v>0.03</v>
      </c>
      <c r="O207" s="6"/>
    </row>
    <row r="208" customFormat="false" ht="15" hidden="false" customHeight="false" outlineLevel="0" collapsed="false">
      <c r="A208" s="6" t="n">
        <v>24</v>
      </c>
      <c r="B208" s="6" t="s">
        <v>303</v>
      </c>
      <c r="C208" s="6" t="s">
        <v>302</v>
      </c>
      <c r="D208" s="6" t="s">
        <v>207</v>
      </c>
      <c r="E208" s="6" t="s">
        <v>69</v>
      </c>
      <c r="F208" s="6" t="str">
        <f aca="false">INDEX(Items!$B$5:$B$62,MATCH($E208,Items!$A$5:$A$62,0))</f>
        <v>DISPOSABLES &amp; CLINIC CONSUMABLES</v>
      </c>
      <c r="G208" s="6" t="str">
        <f aca="false">INDEX(Items!$C$5:$C$62,MATCH($E208,Items!$A$5:$A$62,0))</f>
        <v>Bulk</v>
      </c>
      <c r="H208" s="6" t="s">
        <v>161</v>
      </c>
      <c r="I208" s="6" t="s">
        <v>160</v>
      </c>
      <c r="J208" s="6" t="n">
        <f aca="false">SUMIFS(Kits!$C$5:$C$163,Kits!$A$5:$A$163,$D208,Kits!$B$5:$B$163,$E208)</f>
        <v>5</v>
      </c>
      <c r="K208" s="6" t="n">
        <f aca="false">INDEX(Services!$F$5:$F$85,MATCH($A208,Services!$A$5:$A$85,0))</f>
        <v>1</v>
      </c>
      <c r="L208" s="6" t="n">
        <f aca="false">IF($H208="Auto-deduct",IF($G208="Countable",ROUNDUP($J208*IF($I208="Y",$K208,1),0),ROUND($J208*IF($I208="Y",$K208,1),1)),$J208)</f>
        <v>5</v>
      </c>
      <c r="M208" s="6" t="str">
        <f aca="false">INDEX(Items!$E$5:$E$62,MATCH($E208,Items!$A$5:$A$62,0))</f>
        <v>g</v>
      </c>
      <c r="N208" s="6" t="n">
        <f aca="false">ROUND($L208/INDEX(Items!$F$5:$F$62,MATCH($E208,Items!$A$5:$A$62,0)),4)</f>
        <v>0.0125</v>
      </c>
      <c r="O208" s="6"/>
    </row>
    <row r="209" customFormat="false" ht="15" hidden="false" customHeight="false" outlineLevel="0" collapsed="false">
      <c r="A209" s="6" t="n">
        <v>25</v>
      </c>
      <c r="B209" s="6" t="s">
        <v>210</v>
      </c>
      <c r="C209" s="6" t="s">
        <v>302</v>
      </c>
      <c r="D209" s="6" t="s">
        <v>159</v>
      </c>
      <c r="E209" s="6" t="s">
        <v>52</v>
      </c>
      <c r="F209" s="6" t="str">
        <f aca="false">INDEX(Items!$B$5:$B$62,MATCH($E209,Items!$A$5:$A$62,0))</f>
        <v>DISPOSABLES &amp; CLINIC CONSUMABLES</v>
      </c>
      <c r="G209" s="6" t="str">
        <f aca="false">INDEX(Items!$C$5:$C$62,MATCH($E209,Items!$A$5:$A$62,0))</f>
        <v>Countable</v>
      </c>
      <c r="H209" s="6" t="s">
        <v>161</v>
      </c>
      <c r="I209" s="6" t="s">
        <v>160</v>
      </c>
      <c r="J209" s="6" t="n">
        <f aca="false">SUMIFS(Kits!$C$5:$C$163,Kits!$A$5:$A$163,$D209,Kits!$B$5:$B$163,$E209)</f>
        <v>1</v>
      </c>
      <c r="K209" s="6" t="n">
        <f aca="false">INDEX(Services!$F$5:$F$85,MATCH($A209,Services!$A$5:$A$85,0))</f>
        <v>1</v>
      </c>
      <c r="L209" s="6" t="n">
        <f aca="false">IF($H209="Auto-deduct",IF($G209="Countable",ROUNDUP($J209*IF($I209="Y",$K209,1),0),ROUND($J209*IF($I209="Y",$K209,1),1)),$J209)</f>
        <v>1</v>
      </c>
      <c r="M209" s="6" t="str">
        <f aca="false">INDEX(Items!$E$5:$E$62,MATCH($E209,Items!$A$5:$A$62,0))</f>
        <v>pc</v>
      </c>
      <c r="N209" s="6" t="n">
        <f aca="false">ROUND($L209/INDEX(Items!$F$5:$F$62,MATCH($E209,Items!$A$5:$A$62,0)),4)</f>
        <v>1</v>
      </c>
      <c r="O209" s="6"/>
    </row>
    <row r="210" customFormat="false" ht="15" hidden="false" customHeight="false" outlineLevel="0" collapsed="false">
      <c r="A210" s="6" t="n">
        <v>25</v>
      </c>
      <c r="B210" s="6" t="s">
        <v>210</v>
      </c>
      <c r="C210" s="6" t="s">
        <v>302</v>
      </c>
      <c r="D210" s="6" t="s">
        <v>159</v>
      </c>
      <c r="E210" s="6" t="s">
        <v>53</v>
      </c>
      <c r="F210" s="6" t="str">
        <f aca="false">INDEX(Items!$B$5:$B$62,MATCH($E210,Items!$A$5:$A$62,0))</f>
        <v>DISPOSABLES &amp; CLINIC CONSUMABLES</v>
      </c>
      <c r="G210" s="6" t="str">
        <f aca="false">INDEX(Items!$C$5:$C$62,MATCH($E210,Items!$A$5:$A$62,0))</f>
        <v>Countable</v>
      </c>
      <c r="H210" s="6" t="s">
        <v>161</v>
      </c>
      <c r="I210" s="6" t="s">
        <v>160</v>
      </c>
      <c r="J210" s="6" t="n">
        <f aca="false">SUMIFS(Kits!$C$5:$C$163,Kits!$A$5:$A$163,$D210,Kits!$B$5:$B$163,$E210)</f>
        <v>1</v>
      </c>
      <c r="K210" s="6" t="n">
        <f aca="false">INDEX(Services!$F$5:$F$85,MATCH($A210,Services!$A$5:$A$85,0))</f>
        <v>1</v>
      </c>
      <c r="L210" s="6" t="n">
        <f aca="false">IF($H210="Auto-deduct",IF($G210="Countable",ROUNDUP($J210*IF($I210="Y",$K210,1),0),ROUND($J210*IF($I210="Y",$K210,1),1)),$J210)</f>
        <v>1</v>
      </c>
      <c r="M210" s="6" t="str">
        <f aca="false">INDEX(Items!$E$5:$E$62,MATCH($E210,Items!$A$5:$A$62,0))</f>
        <v>pair</v>
      </c>
      <c r="N210" s="6" t="n">
        <f aca="false">ROUND($L210/INDEX(Items!$F$5:$F$62,MATCH($E210,Items!$A$5:$A$62,0)),4)</f>
        <v>1</v>
      </c>
      <c r="O210" s="6"/>
    </row>
    <row r="211" customFormat="false" ht="15" hidden="false" customHeight="false" outlineLevel="0" collapsed="false">
      <c r="A211" s="6" t="n">
        <v>25</v>
      </c>
      <c r="B211" s="6" t="s">
        <v>210</v>
      </c>
      <c r="C211" s="6" t="s">
        <v>302</v>
      </c>
      <c r="D211" s="6" t="s">
        <v>159</v>
      </c>
      <c r="E211" s="6" t="s">
        <v>88</v>
      </c>
      <c r="F211" s="6" t="str">
        <f aca="false">INDEX(Items!$B$5:$B$62,MATCH($E211,Items!$A$5:$A$62,0))</f>
        <v>DISPOSABLES &amp; CLINIC CONSUMABLES</v>
      </c>
      <c r="G211" s="6" t="str">
        <f aca="false">INDEX(Items!$C$5:$C$62,MATCH($E211,Items!$A$5:$A$62,0))</f>
        <v>Bulk</v>
      </c>
      <c r="H211" s="6" t="s">
        <v>161</v>
      </c>
      <c r="I211" s="6" t="s">
        <v>160</v>
      </c>
      <c r="J211" s="6" t="n">
        <f aca="false">SUMIFS(Kits!$C$5:$C$163,Kits!$A$5:$A$163,$D211,Kits!$B$5:$B$163,$E211)</f>
        <v>5</v>
      </c>
      <c r="K211" s="6" t="n">
        <f aca="false">INDEX(Services!$F$5:$F$85,MATCH($A211,Services!$A$5:$A$85,0))</f>
        <v>1</v>
      </c>
      <c r="L211" s="6" t="n">
        <f aca="false">IF($H211="Auto-deduct",IF($G211="Countable",ROUNDUP($J211*IF($I211="Y",$K211,1),0),ROUND($J211*IF($I211="Y",$K211,1),1)),$J211)</f>
        <v>5</v>
      </c>
      <c r="M211" s="6" t="str">
        <f aca="false">INDEX(Items!$E$5:$E$62,MATCH($E211,Items!$A$5:$A$62,0))</f>
        <v>mL</v>
      </c>
      <c r="N211" s="6" t="n">
        <f aca="false">ROUND($L211/INDEX(Items!$F$5:$F$62,MATCH($E211,Items!$A$5:$A$62,0)),4)</f>
        <v>0.01</v>
      </c>
      <c r="O211" s="6"/>
    </row>
    <row r="212" customFormat="false" ht="15" hidden="false" customHeight="false" outlineLevel="0" collapsed="false">
      <c r="A212" s="6" t="n">
        <v>25</v>
      </c>
      <c r="B212" s="6" t="s">
        <v>210</v>
      </c>
      <c r="C212" s="6" t="s">
        <v>302</v>
      </c>
      <c r="D212" s="6" t="s">
        <v>209</v>
      </c>
      <c r="E212" s="6" t="s">
        <v>69</v>
      </c>
      <c r="F212" s="6" t="str">
        <f aca="false">INDEX(Items!$B$5:$B$62,MATCH($E212,Items!$A$5:$A$62,0))</f>
        <v>DISPOSABLES &amp; CLINIC CONSUMABLES</v>
      </c>
      <c r="G212" s="6" t="str">
        <f aca="false">INDEX(Items!$C$5:$C$62,MATCH($E212,Items!$A$5:$A$62,0))</f>
        <v>Bulk</v>
      </c>
      <c r="H212" s="6" t="s">
        <v>161</v>
      </c>
      <c r="I212" s="6" t="s">
        <v>160</v>
      </c>
      <c r="J212" s="6" t="n">
        <f aca="false">SUMIFS(Kits!$C$5:$C$163,Kits!$A$5:$A$163,$D212,Kits!$B$5:$B$163,$E212)</f>
        <v>5</v>
      </c>
      <c r="K212" s="6" t="n">
        <f aca="false">INDEX(Services!$F$5:$F$85,MATCH($A212,Services!$A$5:$A$85,0))</f>
        <v>1</v>
      </c>
      <c r="L212" s="6" t="n">
        <f aca="false">IF($H212="Auto-deduct",IF($G212="Countable",ROUNDUP($J212*IF($I212="Y",$K212,1),0),ROUND($J212*IF($I212="Y",$K212,1),1)),$J212)</f>
        <v>5</v>
      </c>
      <c r="M212" s="6" t="str">
        <f aca="false">INDEX(Items!$E$5:$E$62,MATCH($E212,Items!$A$5:$A$62,0))</f>
        <v>g</v>
      </c>
      <c r="N212" s="6" t="n">
        <f aca="false">ROUND($L212/INDEX(Items!$F$5:$F$62,MATCH($E212,Items!$A$5:$A$62,0)),4)</f>
        <v>0.0125</v>
      </c>
      <c r="O212" s="6"/>
    </row>
    <row r="213" customFormat="false" ht="15" hidden="false" customHeight="false" outlineLevel="0" collapsed="false">
      <c r="A213" s="6" t="n">
        <v>25</v>
      </c>
      <c r="B213" s="6" t="s">
        <v>210</v>
      </c>
      <c r="C213" s="6" t="s">
        <v>302</v>
      </c>
      <c r="D213" s="6" t="s">
        <v>209</v>
      </c>
      <c r="E213" s="6" t="s">
        <v>72</v>
      </c>
      <c r="F213" s="6" t="str">
        <f aca="false">INDEX(Items!$B$5:$B$62,MATCH($E213,Items!$A$5:$A$62,0))</f>
        <v>DISPOSABLES &amp; CLINIC CONSUMABLES</v>
      </c>
      <c r="G213" s="6" t="str">
        <f aca="false">INDEX(Items!$C$5:$C$62,MATCH($E213,Items!$A$5:$A$62,0))</f>
        <v>Bulk</v>
      </c>
      <c r="H213" s="6" t="s">
        <v>161</v>
      </c>
      <c r="I213" s="6" t="s">
        <v>160</v>
      </c>
      <c r="J213" s="6" t="n">
        <f aca="false">SUMIFS(Kits!$C$5:$C$163,Kits!$A$5:$A$163,$D213,Kits!$B$5:$B$163,$E213)</f>
        <v>4</v>
      </c>
      <c r="K213" s="6" t="n">
        <f aca="false">INDEX(Services!$F$5:$F$85,MATCH($A213,Services!$A$5:$A$85,0))</f>
        <v>1</v>
      </c>
      <c r="L213" s="6" t="n">
        <f aca="false">IF($H213="Auto-deduct",IF($G213="Countable",ROUNDUP($J213*IF($I213="Y",$K213,1),0),ROUND($J213*IF($I213="Y",$K213,1),1)),$J213)</f>
        <v>4</v>
      </c>
      <c r="M213" s="6" t="str">
        <f aca="false">INDEX(Items!$E$5:$E$62,MATCH($E213,Items!$A$5:$A$62,0))</f>
        <v>pc</v>
      </c>
      <c r="N213" s="6" t="n">
        <f aca="false">ROUND($L213/INDEX(Items!$F$5:$F$62,MATCH($E213,Items!$A$5:$A$62,0)),4)</f>
        <v>0.04</v>
      </c>
      <c r="O213" s="6"/>
    </row>
    <row r="214" customFormat="false" ht="15" hidden="false" customHeight="false" outlineLevel="0" collapsed="false">
      <c r="A214" s="6" t="n">
        <v>25</v>
      </c>
      <c r="B214" s="6" t="s">
        <v>210</v>
      </c>
      <c r="C214" s="6" t="s">
        <v>302</v>
      </c>
      <c r="D214" s="6" t="s">
        <v>209</v>
      </c>
      <c r="E214" s="6" t="s">
        <v>81</v>
      </c>
      <c r="F214" s="6" t="str">
        <f aca="false">INDEX(Items!$B$5:$B$62,MATCH($E214,Items!$A$5:$A$62,0))</f>
        <v>DISPOSABLES &amp; CLINIC CONSUMABLES</v>
      </c>
      <c r="G214" s="6" t="str">
        <f aca="false">INDEX(Items!$C$5:$C$62,MATCH($E214,Items!$A$5:$A$62,0))</f>
        <v>Bulk</v>
      </c>
      <c r="H214" s="6" t="s">
        <v>161</v>
      </c>
      <c r="I214" s="6" t="s">
        <v>160</v>
      </c>
      <c r="J214" s="6" t="n">
        <f aca="false">SUMIFS(Kits!$C$5:$C$163,Kits!$A$5:$A$163,$D214,Kits!$B$5:$B$163,$E214)</f>
        <v>2</v>
      </c>
      <c r="K214" s="6" t="n">
        <f aca="false">INDEX(Services!$F$5:$F$85,MATCH($A214,Services!$A$5:$A$85,0))</f>
        <v>1</v>
      </c>
      <c r="L214" s="6" t="n">
        <f aca="false">IF($H214="Auto-deduct",IF($G214="Countable",ROUNDUP($J214*IF($I214="Y",$K214,1),0),ROUND($J214*IF($I214="Y",$K214,1),1)),$J214)</f>
        <v>2</v>
      </c>
      <c r="M214" s="6" t="str">
        <f aca="false">INDEX(Items!$E$5:$E$62,MATCH($E214,Items!$A$5:$A$62,0))</f>
        <v>pc</v>
      </c>
      <c r="N214" s="6" t="n">
        <f aca="false">ROUND($L214/INDEX(Items!$F$5:$F$62,MATCH($E214,Items!$A$5:$A$62,0)),4)</f>
        <v>0.02</v>
      </c>
      <c r="O214" s="6"/>
    </row>
    <row r="215" customFormat="false" ht="15" hidden="false" customHeight="false" outlineLevel="0" collapsed="false">
      <c r="A215" s="6" t="n">
        <v>25</v>
      </c>
      <c r="B215" s="6" t="s">
        <v>210</v>
      </c>
      <c r="C215" s="6" t="s">
        <v>302</v>
      </c>
      <c r="D215" s="6" t="s">
        <v>209</v>
      </c>
      <c r="E215" s="6" t="s">
        <v>86</v>
      </c>
      <c r="F215" s="6" t="str">
        <f aca="false">INDEX(Items!$B$5:$B$62,MATCH($E215,Items!$A$5:$A$62,0))</f>
        <v>DISPOSABLES &amp; CLINIC CONSUMABLES</v>
      </c>
      <c r="G215" s="6" t="str">
        <f aca="false">INDEX(Items!$C$5:$C$62,MATCH($E215,Items!$A$5:$A$62,0))</f>
        <v>Bulk</v>
      </c>
      <c r="H215" s="6" t="s">
        <v>161</v>
      </c>
      <c r="I215" s="6" t="s">
        <v>160</v>
      </c>
      <c r="J215" s="6" t="n">
        <f aca="false">SUMIFS(Kits!$C$5:$C$163,Kits!$A$5:$A$163,$D215,Kits!$B$5:$B$163,$E215)</f>
        <v>2</v>
      </c>
      <c r="K215" s="6" t="n">
        <f aca="false">INDEX(Services!$F$5:$F$85,MATCH($A215,Services!$A$5:$A$85,0))</f>
        <v>1</v>
      </c>
      <c r="L215" s="6" t="n">
        <f aca="false">IF($H215="Auto-deduct",IF($G215="Countable",ROUNDUP($J215*IF($I215="Y",$K215,1),0),ROUND($J215*IF($I215="Y",$K215,1),1)),$J215)</f>
        <v>2</v>
      </c>
      <c r="M215" s="6" t="str">
        <f aca="false">INDEX(Items!$E$5:$E$62,MATCH($E215,Items!$A$5:$A$62,0))</f>
        <v>pc</v>
      </c>
      <c r="N215" s="6" t="n">
        <f aca="false">ROUND($L215/INDEX(Items!$F$5:$F$62,MATCH($E215,Items!$A$5:$A$62,0)),4)</f>
        <v>0.025</v>
      </c>
      <c r="O215" s="6"/>
    </row>
    <row r="216" customFormat="false" ht="15" hidden="false" customHeight="false" outlineLevel="0" collapsed="false">
      <c r="A216" s="6" t="n">
        <v>25</v>
      </c>
      <c r="B216" s="6" t="s">
        <v>210</v>
      </c>
      <c r="C216" s="6" t="s">
        <v>302</v>
      </c>
      <c r="D216" s="6" t="s">
        <v>209</v>
      </c>
      <c r="E216" s="6" t="s">
        <v>58</v>
      </c>
      <c r="F216" s="6" t="str">
        <f aca="false">INDEX(Items!$B$5:$B$62,MATCH($E216,Items!$A$5:$A$62,0))</f>
        <v>DISPOSABLES &amp; CLINIC CONSUMABLES</v>
      </c>
      <c r="G216" s="6" t="str">
        <f aca="false">INDEX(Items!$C$5:$C$62,MATCH($E216,Items!$A$5:$A$62,0))</f>
        <v>Bulk</v>
      </c>
      <c r="H216" s="6" t="s">
        <v>161</v>
      </c>
      <c r="I216" s="6" t="s">
        <v>160</v>
      </c>
      <c r="J216" s="6" t="n">
        <f aca="false">SUMIFS(Kits!$C$5:$C$163,Kits!$A$5:$A$163,$D216,Kits!$B$5:$B$163,$E216)</f>
        <v>4</v>
      </c>
      <c r="K216" s="6" t="n">
        <f aca="false">INDEX(Services!$F$5:$F$85,MATCH($A216,Services!$A$5:$A$85,0))</f>
        <v>1</v>
      </c>
      <c r="L216" s="6" t="n">
        <f aca="false">IF($H216="Auto-deduct",IF($G216="Countable",ROUNDUP($J216*IF($I216="Y",$K216,1),0),ROUND($J216*IF($I216="Y",$K216,1),1)),$J216)</f>
        <v>4</v>
      </c>
      <c r="M216" s="6" t="str">
        <f aca="false">INDEX(Items!$E$5:$E$62,MATCH($E216,Items!$A$5:$A$62,0))</f>
        <v>sheet</v>
      </c>
      <c r="N216" s="6" t="n">
        <f aca="false">ROUND($L216/INDEX(Items!$F$5:$F$62,MATCH($E216,Items!$A$5:$A$62,0)),4)</f>
        <v>0.02</v>
      </c>
      <c r="O216" s="6"/>
    </row>
    <row r="217" customFormat="false" ht="15" hidden="false" customHeight="false" outlineLevel="0" collapsed="false">
      <c r="A217" s="6" t="n">
        <v>25</v>
      </c>
      <c r="B217" s="6" t="s">
        <v>210</v>
      </c>
      <c r="C217" s="6" t="s">
        <v>302</v>
      </c>
      <c r="D217" s="6" t="s">
        <v>209</v>
      </c>
      <c r="E217" s="6" t="s">
        <v>88</v>
      </c>
      <c r="F217" s="6" t="str">
        <f aca="false">INDEX(Items!$B$5:$B$62,MATCH($E217,Items!$A$5:$A$62,0))</f>
        <v>DISPOSABLES &amp; CLINIC CONSUMABLES</v>
      </c>
      <c r="G217" s="6" t="str">
        <f aca="false">INDEX(Items!$C$5:$C$62,MATCH($E217,Items!$A$5:$A$62,0))</f>
        <v>Bulk</v>
      </c>
      <c r="H217" s="6" t="s">
        <v>161</v>
      </c>
      <c r="I217" s="6" t="s">
        <v>160</v>
      </c>
      <c r="J217" s="6" t="n">
        <f aca="false">SUMIFS(Kits!$C$5:$C$163,Kits!$A$5:$A$163,$D217,Kits!$B$5:$B$163,$E217)</f>
        <v>10</v>
      </c>
      <c r="K217" s="6" t="n">
        <f aca="false">INDEX(Services!$F$5:$F$85,MATCH($A217,Services!$A$5:$A$85,0))</f>
        <v>1</v>
      </c>
      <c r="L217" s="6" t="n">
        <f aca="false">IF($H217="Auto-deduct",IF($G217="Countable",ROUNDUP($J217*IF($I217="Y",$K217,1),0),ROUND($J217*IF($I217="Y",$K217,1),1)),$J217)</f>
        <v>10</v>
      </c>
      <c r="M217" s="6" t="str">
        <f aca="false">INDEX(Items!$E$5:$E$62,MATCH($E217,Items!$A$5:$A$62,0))</f>
        <v>mL</v>
      </c>
      <c r="N217" s="6" t="n">
        <f aca="false">ROUND($L217/INDEX(Items!$F$5:$F$62,MATCH($E217,Items!$A$5:$A$62,0)),4)</f>
        <v>0.02</v>
      </c>
      <c r="O217" s="6"/>
    </row>
    <row r="218" customFormat="false" ht="15" hidden="false" customHeight="false" outlineLevel="0" collapsed="false">
      <c r="A218" s="6" t="n">
        <v>26</v>
      </c>
      <c r="B218" s="6" t="s">
        <v>306</v>
      </c>
      <c r="C218" s="6" t="s">
        <v>302</v>
      </c>
      <c r="D218" s="6" t="s">
        <v>159</v>
      </c>
      <c r="E218" s="6" t="s">
        <v>52</v>
      </c>
      <c r="F218" s="6" t="str">
        <f aca="false">INDEX(Items!$B$5:$B$62,MATCH($E218,Items!$A$5:$A$62,0))</f>
        <v>DISPOSABLES &amp; CLINIC CONSUMABLES</v>
      </c>
      <c r="G218" s="6" t="str">
        <f aca="false">INDEX(Items!$C$5:$C$62,MATCH($E218,Items!$A$5:$A$62,0))</f>
        <v>Countable</v>
      </c>
      <c r="H218" s="6" t="s">
        <v>161</v>
      </c>
      <c r="I218" s="6" t="s">
        <v>160</v>
      </c>
      <c r="J218" s="6" t="n">
        <f aca="false">SUMIFS(Kits!$C$5:$C$163,Kits!$A$5:$A$163,$D218,Kits!$B$5:$B$163,$E218)</f>
        <v>1</v>
      </c>
      <c r="K218" s="6" t="n">
        <f aca="false">INDEX(Services!$F$5:$F$85,MATCH($A218,Services!$A$5:$A$85,0))</f>
        <v>1</v>
      </c>
      <c r="L218" s="6" t="n">
        <f aca="false">IF($H218="Auto-deduct",IF($G218="Countable",ROUNDUP($J218*IF($I218="Y",$K218,1),0),ROUND($J218*IF($I218="Y",$K218,1),1)),$J218)</f>
        <v>1</v>
      </c>
      <c r="M218" s="6" t="str">
        <f aca="false">INDEX(Items!$E$5:$E$62,MATCH($E218,Items!$A$5:$A$62,0))</f>
        <v>pc</v>
      </c>
      <c r="N218" s="6" t="n">
        <f aca="false">ROUND($L218/INDEX(Items!$F$5:$F$62,MATCH($E218,Items!$A$5:$A$62,0)),4)</f>
        <v>1</v>
      </c>
      <c r="O218" s="6"/>
    </row>
    <row r="219" customFormat="false" ht="15" hidden="false" customHeight="false" outlineLevel="0" collapsed="false">
      <c r="A219" s="6" t="n">
        <v>26</v>
      </c>
      <c r="B219" s="6" t="s">
        <v>306</v>
      </c>
      <c r="C219" s="6" t="s">
        <v>302</v>
      </c>
      <c r="D219" s="6" t="s">
        <v>159</v>
      </c>
      <c r="E219" s="6" t="s">
        <v>53</v>
      </c>
      <c r="F219" s="6" t="str">
        <f aca="false">INDEX(Items!$B$5:$B$62,MATCH($E219,Items!$A$5:$A$62,0))</f>
        <v>DISPOSABLES &amp; CLINIC CONSUMABLES</v>
      </c>
      <c r="G219" s="6" t="str">
        <f aca="false">INDEX(Items!$C$5:$C$62,MATCH($E219,Items!$A$5:$A$62,0))</f>
        <v>Countable</v>
      </c>
      <c r="H219" s="6" t="s">
        <v>161</v>
      </c>
      <c r="I219" s="6" t="s">
        <v>160</v>
      </c>
      <c r="J219" s="6" t="n">
        <f aca="false">SUMIFS(Kits!$C$5:$C$163,Kits!$A$5:$A$163,$D219,Kits!$B$5:$B$163,$E219)</f>
        <v>1</v>
      </c>
      <c r="K219" s="6" t="n">
        <f aca="false">INDEX(Services!$F$5:$F$85,MATCH($A219,Services!$A$5:$A$85,0))</f>
        <v>1</v>
      </c>
      <c r="L219" s="6" t="n">
        <f aca="false">IF($H219="Auto-deduct",IF($G219="Countable",ROUNDUP($J219*IF($I219="Y",$K219,1),0),ROUND($J219*IF($I219="Y",$K219,1),1)),$J219)</f>
        <v>1</v>
      </c>
      <c r="M219" s="6" t="str">
        <f aca="false">INDEX(Items!$E$5:$E$62,MATCH($E219,Items!$A$5:$A$62,0))</f>
        <v>pair</v>
      </c>
      <c r="N219" s="6" t="n">
        <f aca="false">ROUND($L219/INDEX(Items!$F$5:$F$62,MATCH($E219,Items!$A$5:$A$62,0)),4)</f>
        <v>1</v>
      </c>
      <c r="O219" s="6"/>
    </row>
    <row r="220" customFormat="false" ht="15" hidden="false" customHeight="false" outlineLevel="0" collapsed="false">
      <c r="A220" s="6" t="n">
        <v>26</v>
      </c>
      <c r="B220" s="6" t="s">
        <v>306</v>
      </c>
      <c r="C220" s="6" t="s">
        <v>302</v>
      </c>
      <c r="D220" s="6" t="s">
        <v>159</v>
      </c>
      <c r="E220" s="6" t="s">
        <v>88</v>
      </c>
      <c r="F220" s="6" t="str">
        <f aca="false">INDEX(Items!$B$5:$B$62,MATCH($E220,Items!$A$5:$A$62,0))</f>
        <v>DISPOSABLES &amp; CLINIC CONSUMABLES</v>
      </c>
      <c r="G220" s="6" t="str">
        <f aca="false">INDEX(Items!$C$5:$C$62,MATCH($E220,Items!$A$5:$A$62,0))</f>
        <v>Bulk</v>
      </c>
      <c r="H220" s="6" t="s">
        <v>161</v>
      </c>
      <c r="I220" s="6" t="s">
        <v>160</v>
      </c>
      <c r="J220" s="6" t="n">
        <f aca="false">SUMIFS(Kits!$C$5:$C$163,Kits!$A$5:$A$163,$D220,Kits!$B$5:$B$163,$E220)</f>
        <v>5</v>
      </c>
      <c r="K220" s="6" t="n">
        <f aca="false">INDEX(Services!$F$5:$F$85,MATCH($A220,Services!$A$5:$A$85,0))</f>
        <v>1</v>
      </c>
      <c r="L220" s="6" t="n">
        <f aca="false">IF($H220="Auto-deduct",IF($G220="Countable",ROUNDUP($J220*IF($I220="Y",$K220,1),0),ROUND($J220*IF($I220="Y",$K220,1),1)),$J220)</f>
        <v>5</v>
      </c>
      <c r="M220" s="6" t="str">
        <f aca="false">INDEX(Items!$E$5:$E$62,MATCH($E220,Items!$A$5:$A$62,0))</f>
        <v>mL</v>
      </c>
      <c r="N220" s="6" t="n">
        <f aca="false">ROUND($L220/INDEX(Items!$F$5:$F$62,MATCH($E220,Items!$A$5:$A$62,0)),4)</f>
        <v>0.01</v>
      </c>
      <c r="O220" s="6"/>
    </row>
    <row r="221" customFormat="false" ht="15" hidden="false" customHeight="false" outlineLevel="0" collapsed="false">
      <c r="A221" s="6" t="n">
        <v>26</v>
      </c>
      <c r="B221" s="6" t="s">
        <v>306</v>
      </c>
      <c r="C221" s="6" t="s">
        <v>302</v>
      </c>
      <c r="D221" s="6" t="s">
        <v>209</v>
      </c>
      <c r="E221" s="6" t="s">
        <v>69</v>
      </c>
      <c r="F221" s="6" t="str">
        <f aca="false">INDEX(Items!$B$5:$B$62,MATCH($E221,Items!$A$5:$A$62,0))</f>
        <v>DISPOSABLES &amp; CLINIC CONSUMABLES</v>
      </c>
      <c r="G221" s="6" t="str">
        <f aca="false">INDEX(Items!$C$5:$C$62,MATCH($E221,Items!$A$5:$A$62,0))</f>
        <v>Bulk</v>
      </c>
      <c r="H221" s="6" t="s">
        <v>161</v>
      </c>
      <c r="I221" s="6" t="s">
        <v>160</v>
      </c>
      <c r="J221" s="6" t="n">
        <f aca="false">SUMIFS(Kits!$C$5:$C$163,Kits!$A$5:$A$163,$D221,Kits!$B$5:$B$163,$E221)</f>
        <v>5</v>
      </c>
      <c r="K221" s="6" t="n">
        <f aca="false">INDEX(Services!$F$5:$F$85,MATCH($A221,Services!$A$5:$A$85,0))</f>
        <v>1</v>
      </c>
      <c r="L221" s="6" t="n">
        <f aca="false">IF($H221="Auto-deduct",IF($G221="Countable",ROUNDUP($J221*IF($I221="Y",$K221,1),0),ROUND($J221*IF($I221="Y",$K221,1),1)),$J221)</f>
        <v>5</v>
      </c>
      <c r="M221" s="6" t="str">
        <f aca="false">INDEX(Items!$E$5:$E$62,MATCH($E221,Items!$A$5:$A$62,0))</f>
        <v>g</v>
      </c>
      <c r="N221" s="6" t="n">
        <f aca="false">ROUND($L221/INDEX(Items!$F$5:$F$62,MATCH($E221,Items!$A$5:$A$62,0)),4)</f>
        <v>0.0125</v>
      </c>
      <c r="O221" s="6"/>
    </row>
    <row r="222" customFormat="false" ht="15" hidden="false" customHeight="false" outlineLevel="0" collapsed="false">
      <c r="A222" s="6" t="n">
        <v>26</v>
      </c>
      <c r="B222" s="6" t="s">
        <v>306</v>
      </c>
      <c r="C222" s="6" t="s">
        <v>302</v>
      </c>
      <c r="D222" s="6" t="s">
        <v>209</v>
      </c>
      <c r="E222" s="6" t="s">
        <v>72</v>
      </c>
      <c r="F222" s="6" t="str">
        <f aca="false">INDEX(Items!$B$5:$B$62,MATCH($E222,Items!$A$5:$A$62,0))</f>
        <v>DISPOSABLES &amp; CLINIC CONSUMABLES</v>
      </c>
      <c r="G222" s="6" t="str">
        <f aca="false">INDEX(Items!$C$5:$C$62,MATCH($E222,Items!$A$5:$A$62,0))</f>
        <v>Bulk</v>
      </c>
      <c r="H222" s="6" t="s">
        <v>161</v>
      </c>
      <c r="I222" s="6" t="s">
        <v>160</v>
      </c>
      <c r="J222" s="6" t="n">
        <f aca="false">SUMIFS(Kits!$C$5:$C$163,Kits!$A$5:$A$163,$D222,Kits!$B$5:$B$163,$E222)</f>
        <v>4</v>
      </c>
      <c r="K222" s="6" t="n">
        <f aca="false">INDEX(Services!$F$5:$F$85,MATCH($A222,Services!$A$5:$A$85,0))</f>
        <v>1</v>
      </c>
      <c r="L222" s="6" t="n">
        <f aca="false">IF($H222="Auto-deduct",IF($G222="Countable",ROUNDUP($J222*IF($I222="Y",$K222,1),0),ROUND($J222*IF($I222="Y",$K222,1),1)),$J222)</f>
        <v>4</v>
      </c>
      <c r="M222" s="6" t="str">
        <f aca="false">INDEX(Items!$E$5:$E$62,MATCH($E222,Items!$A$5:$A$62,0))</f>
        <v>pc</v>
      </c>
      <c r="N222" s="6" t="n">
        <f aca="false">ROUND($L222/INDEX(Items!$F$5:$F$62,MATCH($E222,Items!$A$5:$A$62,0)),4)</f>
        <v>0.04</v>
      </c>
      <c r="O222" s="6"/>
    </row>
    <row r="223" customFormat="false" ht="15" hidden="false" customHeight="false" outlineLevel="0" collapsed="false">
      <c r="A223" s="6" t="n">
        <v>26</v>
      </c>
      <c r="B223" s="6" t="s">
        <v>306</v>
      </c>
      <c r="C223" s="6" t="s">
        <v>302</v>
      </c>
      <c r="D223" s="6" t="s">
        <v>209</v>
      </c>
      <c r="E223" s="6" t="s">
        <v>81</v>
      </c>
      <c r="F223" s="6" t="str">
        <f aca="false">INDEX(Items!$B$5:$B$62,MATCH($E223,Items!$A$5:$A$62,0))</f>
        <v>DISPOSABLES &amp; CLINIC CONSUMABLES</v>
      </c>
      <c r="G223" s="6" t="str">
        <f aca="false">INDEX(Items!$C$5:$C$62,MATCH($E223,Items!$A$5:$A$62,0))</f>
        <v>Bulk</v>
      </c>
      <c r="H223" s="6" t="s">
        <v>161</v>
      </c>
      <c r="I223" s="6" t="s">
        <v>160</v>
      </c>
      <c r="J223" s="6" t="n">
        <f aca="false">SUMIFS(Kits!$C$5:$C$163,Kits!$A$5:$A$163,$D223,Kits!$B$5:$B$163,$E223)</f>
        <v>2</v>
      </c>
      <c r="K223" s="6" t="n">
        <f aca="false">INDEX(Services!$F$5:$F$85,MATCH($A223,Services!$A$5:$A$85,0))</f>
        <v>1</v>
      </c>
      <c r="L223" s="6" t="n">
        <f aca="false">IF($H223="Auto-deduct",IF($G223="Countable",ROUNDUP($J223*IF($I223="Y",$K223,1),0),ROUND($J223*IF($I223="Y",$K223,1),1)),$J223)</f>
        <v>2</v>
      </c>
      <c r="M223" s="6" t="str">
        <f aca="false">INDEX(Items!$E$5:$E$62,MATCH($E223,Items!$A$5:$A$62,0))</f>
        <v>pc</v>
      </c>
      <c r="N223" s="6" t="n">
        <f aca="false">ROUND($L223/INDEX(Items!$F$5:$F$62,MATCH($E223,Items!$A$5:$A$62,0)),4)</f>
        <v>0.02</v>
      </c>
      <c r="O223" s="6"/>
    </row>
    <row r="224" customFormat="false" ht="15" hidden="false" customHeight="false" outlineLevel="0" collapsed="false">
      <c r="A224" s="6" t="n">
        <v>26</v>
      </c>
      <c r="B224" s="6" t="s">
        <v>306</v>
      </c>
      <c r="C224" s="6" t="s">
        <v>302</v>
      </c>
      <c r="D224" s="6" t="s">
        <v>209</v>
      </c>
      <c r="E224" s="6" t="s">
        <v>86</v>
      </c>
      <c r="F224" s="6" t="str">
        <f aca="false">INDEX(Items!$B$5:$B$62,MATCH($E224,Items!$A$5:$A$62,0))</f>
        <v>DISPOSABLES &amp; CLINIC CONSUMABLES</v>
      </c>
      <c r="G224" s="6" t="str">
        <f aca="false">INDEX(Items!$C$5:$C$62,MATCH($E224,Items!$A$5:$A$62,0))</f>
        <v>Bulk</v>
      </c>
      <c r="H224" s="6" t="s">
        <v>161</v>
      </c>
      <c r="I224" s="6" t="s">
        <v>160</v>
      </c>
      <c r="J224" s="6" t="n">
        <f aca="false">SUMIFS(Kits!$C$5:$C$163,Kits!$A$5:$A$163,$D224,Kits!$B$5:$B$163,$E224)</f>
        <v>2</v>
      </c>
      <c r="K224" s="6" t="n">
        <f aca="false">INDEX(Services!$F$5:$F$85,MATCH($A224,Services!$A$5:$A$85,0))</f>
        <v>1</v>
      </c>
      <c r="L224" s="6" t="n">
        <f aca="false">IF($H224="Auto-deduct",IF($G224="Countable",ROUNDUP($J224*IF($I224="Y",$K224,1),0),ROUND($J224*IF($I224="Y",$K224,1),1)),$J224)</f>
        <v>2</v>
      </c>
      <c r="M224" s="6" t="str">
        <f aca="false">INDEX(Items!$E$5:$E$62,MATCH($E224,Items!$A$5:$A$62,0))</f>
        <v>pc</v>
      </c>
      <c r="N224" s="6" t="n">
        <f aca="false">ROUND($L224/INDEX(Items!$F$5:$F$62,MATCH($E224,Items!$A$5:$A$62,0)),4)</f>
        <v>0.025</v>
      </c>
      <c r="O224" s="6"/>
    </row>
    <row r="225" customFormat="false" ht="15" hidden="false" customHeight="false" outlineLevel="0" collapsed="false">
      <c r="A225" s="6" t="n">
        <v>26</v>
      </c>
      <c r="B225" s="6" t="s">
        <v>306</v>
      </c>
      <c r="C225" s="6" t="s">
        <v>302</v>
      </c>
      <c r="D225" s="6" t="s">
        <v>209</v>
      </c>
      <c r="E225" s="6" t="s">
        <v>58</v>
      </c>
      <c r="F225" s="6" t="str">
        <f aca="false">INDEX(Items!$B$5:$B$62,MATCH($E225,Items!$A$5:$A$62,0))</f>
        <v>DISPOSABLES &amp; CLINIC CONSUMABLES</v>
      </c>
      <c r="G225" s="6" t="str">
        <f aca="false">INDEX(Items!$C$5:$C$62,MATCH($E225,Items!$A$5:$A$62,0))</f>
        <v>Bulk</v>
      </c>
      <c r="H225" s="6" t="s">
        <v>161</v>
      </c>
      <c r="I225" s="6" t="s">
        <v>160</v>
      </c>
      <c r="J225" s="6" t="n">
        <f aca="false">SUMIFS(Kits!$C$5:$C$163,Kits!$A$5:$A$163,$D225,Kits!$B$5:$B$163,$E225)</f>
        <v>4</v>
      </c>
      <c r="K225" s="6" t="n">
        <f aca="false">INDEX(Services!$F$5:$F$85,MATCH($A225,Services!$A$5:$A$85,0))</f>
        <v>1</v>
      </c>
      <c r="L225" s="6" t="n">
        <f aca="false">IF($H225="Auto-deduct",IF($G225="Countable",ROUNDUP($J225*IF($I225="Y",$K225,1),0),ROUND($J225*IF($I225="Y",$K225,1),1)),$J225)</f>
        <v>4</v>
      </c>
      <c r="M225" s="6" t="str">
        <f aca="false">INDEX(Items!$E$5:$E$62,MATCH($E225,Items!$A$5:$A$62,0))</f>
        <v>sheet</v>
      </c>
      <c r="N225" s="6" t="n">
        <f aca="false">ROUND($L225/INDEX(Items!$F$5:$F$62,MATCH($E225,Items!$A$5:$A$62,0)),4)</f>
        <v>0.02</v>
      </c>
      <c r="O225" s="6"/>
    </row>
    <row r="226" customFormat="false" ht="15" hidden="false" customHeight="false" outlineLevel="0" collapsed="false">
      <c r="A226" s="6" t="n">
        <v>26</v>
      </c>
      <c r="B226" s="6" t="s">
        <v>306</v>
      </c>
      <c r="C226" s="6" t="s">
        <v>302</v>
      </c>
      <c r="D226" s="6" t="s">
        <v>209</v>
      </c>
      <c r="E226" s="6" t="s">
        <v>88</v>
      </c>
      <c r="F226" s="6" t="str">
        <f aca="false">INDEX(Items!$B$5:$B$62,MATCH($E226,Items!$A$5:$A$62,0))</f>
        <v>DISPOSABLES &amp; CLINIC CONSUMABLES</v>
      </c>
      <c r="G226" s="6" t="str">
        <f aca="false">INDEX(Items!$C$5:$C$62,MATCH($E226,Items!$A$5:$A$62,0))</f>
        <v>Bulk</v>
      </c>
      <c r="H226" s="6" t="s">
        <v>161</v>
      </c>
      <c r="I226" s="6" t="s">
        <v>160</v>
      </c>
      <c r="J226" s="6" t="n">
        <f aca="false">SUMIFS(Kits!$C$5:$C$163,Kits!$A$5:$A$163,$D226,Kits!$B$5:$B$163,$E226)</f>
        <v>10</v>
      </c>
      <c r="K226" s="6" t="n">
        <f aca="false">INDEX(Services!$F$5:$F$85,MATCH($A226,Services!$A$5:$A$85,0))</f>
        <v>1</v>
      </c>
      <c r="L226" s="6" t="n">
        <f aca="false">IF($H226="Auto-deduct",IF($G226="Countable",ROUNDUP($J226*IF($I226="Y",$K226,1),0),ROUND($J226*IF($I226="Y",$K226,1),1)),$J226)</f>
        <v>10</v>
      </c>
      <c r="M226" s="6" t="str">
        <f aca="false">INDEX(Items!$E$5:$E$62,MATCH($E226,Items!$A$5:$A$62,0))</f>
        <v>mL</v>
      </c>
      <c r="N226" s="6" t="n">
        <f aca="false">ROUND($L226/INDEX(Items!$F$5:$F$62,MATCH($E226,Items!$A$5:$A$62,0)),4)</f>
        <v>0.02</v>
      </c>
      <c r="O226" s="6"/>
    </row>
    <row r="227" customFormat="false" ht="15" hidden="false" customHeight="false" outlineLevel="0" collapsed="false">
      <c r="A227" s="6" t="n">
        <v>26</v>
      </c>
      <c r="B227" s="6" t="s">
        <v>306</v>
      </c>
      <c r="C227" s="6" t="s">
        <v>302</v>
      </c>
      <c r="D227" s="6" t="s">
        <v>207</v>
      </c>
      <c r="E227" s="6" t="s">
        <v>86</v>
      </c>
      <c r="F227" s="6" t="str">
        <f aca="false">INDEX(Items!$B$5:$B$62,MATCH($E227,Items!$A$5:$A$62,0))</f>
        <v>DISPOSABLES &amp; CLINIC CONSUMABLES</v>
      </c>
      <c r="G227" s="6" t="str">
        <f aca="false">INDEX(Items!$C$5:$C$62,MATCH($E227,Items!$A$5:$A$62,0))</f>
        <v>Bulk</v>
      </c>
      <c r="H227" s="6" t="s">
        <v>161</v>
      </c>
      <c r="I227" s="6" t="s">
        <v>160</v>
      </c>
      <c r="J227" s="6" t="n">
        <f aca="false">SUMIFS(Kits!$C$5:$C$163,Kits!$A$5:$A$163,$D227,Kits!$B$5:$B$163,$E227)</f>
        <v>3</v>
      </c>
      <c r="K227" s="6" t="n">
        <f aca="false">INDEX(Services!$F$5:$F$85,MATCH($A227,Services!$A$5:$A$85,0))</f>
        <v>1</v>
      </c>
      <c r="L227" s="6" t="n">
        <f aca="false">IF($H227="Auto-deduct",IF($G227="Countable",ROUNDUP($J227*IF($I227="Y",$K227,1),0),ROUND($J227*IF($I227="Y",$K227,1),1)),$J227)</f>
        <v>3</v>
      </c>
      <c r="M227" s="6" t="str">
        <f aca="false">INDEX(Items!$E$5:$E$62,MATCH($E227,Items!$A$5:$A$62,0))</f>
        <v>pc</v>
      </c>
      <c r="N227" s="6" t="n">
        <f aca="false">ROUND($L227/INDEX(Items!$F$5:$F$62,MATCH($E227,Items!$A$5:$A$62,0)),4)</f>
        <v>0.0375</v>
      </c>
      <c r="O227" s="6"/>
    </row>
    <row r="228" customFormat="false" ht="15" hidden="false" customHeight="false" outlineLevel="0" collapsed="false">
      <c r="A228" s="6" t="n">
        <v>26</v>
      </c>
      <c r="B228" s="6" t="s">
        <v>306</v>
      </c>
      <c r="C228" s="6" t="s">
        <v>302</v>
      </c>
      <c r="D228" s="6" t="s">
        <v>207</v>
      </c>
      <c r="E228" s="6" t="s">
        <v>58</v>
      </c>
      <c r="F228" s="6" t="str">
        <f aca="false">INDEX(Items!$B$5:$B$62,MATCH($E228,Items!$A$5:$A$62,0))</f>
        <v>DISPOSABLES &amp; CLINIC CONSUMABLES</v>
      </c>
      <c r="G228" s="6" t="str">
        <f aca="false">INDEX(Items!$C$5:$C$62,MATCH($E228,Items!$A$5:$A$62,0))</f>
        <v>Bulk</v>
      </c>
      <c r="H228" s="6" t="s">
        <v>161</v>
      </c>
      <c r="I228" s="6" t="s">
        <v>160</v>
      </c>
      <c r="J228" s="6" t="n">
        <f aca="false">SUMIFS(Kits!$C$5:$C$163,Kits!$A$5:$A$163,$D228,Kits!$B$5:$B$163,$E228)</f>
        <v>6</v>
      </c>
      <c r="K228" s="6" t="n">
        <f aca="false">INDEX(Services!$F$5:$F$85,MATCH($A228,Services!$A$5:$A$85,0))</f>
        <v>1</v>
      </c>
      <c r="L228" s="6" t="n">
        <f aca="false">IF($H228="Auto-deduct",IF($G228="Countable",ROUNDUP($J228*IF($I228="Y",$K228,1),0),ROUND($J228*IF($I228="Y",$K228,1),1)),$J228)</f>
        <v>6</v>
      </c>
      <c r="M228" s="6" t="str">
        <f aca="false">INDEX(Items!$E$5:$E$62,MATCH($E228,Items!$A$5:$A$62,0))</f>
        <v>sheet</v>
      </c>
      <c r="N228" s="6" t="n">
        <f aca="false">ROUND($L228/INDEX(Items!$F$5:$F$62,MATCH($E228,Items!$A$5:$A$62,0)),4)</f>
        <v>0.03</v>
      </c>
      <c r="O228" s="6"/>
    </row>
    <row r="229" customFormat="false" ht="15" hidden="false" customHeight="false" outlineLevel="0" collapsed="false">
      <c r="A229" s="6" t="n">
        <v>26</v>
      </c>
      <c r="B229" s="6" t="s">
        <v>306</v>
      </c>
      <c r="C229" s="6" t="s">
        <v>302</v>
      </c>
      <c r="D229" s="6" t="s">
        <v>207</v>
      </c>
      <c r="E229" s="6" t="s">
        <v>88</v>
      </c>
      <c r="F229" s="6" t="str">
        <f aca="false">INDEX(Items!$B$5:$B$62,MATCH($E229,Items!$A$5:$A$62,0))</f>
        <v>DISPOSABLES &amp; CLINIC CONSUMABLES</v>
      </c>
      <c r="G229" s="6" t="str">
        <f aca="false">INDEX(Items!$C$5:$C$62,MATCH($E229,Items!$A$5:$A$62,0))</f>
        <v>Bulk</v>
      </c>
      <c r="H229" s="6" t="s">
        <v>161</v>
      </c>
      <c r="I229" s="6" t="s">
        <v>160</v>
      </c>
      <c r="J229" s="6" t="n">
        <f aca="false">SUMIFS(Kits!$C$5:$C$163,Kits!$A$5:$A$163,$D229,Kits!$B$5:$B$163,$E229)</f>
        <v>15</v>
      </c>
      <c r="K229" s="6" t="n">
        <f aca="false">INDEX(Services!$F$5:$F$85,MATCH($A229,Services!$A$5:$A$85,0))</f>
        <v>1</v>
      </c>
      <c r="L229" s="6" t="n">
        <f aca="false">IF($H229="Auto-deduct",IF($G229="Countable",ROUNDUP($J229*IF($I229="Y",$K229,1),0),ROUND($J229*IF($I229="Y",$K229,1),1)),$J229)</f>
        <v>15</v>
      </c>
      <c r="M229" s="6" t="str">
        <f aca="false">INDEX(Items!$E$5:$E$62,MATCH($E229,Items!$A$5:$A$62,0))</f>
        <v>mL</v>
      </c>
      <c r="N229" s="6" t="n">
        <f aca="false">ROUND($L229/INDEX(Items!$F$5:$F$62,MATCH($E229,Items!$A$5:$A$62,0)),4)</f>
        <v>0.03</v>
      </c>
      <c r="O229" s="6"/>
    </row>
    <row r="230" customFormat="false" ht="15" hidden="false" customHeight="false" outlineLevel="0" collapsed="false">
      <c r="A230" s="6" t="n">
        <v>26</v>
      </c>
      <c r="B230" s="6" t="s">
        <v>306</v>
      </c>
      <c r="C230" s="6" t="s">
        <v>302</v>
      </c>
      <c r="D230" s="6" t="s">
        <v>207</v>
      </c>
      <c r="E230" s="6" t="s">
        <v>69</v>
      </c>
      <c r="F230" s="6" t="str">
        <f aca="false">INDEX(Items!$B$5:$B$62,MATCH($E230,Items!$A$5:$A$62,0))</f>
        <v>DISPOSABLES &amp; CLINIC CONSUMABLES</v>
      </c>
      <c r="G230" s="6" t="str">
        <f aca="false">INDEX(Items!$C$5:$C$62,MATCH($E230,Items!$A$5:$A$62,0))</f>
        <v>Bulk</v>
      </c>
      <c r="H230" s="6" t="s">
        <v>161</v>
      </c>
      <c r="I230" s="6" t="s">
        <v>160</v>
      </c>
      <c r="J230" s="6" t="n">
        <f aca="false">SUMIFS(Kits!$C$5:$C$163,Kits!$A$5:$A$163,$D230,Kits!$B$5:$B$163,$E230)</f>
        <v>5</v>
      </c>
      <c r="K230" s="6" t="n">
        <f aca="false">INDEX(Services!$F$5:$F$85,MATCH($A230,Services!$A$5:$A$85,0))</f>
        <v>1</v>
      </c>
      <c r="L230" s="6" t="n">
        <f aca="false">IF($H230="Auto-deduct",IF($G230="Countable",ROUNDUP($J230*IF($I230="Y",$K230,1),0),ROUND($J230*IF($I230="Y",$K230,1),1)),$J230)</f>
        <v>5</v>
      </c>
      <c r="M230" s="6" t="str">
        <f aca="false">INDEX(Items!$E$5:$E$62,MATCH($E230,Items!$A$5:$A$62,0))</f>
        <v>g</v>
      </c>
      <c r="N230" s="6" t="n">
        <f aca="false">ROUND($L230/INDEX(Items!$F$5:$F$62,MATCH($E230,Items!$A$5:$A$62,0)),4)</f>
        <v>0.0125</v>
      </c>
      <c r="O230" s="6"/>
    </row>
    <row r="231" customFormat="false" ht="15" hidden="false" customHeight="false" outlineLevel="0" collapsed="false">
      <c r="A231" s="6" t="n">
        <v>27</v>
      </c>
      <c r="B231" s="6" t="s">
        <v>308</v>
      </c>
      <c r="C231" s="6" t="s">
        <v>302</v>
      </c>
      <c r="D231" s="6" t="s">
        <v>159</v>
      </c>
      <c r="E231" s="6" t="s">
        <v>52</v>
      </c>
      <c r="F231" s="6" t="str">
        <f aca="false">INDEX(Items!$B$5:$B$62,MATCH($E231,Items!$A$5:$A$62,0))</f>
        <v>DISPOSABLES &amp; CLINIC CONSUMABLES</v>
      </c>
      <c r="G231" s="6" t="str">
        <f aca="false">INDEX(Items!$C$5:$C$62,MATCH($E231,Items!$A$5:$A$62,0))</f>
        <v>Countable</v>
      </c>
      <c r="H231" s="6" t="s">
        <v>161</v>
      </c>
      <c r="I231" s="6" t="s">
        <v>160</v>
      </c>
      <c r="J231" s="6" t="n">
        <f aca="false">SUMIFS(Kits!$C$5:$C$163,Kits!$A$5:$A$163,$D231,Kits!$B$5:$B$163,$E231)</f>
        <v>1</v>
      </c>
      <c r="K231" s="6" t="n">
        <f aca="false">INDEX(Services!$F$5:$F$85,MATCH($A231,Services!$A$5:$A$85,0))</f>
        <v>1</v>
      </c>
      <c r="L231" s="6" t="n">
        <f aca="false">IF($H231="Auto-deduct",IF($G231="Countable",ROUNDUP($J231*IF($I231="Y",$K231,1),0),ROUND($J231*IF($I231="Y",$K231,1),1)),$J231)</f>
        <v>1</v>
      </c>
      <c r="M231" s="6" t="str">
        <f aca="false">INDEX(Items!$E$5:$E$62,MATCH($E231,Items!$A$5:$A$62,0))</f>
        <v>pc</v>
      </c>
      <c r="N231" s="6" t="n">
        <f aca="false">ROUND($L231/INDEX(Items!$F$5:$F$62,MATCH($E231,Items!$A$5:$A$62,0)),4)</f>
        <v>1</v>
      </c>
      <c r="O231" s="6"/>
    </row>
    <row r="232" customFormat="false" ht="15" hidden="false" customHeight="false" outlineLevel="0" collapsed="false">
      <c r="A232" s="6" t="n">
        <v>27</v>
      </c>
      <c r="B232" s="6" t="s">
        <v>308</v>
      </c>
      <c r="C232" s="6" t="s">
        <v>302</v>
      </c>
      <c r="D232" s="6" t="s">
        <v>159</v>
      </c>
      <c r="E232" s="6" t="s">
        <v>53</v>
      </c>
      <c r="F232" s="6" t="str">
        <f aca="false">INDEX(Items!$B$5:$B$62,MATCH($E232,Items!$A$5:$A$62,0))</f>
        <v>DISPOSABLES &amp; CLINIC CONSUMABLES</v>
      </c>
      <c r="G232" s="6" t="str">
        <f aca="false">INDEX(Items!$C$5:$C$62,MATCH($E232,Items!$A$5:$A$62,0))</f>
        <v>Countable</v>
      </c>
      <c r="H232" s="6" t="s">
        <v>161</v>
      </c>
      <c r="I232" s="6" t="s">
        <v>160</v>
      </c>
      <c r="J232" s="6" t="n">
        <f aca="false">SUMIFS(Kits!$C$5:$C$163,Kits!$A$5:$A$163,$D232,Kits!$B$5:$B$163,$E232)</f>
        <v>1</v>
      </c>
      <c r="K232" s="6" t="n">
        <f aca="false">INDEX(Services!$F$5:$F$85,MATCH($A232,Services!$A$5:$A$85,0))</f>
        <v>1</v>
      </c>
      <c r="L232" s="6" t="n">
        <f aca="false">IF($H232="Auto-deduct",IF($G232="Countable",ROUNDUP($J232*IF($I232="Y",$K232,1),0),ROUND($J232*IF($I232="Y",$K232,1),1)),$J232)</f>
        <v>1</v>
      </c>
      <c r="M232" s="6" t="str">
        <f aca="false">INDEX(Items!$E$5:$E$62,MATCH($E232,Items!$A$5:$A$62,0))</f>
        <v>pair</v>
      </c>
      <c r="N232" s="6" t="n">
        <f aca="false">ROUND($L232/INDEX(Items!$F$5:$F$62,MATCH($E232,Items!$A$5:$A$62,0)),4)</f>
        <v>1</v>
      </c>
      <c r="O232" s="6"/>
    </row>
    <row r="233" customFormat="false" ht="15" hidden="false" customHeight="false" outlineLevel="0" collapsed="false">
      <c r="A233" s="6" t="n">
        <v>27</v>
      </c>
      <c r="B233" s="6" t="s">
        <v>308</v>
      </c>
      <c r="C233" s="6" t="s">
        <v>302</v>
      </c>
      <c r="D233" s="6" t="s">
        <v>159</v>
      </c>
      <c r="E233" s="6" t="s">
        <v>88</v>
      </c>
      <c r="F233" s="6" t="str">
        <f aca="false">INDEX(Items!$B$5:$B$62,MATCH($E233,Items!$A$5:$A$62,0))</f>
        <v>DISPOSABLES &amp; CLINIC CONSUMABLES</v>
      </c>
      <c r="G233" s="6" t="str">
        <f aca="false">INDEX(Items!$C$5:$C$62,MATCH($E233,Items!$A$5:$A$62,0))</f>
        <v>Bulk</v>
      </c>
      <c r="H233" s="6" t="s">
        <v>161</v>
      </c>
      <c r="I233" s="6" t="s">
        <v>160</v>
      </c>
      <c r="J233" s="6" t="n">
        <f aca="false">SUMIFS(Kits!$C$5:$C$163,Kits!$A$5:$A$163,$D233,Kits!$B$5:$B$163,$E233)</f>
        <v>5</v>
      </c>
      <c r="K233" s="6" t="n">
        <f aca="false">INDEX(Services!$F$5:$F$85,MATCH($A233,Services!$A$5:$A$85,0))</f>
        <v>1</v>
      </c>
      <c r="L233" s="6" t="n">
        <f aca="false">IF($H233="Auto-deduct",IF($G233="Countable",ROUNDUP($J233*IF($I233="Y",$K233,1),0),ROUND($J233*IF($I233="Y",$K233,1),1)),$J233)</f>
        <v>5</v>
      </c>
      <c r="M233" s="6" t="str">
        <f aca="false">INDEX(Items!$E$5:$E$62,MATCH($E233,Items!$A$5:$A$62,0))</f>
        <v>mL</v>
      </c>
      <c r="N233" s="6" t="n">
        <f aca="false">ROUND($L233/INDEX(Items!$F$5:$F$62,MATCH($E233,Items!$A$5:$A$62,0)),4)</f>
        <v>0.01</v>
      </c>
      <c r="O233" s="6"/>
    </row>
    <row r="234" customFormat="false" ht="15" hidden="false" customHeight="false" outlineLevel="0" collapsed="false">
      <c r="A234" s="6" t="n">
        <v>27</v>
      </c>
      <c r="B234" s="6" t="s">
        <v>308</v>
      </c>
      <c r="C234" s="6" t="s">
        <v>302</v>
      </c>
      <c r="D234" s="6" t="s">
        <v>209</v>
      </c>
      <c r="E234" s="6" t="s">
        <v>69</v>
      </c>
      <c r="F234" s="6" t="str">
        <f aca="false">INDEX(Items!$B$5:$B$62,MATCH($E234,Items!$A$5:$A$62,0))</f>
        <v>DISPOSABLES &amp; CLINIC CONSUMABLES</v>
      </c>
      <c r="G234" s="6" t="str">
        <f aca="false">INDEX(Items!$C$5:$C$62,MATCH($E234,Items!$A$5:$A$62,0))</f>
        <v>Bulk</v>
      </c>
      <c r="H234" s="6" t="s">
        <v>161</v>
      </c>
      <c r="I234" s="6" t="s">
        <v>160</v>
      </c>
      <c r="J234" s="6" t="n">
        <f aca="false">SUMIFS(Kits!$C$5:$C$163,Kits!$A$5:$A$163,$D234,Kits!$B$5:$B$163,$E234)</f>
        <v>5</v>
      </c>
      <c r="K234" s="6" t="n">
        <f aca="false">INDEX(Services!$F$5:$F$85,MATCH($A234,Services!$A$5:$A$85,0))</f>
        <v>1</v>
      </c>
      <c r="L234" s="6" t="n">
        <f aca="false">IF($H234="Auto-deduct",IF($G234="Countable",ROUNDUP($J234*IF($I234="Y",$K234,1),0),ROUND($J234*IF($I234="Y",$K234,1),1)),$J234)</f>
        <v>5</v>
      </c>
      <c r="M234" s="6" t="str">
        <f aca="false">INDEX(Items!$E$5:$E$62,MATCH($E234,Items!$A$5:$A$62,0))</f>
        <v>g</v>
      </c>
      <c r="N234" s="6" t="n">
        <f aca="false">ROUND($L234/INDEX(Items!$F$5:$F$62,MATCH($E234,Items!$A$5:$A$62,0)),4)</f>
        <v>0.0125</v>
      </c>
      <c r="O234" s="6"/>
    </row>
    <row r="235" customFormat="false" ht="15" hidden="false" customHeight="false" outlineLevel="0" collapsed="false">
      <c r="A235" s="6" t="n">
        <v>27</v>
      </c>
      <c r="B235" s="6" t="s">
        <v>308</v>
      </c>
      <c r="C235" s="6" t="s">
        <v>302</v>
      </c>
      <c r="D235" s="6" t="s">
        <v>209</v>
      </c>
      <c r="E235" s="6" t="s">
        <v>72</v>
      </c>
      <c r="F235" s="6" t="str">
        <f aca="false">INDEX(Items!$B$5:$B$62,MATCH($E235,Items!$A$5:$A$62,0))</f>
        <v>DISPOSABLES &amp; CLINIC CONSUMABLES</v>
      </c>
      <c r="G235" s="6" t="str">
        <f aca="false">INDEX(Items!$C$5:$C$62,MATCH($E235,Items!$A$5:$A$62,0))</f>
        <v>Bulk</v>
      </c>
      <c r="H235" s="6" t="s">
        <v>161</v>
      </c>
      <c r="I235" s="6" t="s">
        <v>160</v>
      </c>
      <c r="J235" s="6" t="n">
        <f aca="false">SUMIFS(Kits!$C$5:$C$163,Kits!$A$5:$A$163,$D235,Kits!$B$5:$B$163,$E235)</f>
        <v>4</v>
      </c>
      <c r="K235" s="6" t="n">
        <f aca="false">INDEX(Services!$F$5:$F$85,MATCH($A235,Services!$A$5:$A$85,0))</f>
        <v>1</v>
      </c>
      <c r="L235" s="6" t="n">
        <f aca="false">IF($H235="Auto-deduct",IF($G235="Countable",ROUNDUP($J235*IF($I235="Y",$K235,1),0),ROUND($J235*IF($I235="Y",$K235,1),1)),$J235)</f>
        <v>4</v>
      </c>
      <c r="M235" s="6" t="str">
        <f aca="false">INDEX(Items!$E$5:$E$62,MATCH($E235,Items!$A$5:$A$62,0))</f>
        <v>pc</v>
      </c>
      <c r="N235" s="6" t="n">
        <f aca="false">ROUND($L235/INDEX(Items!$F$5:$F$62,MATCH($E235,Items!$A$5:$A$62,0)),4)</f>
        <v>0.04</v>
      </c>
      <c r="O235" s="6"/>
    </row>
    <row r="236" customFormat="false" ht="15" hidden="false" customHeight="false" outlineLevel="0" collapsed="false">
      <c r="A236" s="6" t="n">
        <v>27</v>
      </c>
      <c r="B236" s="6" t="s">
        <v>308</v>
      </c>
      <c r="C236" s="6" t="s">
        <v>302</v>
      </c>
      <c r="D236" s="6" t="s">
        <v>209</v>
      </c>
      <c r="E236" s="6" t="s">
        <v>81</v>
      </c>
      <c r="F236" s="6" t="str">
        <f aca="false">INDEX(Items!$B$5:$B$62,MATCH($E236,Items!$A$5:$A$62,0))</f>
        <v>DISPOSABLES &amp; CLINIC CONSUMABLES</v>
      </c>
      <c r="G236" s="6" t="str">
        <f aca="false">INDEX(Items!$C$5:$C$62,MATCH($E236,Items!$A$5:$A$62,0))</f>
        <v>Bulk</v>
      </c>
      <c r="H236" s="6" t="s">
        <v>161</v>
      </c>
      <c r="I236" s="6" t="s">
        <v>160</v>
      </c>
      <c r="J236" s="6" t="n">
        <f aca="false">SUMIFS(Kits!$C$5:$C$163,Kits!$A$5:$A$163,$D236,Kits!$B$5:$B$163,$E236)</f>
        <v>2</v>
      </c>
      <c r="K236" s="6" t="n">
        <f aca="false">INDEX(Services!$F$5:$F$85,MATCH($A236,Services!$A$5:$A$85,0))</f>
        <v>1</v>
      </c>
      <c r="L236" s="6" t="n">
        <f aca="false">IF($H236="Auto-deduct",IF($G236="Countable",ROUNDUP($J236*IF($I236="Y",$K236,1),0),ROUND($J236*IF($I236="Y",$K236,1),1)),$J236)</f>
        <v>2</v>
      </c>
      <c r="M236" s="6" t="str">
        <f aca="false">INDEX(Items!$E$5:$E$62,MATCH($E236,Items!$A$5:$A$62,0))</f>
        <v>pc</v>
      </c>
      <c r="N236" s="6" t="n">
        <f aca="false">ROUND($L236/INDEX(Items!$F$5:$F$62,MATCH($E236,Items!$A$5:$A$62,0)),4)</f>
        <v>0.02</v>
      </c>
      <c r="O236" s="6"/>
    </row>
    <row r="237" customFormat="false" ht="15" hidden="false" customHeight="false" outlineLevel="0" collapsed="false">
      <c r="A237" s="6" t="n">
        <v>27</v>
      </c>
      <c r="B237" s="6" t="s">
        <v>308</v>
      </c>
      <c r="C237" s="6" t="s">
        <v>302</v>
      </c>
      <c r="D237" s="6" t="s">
        <v>209</v>
      </c>
      <c r="E237" s="6" t="s">
        <v>86</v>
      </c>
      <c r="F237" s="6" t="str">
        <f aca="false">INDEX(Items!$B$5:$B$62,MATCH($E237,Items!$A$5:$A$62,0))</f>
        <v>DISPOSABLES &amp; CLINIC CONSUMABLES</v>
      </c>
      <c r="G237" s="6" t="str">
        <f aca="false">INDEX(Items!$C$5:$C$62,MATCH($E237,Items!$A$5:$A$62,0))</f>
        <v>Bulk</v>
      </c>
      <c r="H237" s="6" t="s">
        <v>161</v>
      </c>
      <c r="I237" s="6" t="s">
        <v>160</v>
      </c>
      <c r="J237" s="6" t="n">
        <f aca="false">SUMIFS(Kits!$C$5:$C$163,Kits!$A$5:$A$163,$D237,Kits!$B$5:$B$163,$E237)</f>
        <v>2</v>
      </c>
      <c r="K237" s="6" t="n">
        <f aca="false">INDEX(Services!$F$5:$F$85,MATCH($A237,Services!$A$5:$A$85,0))</f>
        <v>1</v>
      </c>
      <c r="L237" s="6" t="n">
        <f aca="false">IF($H237="Auto-deduct",IF($G237="Countable",ROUNDUP($J237*IF($I237="Y",$K237,1),0),ROUND($J237*IF($I237="Y",$K237,1),1)),$J237)</f>
        <v>2</v>
      </c>
      <c r="M237" s="6" t="str">
        <f aca="false">INDEX(Items!$E$5:$E$62,MATCH($E237,Items!$A$5:$A$62,0))</f>
        <v>pc</v>
      </c>
      <c r="N237" s="6" t="n">
        <f aca="false">ROUND($L237/INDEX(Items!$F$5:$F$62,MATCH($E237,Items!$A$5:$A$62,0)),4)</f>
        <v>0.025</v>
      </c>
      <c r="O237" s="6"/>
    </row>
    <row r="238" customFormat="false" ht="15" hidden="false" customHeight="false" outlineLevel="0" collapsed="false">
      <c r="A238" s="6" t="n">
        <v>27</v>
      </c>
      <c r="B238" s="6" t="s">
        <v>308</v>
      </c>
      <c r="C238" s="6" t="s">
        <v>302</v>
      </c>
      <c r="D238" s="6" t="s">
        <v>209</v>
      </c>
      <c r="E238" s="6" t="s">
        <v>58</v>
      </c>
      <c r="F238" s="6" t="str">
        <f aca="false">INDEX(Items!$B$5:$B$62,MATCH($E238,Items!$A$5:$A$62,0))</f>
        <v>DISPOSABLES &amp; CLINIC CONSUMABLES</v>
      </c>
      <c r="G238" s="6" t="str">
        <f aca="false">INDEX(Items!$C$5:$C$62,MATCH($E238,Items!$A$5:$A$62,0))</f>
        <v>Bulk</v>
      </c>
      <c r="H238" s="6" t="s">
        <v>161</v>
      </c>
      <c r="I238" s="6" t="s">
        <v>160</v>
      </c>
      <c r="J238" s="6" t="n">
        <f aca="false">SUMIFS(Kits!$C$5:$C$163,Kits!$A$5:$A$163,$D238,Kits!$B$5:$B$163,$E238)</f>
        <v>4</v>
      </c>
      <c r="K238" s="6" t="n">
        <f aca="false">INDEX(Services!$F$5:$F$85,MATCH($A238,Services!$A$5:$A$85,0))</f>
        <v>1</v>
      </c>
      <c r="L238" s="6" t="n">
        <f aca="false">IF($H238="Auto-deduct",IF($G238="Countable",ROUNDUP($J238*IF($I238="Y",$K238,1),0),ROUND($J238*IF($I238="Y",$K238,1),1)),$J238)</f>
        <v>4</v>
      </c>
      <c r="M238" s="6" t="str">
        <f aca="false">INDEX(Items!$E$5:$E$62,MATCH($E238,Items!$A$5:$A$62,0))</f>
        <v>sheet</v>
      </c>
      <c r="N238" s="6" t="n">
        <f aca="false">ROUND($L238/INDEX(Items!$F$5:$F$62,MATCH($E238,Items!$A$5:$A$62,0)),4)</f>
        <v>0.02</v>
      </c>
      <c r="O238" s="6"/>
    </row>
    <row r="239" customFormat="false" ht="15" hidden="false" customHeight="false" outlineLevel="0" collapsed="false">
      <c r="A239" s="6" t="n">
        <v>27</v>
      </c>
      <c r="B239" s="6" t="s">
        <v>308</v>
      </c>
      <c r="C239" s="6" t="s">
        <v>302</v>
      </c>
      <c r="D239" s="6" t="s">
        <v>209</v>
      </c>
      <c r="E239" s="6" t="s">
        <v>88</v>
      </c>
      <c r="F239" s="6" t="str">
        <f aca="false">INDEX(Items!$B$5:$B$62,MATCH($E239,Items!$A$5:$A$62,0))</f>
        <v>DISPOSABLES &amp; CLINIC CONSUMABLES</v>
      </c>
      <c r="G239" s="6" t="str">
        <f aca="false">INDEX(Items!$C$5:$C$62,MATCH($E239,Items!$A$5:$A$62,0))</f>
        <v>Bulk</v>
      </c>
      <c r="H239" s="6" t="s">
        <v>161</v>
      </c>
      <c r="I239" s="6" t="s">
        <v>160</v>
      </c>
      <c r="J239" s="6" t="n">
        <f aca="false">SUMIFS(Kits!$C$5:$C$163,Kits!$A$5:$A$163,$D239,Kits!$B$5:$B$163,$E239)</f>
        <v>10</v>
      </c>
      <c r="K239" s="6" t="n">
        <f aca="false">INDEX(Services!$F$5:$F$85,MATCH($A239,Services!$A$5:$A$85,0))</f>
        <v>1</v>
      </c>
      <c r="L239" s="6" t="n">
        <f aca="false">IF($H239="Auto-deduct",IF($G239="Countable",ROUNDUP($J239*IF($I239="Y",$K239,1),0),ROUND($J239*IF($I239="Y",$K239,1),1)),$J239)</f>
        <v>10</v>
      </c>
      <c r="M239" s="6" t="str">
        <f aca="false">INDEX(Items!$E$5:$E$62,MATCH($E239,Items!$A$5:$A$62,0))</f>
        <v>mL</v>
      </c>
      <c r="N239" s="6" t="n">
        <f aca="false">ROUND($L239/INDEX(Items!$F$5:$F$62,MATCH($E239,Items!$A$5:$A$62,0)),4)</f>
        <v>0.02</v>
      </c>
      <c r="O239" s="6"/>
    </row>
    <row r="240" customFormat="false" ht="15" hidden="false" customHeight="false" outlineLevel="0" collapsed="false">
      <c r="A240" s="6" t="n">
        <v>27</v>
      </c>
      <c r="B240" s="6" t="s">
        <v>308</v>
      </c>
      <c r="C240" s="6" t="s">
        <v>302</v>
      </c>
      <c r="D240" s="6" t="s">
        <v>207</v>
      </c>
      <c r="E240" s="6" t="s">
        <v>86</v>
      </c>
      <c r="F240" s="6" t="str">
        <f aca="false">INDEX(Items!$B$5:$B$62,MATCH($E240,Items!$A$5:$A$62,0))</f>
        <v>DISPOSABLES &amp; CLINIC CONSUMABLES</v>
      </c>
      <c r="G240" s="6" t="str">
        <f aca="false">INDEX(Items!$C$5:$C$62,MATCH($E240,Items!$A$5:$A$62,0))</f>
        <v>Bulk</v>
      </c>
      <c r="H240" s="6" t="s">
        <v>161</v>
      </c>
      <c r="I240" s="6" t="s">
        <v>160</v>
      </c>
      <c r="J240" s="6" t="n">
        <f aca="false">SUMIFS(Kits!$C$5:$C$163,Kits!$A$5:$A$163,$D240,Kits!$B$5:$B$163,$E240)</f>
        <v>3</v>
      </c>
      <c r="K240" s="6" t="n">
        <f aca="false">INDEX(Services!$F$5:$F$85,MATCH($A240,Services!$A$5:$A$85,0))</f>
        <v>1</v>
      </c>
      <c r="L240" s="6" t="n">
        <f aca="false">IF($H240="Auto-deduct",IF($G240="Countable",ROUNDUP($J240*IF($I240="Y",$K240,1),0),ROUND($J240*IF($I240="Y",$K240,1),1)),$J240)</f>
        <v>3</v>
      </c>
      <c r="M240" s="6" t="str">
        <f aca="false">INDEX(Items!$E$5:$E$62,MATCH($E240,Items!$A$5:$A$62,0))</f>
        <v>pc</v>
      </c>
      <c r="N240" s="6" t="n">
        <f aca="false">ROUND($L240/INDEX(Items!$F$5:$F$62,MATCH($E240,Items!$A$5:$A$62,0)),4)</f>
        <v>0.0375</v>
      </c>
      <c r="O240" s="6"/>
    </row>
    <row r="241" customFormat="false" ht="15" hidden="false" customHeight="false" outlineLevel="0" collapsed="false">
      <c r="A241" s="6" t="n">
        <v>27</v>
      </c>
      <c r="B241" s="6" t="s">
        <v>308</v>
      </c>
      <c r="C241" s="6" t="s">
        <v>302</v>
      </c>
      <c r="D241" s="6" t="s">
        <v>207</v>
      </c>
      <c r="E241" s="6" t="s">
        <v>58</v>
      </c>
      <c r="F241" s="6" t="str">
        <f aca="false">INDEX(Items!$B$5:$B$62,MATCH($E241,Items!$A$5:$A$62,0))</f>
        <v>DISPOSABLES &amp; CLINIC CONSUMABLES</v>
      </c>
      <c r="G241" s="6" t="str">
        <f aca="false">INDEX(Items!$C$5:$C$62,MATCH($E241,Items!$A$5:$A$62,0))</f>
        <v>Bulk</v>
      </c>
      <c r="H241" s="6" t="s">
        <v>161</v>
      </c>
      <c r="I241" s="6" t="s">
        <v>160</v>
      </c>
      <c r="J241" s="6" t="n">
        <f aca="false">SUMIFS(Kits!$C$5:$C$163,Kits!$A$5:$A$163,$D241,Kits!$B$5:$B$163,$E241)</f>
        <v>6</v>
      </c>
      <c r="K241" s="6" t="n">
        <f aca="false">INDEX(Services!$F$5:$F$85,MATCH($A241,Services!$A$5:$A$85,0))</f>
        <v>1</v>
      </c>
      <c r="L241" s="6" t="n">
        <f aca="false">IF($H241="Auto-deduct",IF($G241="Countable",ROUNDUP($J241*IF($I241="Y",$K241,1),0),ROUND($J241*IF($I241="Y",$K241,1),1)),$J241)</f>
        <v>6</v>
      </c>
      <c r="M241" s="6" t="str">
        <f aca="false">INDEX(Items!$E$5:$E$62,MATCH($E241,Items!$A$5:$A$62,0))</f>
        <v>sheet</v>
      </c>
      <c r="N241" s="6" t="n">
        <f aca="false">ROUND($L241/INDEX(Items!$F$5:$F$62,MATCH($E241,Items!$A$5:$A$62,0)),4)</f>
        <v>0.03</v>
      </c>
      <c r="O241" s="6"/>
    </row>
    <row r="242" customFormat="false" ht="15" hidden="false" customHeight="false" outlineLevel="0" collapsed="false">
      <c r="A242" s="6" t="n">
        <v>27</v>
      </c>
      <c r="B242" s="6" t="s">
        <v>308</v>
      </c>
      <c r="C242" s="6" t="s">
        <v>302</v>
      </c>
      <c r="D242" s="6" t="s">
        <v>207</v>
      </c>
      <c r="E242" s="6" t="s">
        <v>88</v>
      </c>
      <c r="F242" s="6" t="str">
        <f aca="false">INDEX(Items!$B$5:$B$62,MATCH($E242,Items!$A$5:$A$62,0))</f>
        <v>DISPOSABLES &amp; CLINIC CONSUMABLES</v>
      </c>
      <c r="G242" s="6" t="str">
        <f aca="false">INDEX(Items!$C$5:$C$62,MATCH($E242,Items!$A$5:$A$62,0))</f>
        <v>Bulk</v>
      </c>
      <c r="H242" s="6" t="s">
        <v>161</v>
      </c>
      <c r="I242" s="6" t="s">
        <v>160</v>
      </c>
      <c r="J242" s="6" t="n">
        <f aca="false">SUMIFS(Kits!$C$5:$C$163,Kits!$A$5:$A$163,$D242,Kits!$B$5:$B$163,$E242)</f>
        <v>15</v>
      </c>
      <c r="K242" s="6" t="n">
        <f aca="false">INDEX(Services!$F$5:$F$85,MATCH($A242,Services!$A$5:$A$85,0))</f>
        <v>1</v>
      </c>
      <c r="L242" s="6" t="n">
        <f aca="false">IF($H242="Auto-deduct",IF($G242="Countable",ROUNDUP($J242*IF($I242="Y",$K242,1),0),ROUND($J242*IF($I242="Y",$K242,1),1)),$J242)</f>
        <v>15</v>
      </c>
      <c r="M242" s="6" t="str">
        <f aca="false">INDEX(Items!$E$5:$E$62,MATCH($E242,Items!$A$5:$A$62,0))</f>
        <v>mL</v>
      </c>
      <c r="N242" s="6" t="n">
        <f aca="false">ROUND($L242/INDEX(Items!$F$5:$F$62,MATCH($E242,Items!$A$5:$A$62,0)),4)</f>
        <v>0.03</v>
      </c>
      <c r="O242" s="6"/>
    </row>
    <row r="243" customFormat="false" ht="15" hidden="false" customHeight="false" outlineLevel="0" collapsed="false">
      <c r="A243" s="6" t="n">
        <v>27</v>
      </c>
      <c r="B243" s="6" t="s">
        <v>308</v>
      </c>
      <c r="C243" s="6" t="s">
        <v>302</v>
      </c>
      <c r="D243" s="6" t="s">
        <v>207</v>
      </c>
      <c r="E243" s="6" t="s">
        <v>69</v>
      </c>
      <c r="F243" s="6" t="str">
        <f aca="false">INDEX(Items!$B$5:$B$62,MATCH($E243,Items!$A$5:$A$62,0))</f>
        <v>DISPOSABLES &amp; CLINIC CONSUMABLES</v>
      </c>
      <c r="G243" s="6" t="str">
        <f aca="false">INDEX(Items!$C$5:$C$62,MATCH($E243,Items!$A$5:$A$62,0))</f>
        <v>Bulk</v>
      </c>
      <c r="H243" s="6" t="s">
        <v>161</v>
      </c>
      <c r="I243" s="6" t="s">
        <v>160</v>
      </c>
      <c r="J243" s="6" t="n">
        <f aca="false">SUMIFS(Kits!$C$5:$C$163,Kits!$A$5:$A$163,$D243,Kits!$B$5:$B$163,$E243)</f>
        <v>5</v>
      </c>
      <c r="K243" s="6" t="n">
        <f aca="false">INDEX(Services!$F$5:$F$85,MATCH($A243,Services!$A$5:$A$85,0))</f>
        <v>1</v>
      </c>
      <c r="L243" s="6" t="n">
        <f aca="false">IF($H243="Auto-deduct",IF($G243="Countable",ROUNDUP($J243*IF($I243="Y",$K243,1),0),ROUND($J243*IF($I243="Y",$K243,1),1)),$J243)</f>
        <v>5</v>
      </c>
      <c r="M243" s="6" t="str">
        <f aca="false">INDEX(Items!$E$5:$E$62,MATCH($E243,Items!$A$5:$A$62,0))</f>
        <v>g</v>
      </c>
      <c r="N243" s="6" t="n">
        <f aca="false">ROUND($L243/INDEX(Items!$F$5:$F$62,MATCH($E243,Items!$A$5:$A$62,0)),4)</f>
        <v>0.0125</v>
      </c>
      <c r="O243" s="6"/>
    </row>
    <row r="244" customFormat="false" ht="15" hidden="false" customHeight="false" outlineLevel="0" collapsed="false">
      <c r="A244" s="6" t="n">
        <v>27</v>
      </c>
      <c r="B244" s="6" t="s">
        <v>308</v>
      </c>
      <c r="C244" s="6" t="s">
        <v>302</v>
      </c>
      <c r="D244" s="6" t="s">
        <v>211</v>
      </c>
      <c r="E244" s="6" t="s">
        <v>79</v>
      </c>
      <c r="F244" s="6" t="str">
        <f aca="false">INDEX(Items!$B$5:$B$62,MATCH($E244,Items!$A$5:$A$62,0))</f>
        <v>DISPOSABLES &amp; CLINIC CONSUMABLES</v>
      </c>
      <c r="G244" s="6" t="str">
        <f aca="false">INDEX(Items!$C$5:$C$62,MATCH($E244,Items!$A$5:$A$62,0))</f>
        <v>Bulk</v>
      </c>
      <c r="H244" s="6" t="s">
        <v>161</v>
      </c>
      <c r="I244" s="6" t="s">
        <v>160</v>
      </c>
      <c r="J244" s="6" t="n">
        <f aca="false">SUMIFS(Kits!$C$5:$C$163,Kits!$A$5:$A$163,$D244,Kits!$B$5:$B$163,$E244)</f>
        <v>60</v>
      </c>
      <c r="K244" s="6" t="n">
        <f aca="false">INDEX(Services!$F$5:$F$85,MATCH($A244,Services!$A$5:$A$85,0))</f>
        <v>1</v>
      </c>
      <c r="L244" s="6" t="n">
        <f aca="false">IF($H244="Auto-deduct",IF($G244="Countable",ROUNDUP($J244*IF($I244="Y",$K244,1),0),ROUND($J244*IF($I244="Y",$K244,1),1)),$J244)</f>
        <v>60</v>
      </c>
      <c r="M244" s="6" t="str">
        <f aca="false">INDEX(Items!$E$5:$E$62,MATCH($E244,Items!$A$5:$A$62,0))</f>
        <v>cm</v>
      </c>
      <c r="N244" s="6" t="n">
        <f aca="false">ROUND($L244/INDEX(Items!$F$5:$F$62,MATCH($E244,Items!$A$5:$A$62,0)),4)</f>
        <v>0.02</v>
      </c>
      <c r="O244" s="6"/>
    </row>
    <row r="245" customFormat="false" ht="15" hidden="false" customHeight="false" outlineLevel="0" collapsed="false">
      <c r="A245" s="6" t="n">
        <v>27</v>
      </c>
      <c r="B245" s="6" t="s">
        <v>308</v>
      </c>
      <c r="C245" s="6" t="s">
        <v>302</v>
      </c>
      <c r="D245" s="6" t="s">
        <v>211</v>
      </c>
      <c r="E245" s="6" t="s">
        <v>86</v>
      </c>
      <c r="F245" s="6" t="str">
        <f aca="false">INDEX(Items!$B$5:$B$62,MATCH($E245,Items!$A$5:$A$62,0))</f>
        <v>DISPOSABLES &amp; CLINIC CONSUMABLES</v>
      </c>
      <c r="G245" s="6" t="str">
        <f aca="false">INDEX(Items!$C$5:$C$62,MATCH($E245,Items!$A$5:$A$62,0))</f>
        <v>Bulk</v>
      </c>
      <c r="H245" s="6" t="s">
        <v>161</v>
      </c>
      <c r="I245" s="6" t="s">
        <v>160</v>
      </c>
      <c r="J245" s="6" t="n">
        <f aca="false">SUMIFS(Kits!$C$5:$C$163,Kits!$A$5:$A$163,$D245,Kits!$B$5:$B$163,$E245)</f>
        <v>2</v>
      </c>
      <c r="K245" s="6" t="n">
        <f aca="false">INDEX(Services!$F$5:$F$85,MATCH($A245,Services!$A$5:$A$85,0))</f>
        <v>1</v>
      </c>
      <c r="L245" s="6" t="n">
        <f aca="false">IF($H245="Auto-deduct",IF($G245="Countable",ROUNDUP($J245*IF($I245="Y",$K245,1),0),ROUND($J245*IF($I245="Y",$K245,1),1)),$J245)</f>
        <v>2</v>
      </c>
      <c r="M245" s="6" t="str">
        <f aca="false">INDEX(Items!$E$5:$E$62,MATCH($E245,Items!$A$5:$A$62,0))</f>
        <v>pc</v>
      </c>
      <c r="N245" s="6" t="n">
        <f aca="false">ROUND($L245/INDEX(Items!$F$5:$F$62,MATCH($E245,Items!$A$5:$A$62,0)),4)</f>
        <v>0.025</v>
      </c>
      <c r="O245" s="6"/>
    </row>
    <row r="246" customFormat="false" ht="15" hidden="false" customHeight="false" outlineLevel="0" collapsed="false">
      <c r="A246" s="6" t="n">
        <v>28</v>
      </c>
      <c r="B246" s="6" t="s">
        <v>312</v>
      </c>
      <c r="C246" s="6" t="s">
        <v>311</v>
      </c>
      <c r="D246" s="6" t="s">
        <v>159</v>
      </c>
      <c r="E246" s="6" t="s">
        <v>52</v>
      </c>
      <c r="F246" s="6" t="str">
        <f aca="false">INDEX(Items!$B$5:$B$62,MATCH($E246,Items!$A$5:$A$62,0))</f>
        <v>DISPOSABLES &amp; CLINIC CONSUMABLES</v>
      </c>
      <c r="G246" s="6" t="str">
        <f aca="false">INDEX(Items!$C$5:$C$62,MATCH($E246,Items!$A$5:$A$62,0))</f>
        <v>Countable</v>
      </c>
      <c r="H246" s="6" t="s">
        <v>161</v>
      </c>
      <c r="I246" s="6" t="s">
        <v>160</v>
      </c>
      <c r="J246" s="6" t="n">
        <f aca="false">SUMIFS(Kits!$C$5:$C$163,Kits!$A$5:$A$163,$D246,Kits!$B$5:$B$163,$E246)</f>
        <v>1</v>
      </c>
      <c r="K246" s="6" t="n">
        <f aca="false">INDEX(Services!$F$5:$F$85,MATCH($A246,Services!$A$5:$A$85,0))</f>
        <v>1</v>
      </c>
      <c r="L246" s="6" t="n">
        <f aca="false">IF($H246="Auto-deduct",IF($G246="Countable",ROUNDUP($J246*IF($I246="Y",$K246,1),0),ROUND($J246*IF($I246="Y",$K246,1),1)),$J246)</f>
        <v>1</v>
      </c>
      <c r="M246" s="6" t="str">
        <f aca="false">INDEX(Items!$E$5:$E$62,MATCH($E246,Items!$A$5:$A$62,0))</f>
        <v>pc</v>
      </c>
      <c r="N246" s="6" t="n">
        <f aca="false">ROUND($L246/INDEX(Items!$F$5:$F$62,MATCH($E246,Items!$A$5:$A$62,0)),4)</f>
        <v>1</v>
      </c>
      <c r="O246" s="6"/>
    </row>
    <row r="247" customFormat="false" ht="15" hidden="false" customHeight="false" outlineLevel="0" collapsed="false">
      <c r="A247" s="6" t="n">
        <v>28</v>
      </c>
      <c r="B247" s="6" t="s">
        <v>312</v>
      </c>
      <c r="C247" s="6" t="s">
        <v>311</v>
      </c>
      <c r="D247" s="6" t="s">
        <v>159</v>
      </c>
      <c r="E247" s="6" t="s">
        <v>53</v>
      </c>
      <c r="F247" s="6" t="str">
        <f aca="false">INDEX(Items!$B$5:$B$62,MATCH($E247,Items!$A$5:$A$62,0))</f>
        <v>DISPOSABLES &amp; CLINIC CONSUMABLES</v>
      </c>
      <c r="G247" s="6" t="str">
        <f aca="false">INDEX(Items!$C$5:$C$62,MATCH($E247,Items!$A$5:$A$62,0))</f>
        <v>Countable</v>
      </c>
      <c r="H247" s="6" t="s">
        <v>161</v>
      </c>
      <c r="I247" s="6" t="s">
        <v>160</v>
      </c>
      <c r="J247" s="6" t="n">
        <f aca="false">SUMIFS(Kits!$C$5:$C$163,Kits!$A$5:$A$163,$D247,Kits!$B$5:$B$163,$E247)</f>
        <v>1</v>
      </c>
      <c r="K247" s="6" t="n">
        <f aca="false">INDEX(Services!$F$5:$F$85,MATCH($A247,Services!$A$5:$A$85,0))</f>
        <v>1</v>
      </c>
      <c r="L247" s="6" t="n">
        <f aca="false">IF($H247="Auto-deduct",IF($G247="Countable",ROUNDUP($J247*IF($I247="Y",$K247,1),0),ROUND($J247*IF($I247="Y",$K247,1),1)),$J247)</f>
        <v>1</v>
      </c>
      <c r="M247" s="6" t="str">
        <f aca="false">INDEX(Items!$E$5:$E$62,MATCH($E247,Items!$A$5:$A$62,0))</f>
        <v>pair</v>
      </c>
      <c r="N247" s="6" t="n">
        <f aca="false">ROUND($L247/INDEX(Items!$F$5:$F$62,MATCH($E247,Items!$A$5:$A$62,0)),4)</f>
        <v>1</v>
      </c>
      <c r="O247" s="6"/>
    </row>
    <row r="248" customFormat="false" ht="15" hidden="false" customHeight="false" outlineLevel="0" collapsed="false">
      <c r="A248" s="6" t="n">
        <v>28</v>
      </c>
      <c r="B248" s="6" t="s">
        <v>312</v>
      </c>
      <c r="C248" s="6" t="s">
        <v>311</v>
      </c>
      <c r="D248" s="6" t="s">
        <v>159</v>
      </c>
      <c r="E248" s="6" t="s">
        <v>88</v>
      </c>
      <c r="F248" s="6" t="str">
        <f aca="false">INDEX(Items!$B$5:$B$62,MATCH($E248,Items!$A$5:$A$62,0))</f>
        <v>DISPOSABLES &amp; CLINIC CONSUMABLES</v>
      </c>
      <c r="G248" s="6" t="str">
        <f aca="false">INDEX(Items!$C$5:$C$62,MATCH($E248,Items!$A$5:$A$62,0))</f>
        <v>Bulk</v>
      </c>
      <c r="H248" s="6" t="s">
        <v>161</v>
      </c>
      <c r="I248" s="6" t="s">
        <v>160</v>
      </c>
      <c r="J248" s="6" t="n">
        <f aca="false">SUMIFS(Kits!$C$5:$C$163,Kits!$A$5:$A$163,$D248,Kits!$B$5:$B$163,$E248)</f>
        <v>5</v>
      </c>
      <c r="K248" s="6" t="n">
        <f aca="false">INDEX(Services!$F$5:$F$85,MATCH($A248,Services!$A$5:$A$85,0))</f>
        <v>1</v>
      </c>
      <c r="L248" s="6" t="n">
        <f aca="false">IF($H248="Auto-deduct",IF($G248="Countable",ROUNDUP($J248*IF($I248="Y",$K248,1),0),ROUND($J248*IF($I248="Y",$K248,1),1)),$J248)</f>
        <v>5</v>
      </c>
      <c r="M248" s="6" t="str">
        <f aca="false">INDEX(Items!$E$5:$E$62,MATCH($E248,Items!$A$5:$A$62,0))</f>
        <v>mL</v>
      </c>
      <c r="N248" s="6" t="n">
        <f aca="false">ROUND($L248/INDEX(Items!$F$5:$F$62,MATCH($E248,Items!$A$5:$A$62,0)),4)</f>
        <v>0.01</v>
      </c>
      <c r="O248" s="6"/>
    </row>
    <row r="249" customFormat="false" ht="15" hidden="false" customHeight="false" outlineLevel="0" collapsed="false">
      <c r="A249" s="6" t="n">
        <v>28</v>
      </c>
      <c r="B249" s="6" t="s">
        <v>312</v>
      </c>
      <c r="C249" s="6" t="s">
        <v>311</v>
      </c>
      <c r="D249" s="6" t="s">
        <v>231</v>
      </c>
      <c r="E249" s="6" t="s">
        <v>40</v>
      </c>
      <c r="F249" s="6" t="str">
        <f aca="false">INDEX(Items!$B$5:$B$62,MATCH($E249,Items!$A$5:$A$62,0))</f>
        <v>MEDICAL / INJECTION SUPPLIES</v>
      </c>
      <c r="G249" s="6" t="str">
        <f aca="false">INDEX(Items!$C$5:$C$62,MATCH($E249,Items!$A$5:$A$62,0))</f>
        <v>Countable</v>
      </c>
      <c r="H249" s="6" t="s">
        <v>161</v>
      </c>
      <c r="I249" s="6" t="s">
        <v>160</v>
      </c>
      <c r="J249" s="6" t="n">
        <f aca="false">SUMIFS(Kits!$C$5:$C$163,Kits!$A$5:$A$163,$D249,Kits!$B$5:$B$163,$E249)</f>
        <v>1</v>
      </c>
      <c r="K249" s="6" t="n">
        <f aca="false">INDEX(Services!$F$5:$F$85,MATCH($A249,Services!$A$5:$A$85,0))</f>
        <v>1</v>
      </c>
      <c r="L249" s="6" t="n">
        <f aca="false">IF($H249="Auto-deduct",IF($G249="Countable",ROUNDUP($J249*IF($I249="Y",$K249,1),0),ROUND($J249*IF($I249="Y",$K249,1),1)),$J249)</f>
        <v>1</v>
      </c>
      <c r="M249" s="6" t="str">
        <f aca="false">INDEX(Items!$E$5:$E$62,MATCH($E249,Items!$A$5:$A$62,0))</f>
        <v>pc</v>
      </c>
      <c r="N249" s="6" t="n">
        <f aca="false">ROUND($L249/INDEX(Items!$F$5:$F$62,MATCH($E249,Items!$A$5:$A$62,0)),4)</f>
        <v>1</v>
      </c>
      <c r="O249" s="6"/>
    </row>
    <row r="250" customFormat="false" ht="15" hidden="false" customHeight="false" outlineLevel="0" collapsed="false">
      <c r="A250" s="6" t="n">
        <v>28</v>
      </c>
      <c r="B250" s="6" t="s">
        <v>312</v>
      </c>
      <c r="C250" s="6" t="s">
        <v>311</v>
      </c>
      <c r="D250" s="6" t="s">
        <v>231</v>
      </c>
      <c r="E250" s="6" t="s">
        <v>49</v>
      </c>
      <c r="F250" s="6" t="str">
        <f aca="false">INDEX(Items!$B$5:$B$62,MATCH($E250,Items!$A$5:$A$62,0))</f>
        <v>MEDICAL / INJECTION SUPPLIES</v>
      </c>
      <c r="G250" s="6" t="str">
        <f aca="false">INDEX(Items!$C$5:$C$62,MATCH($E250,Items!$A$5:$A$62,0))</f>
        <v>Countable</v>
      </c>
      <c r="H250" s="6" t="s">
        <v>161</v>
      </c>
      <c r="I250" s="6" t="s">
        <v>160</v>
      </c>
      <c r="J250" s="6" t="n">
        <f aca="false">SUMIFS(Kits!$C$5:$C$163,Kits!$A$5:$A$163,$D250,Kits!$B$5:$B$163,$E250)</f>
        <v>1</v>
      </c>
      <c r="K250" s="6" t="n">
        <f aca="false">INDEX(Services!$F$5:$F$85,MATCH($A250,Services!$A$5:$A$85,0))</f>
        <v>1</v>
      </c>
      <c r="L250" s="6" t="n">
        <f aca="false">IF($H250="Auto-deduct",IF($G250="Countable",ROUNDUP($J250*IF($I250="Y",$K250,1),0),ROUND($J250*IF($I250="Y",$K250,1),1)),$J250)</f>
        <v>1</v>
      </c>
      <c r="M250" s="6" t="str">
        <f aca="false">INDEX(Items!$E$5:$E$62,MATCH($E250,Items!$A$5:$A$62,0))</f>
        <v>pc</v>
      </c>
      <c r="N250" s="6" t="n">
        <f aca="false">ROUND($L250/INDEX(Items!$F$5:$F$62,MATCH($E250,Items!$A$5:$A$62,0)),4)</f>
        <v>1</v>
      </c>
      <c r="O250" s="6"/>
    </row>
    <row r="251" customFormat="false" ht="15" hidden="false" customHeight="false" outlineLevel="0" collapsed="false">
      <c r="A251" s="6" t="n">
        <v>28</v>
      </c>
      <c r="B251" s="6" t="s">
        <v>312</v>
      </c>
      <c r="C251" s="6" t="s">
        <v>311</v>
      </c>
      <c r="D251" s="6" t="s">
        <v>231</v>
      </c>
      <c r="E251" s="6" t="s">
        <v>35</v>
      </c>
      <c r="F251" s="6" t="str">
        <f aca="false">INDEX(Items!$B$5:$B$62,MATCH($E251,Items!$A$5:$A$62,0))</f>
        <v>MEDICAL / INJECTION SUPPLIES</v>
      </c>
      <c r="G251" s="6" t="str">
        <f aca="false">INDEX(Items!$C$5:$C$62,MATCH($E251,Items!$A$5:$A$62,0))</f>
        <v>Countable</v>
      </c>
      <c r="H251" s="6" t="s">
        <v>161</v>
      </c>
      <c r="I251" s="6" t="s">
        <v>160</v>
      </c>
      <c r="J251" s="6" t="n">
        <f aca="false">SUMIFS(Kits!$C$5:$C$163,Kits!$A$5:$A$163,$D251,Kits!$B$5:$B$163,$E251)</f>
        <v>1</v>
      </c>
      <c r="K251" s="6" t="n">
        <f aca="false">INDEX(Services!$F$5:$F$85,MATCH($A251,Services!$A$5:$A$85,0))</f>
        <v>1</v>
      </c>
      <c r="L251" s="6" t="n">
        <f aca="false">IF($H251="Auto-deduct",IF($G251="Countable",ROUNDUP($J251*IF($I251="Y",$K251,1),0),ROUND($J251*IF($I251="Y",$K251,1),1)),$J251)</f>
        <v>1</v>
      </c>
      <c r="M251" s="6" t="str">
        <f aca="false">INDEX(Items!$E$5:$E$62,MATCH($E251,Items!$A$5:$A$62,0))</f>
        <v>pc</v>
      </c>
      <c r="N251" s="6" t="n">
        <f aca="false">ROUND($L251/INDEX(Items!$F$5:$F$62,MATCH($E251,Items!$A$5:$A$62,0)),4)</f>
        <v>1</v>
      </c>
      <c r="O251" s="6"/>
    </row>
    <row r="252" customFormat="false" ht="15" hidden="false" customHeight="false" outlineLevel="0" collapsed="false">
      <c r="A252" s="6" t="n">
        <v>28</v>
      </c>
      <c r="B252" s="6" t="s">
        <v>312</v>
      </c>
      <c r="C252" s="6" t="s">
        <v>311</v>
      </c>
      <c r="D252" s="6" t="s">
        <v>231</v>
      </c>
      <c r="E252" s="6" t="s">
        <v>46</v>
      </c>
      <c r="F252" s="6" t="str">
        <f aca="false">INDEX(Items!$B$5:$B$62,MATCH($E252,Items!$A$5:$A$62,0))</f>
        <v>MEDICAL / INJECTION SUPPLIES</v>
      </c>
      <c r="G252" s="6" t="str">
        <f aca="false">INDEX(Items!$C$5:$C$62,MATCH($E252,Items!$A$5:$A$62,0))</f>
        <v>Countable</v>
      </c>
      <c r="H252" s="6" t="s">
        <v>161</v>
      </c>
      <c r="I252" s="6" t="s">
        <v>160</v>
      </c>
      <c r="J252" s="6" t="n">
        <f aca="false">SUMIFS(Kits!$C$5:$C$163,Kits!$A$5:$A$163,$D252,Kits!$B$5:$B$163,$E252)</f>
        <v>1</v>
      </c>
      <c r="K252" s="6" t="n">
        <f aca="false">INDEX(Services!$F$5:$F$85,MATCH($A252,Services!$A$5:$A$85,0))</f>
        <v>1</v>
      </c>
      <c r="L252" s="6" t="n">
        <f aca="false">IF($H252="Auto-deduct",IF($G252="Countable",ROUNDUP($J252*IF($I252="Y",$K252,1),0),ROUND($J252*IF($I252="Y",$K252,1),1)),$J252)</f>
        <v>1</v>
      </c>
      <c r="M252" s="6" t="str">
        <f aca="false">INDEX(Items!$E$5:$E$62,MATCH($E252,Items!$A$5:$A$62,0))</f>
        <v>ampule</v>
      </c>
      <c r="N252" s="6" t="n">
        <f aca="false">ROUND($L252/INDEX(Items!$F$5:$F$62,MATCH($E252,Items!$A$5:$A$62,0)),4)</f>
        <v>1</v>
      </c>
      <c r="O252" s="6"/>
    </row>
    <row r="253" customFormat="false" ht="15" hidden="false" customHeight="false" outlineLevel="0" collapsed="false">
      <c r="A253" s="6" t="n">
        <v>28</v>
      </c>
      <c r="B253" s="6" t="s">
        <v>312</v>
      </c>
      <c r="C253" s="6" t="s">
        <v>311</v>
      </c>
      <c r="D253" s="6" t="s">
        <v>231</v>
      </c>
      <c r="E253" s="6" t="s">
        <v>84</v>
      </c>
      <c r="F253" s="6" t="str">
        <f aca="false">INDEX(Items!$B$5:$B$62,MATCH($E253,Items!$A$5:$A$62,0))</f>
        <v>DISPOSABLES &amp; CLINIC CONSUMABLES</v>
      </c>
      <c r="G253" s="6" t="str">
        <f aca="false">INDEX(Items!$C$5:$C$62,MATCH($E253,Items!$A$5:$A$62,0))</f>
        <v>Countable</v>
      </c>
      <c r="H253" s="6" t="s">
        <v>161</v>
      </c>
      <c r="I253" s="6" t="s">
        <v>160</v>
      </c>
      <c r="J253" s="6" t="n">
        <f aca="false">SUMIFS(Kits!$C$5:$C$163,Kits!$A$5:$A$163,$D253,Kits!$B$5:$B$163,$E253)</f>
        <v>2</v>
      </c>
      <c r="K253" s="6" t="n">
        <f aca="false">INDEX(Services!$F$5:$F$85,MATCH($A253,Services!$A$5:$A$85,0))</f>
        <v>1</v>
      </c>
      <c r="L253" s="6" t="n">
        <f aca="false">IF($H253="Auto-deduct",IF($G253="Countable",ROUNDUP($J253*IF($I253="Y",$K253,1),0),ROUND($J253*IF($I253="Y",$K253,1),1)),$J253)</f>
        <v>2</v>
      </c>
      <c r="M253" s="6" t="str">
        <f aca="false">INDEX(Items!$E$5:$E$62,MATCH($E253,Items!$A$5:$A$62,0))</f>
        <v>pc</v>
      </c>
      <c r="N253" s="6" t="n">
        <f aca="false">ROUND($L253/INDEX(Items!$F$5:$F$62,MATCH($E253,Items!$A$5:$A$62,0)),4)</f>
        <v>2</v>
      </c>
      <c r="O253" s="6"/>
    </row>
    <row r="254" customFormat="false" ht="15" hidden="false" customHeight="false" outlineLevel="0" collapsed="false">
      <c r="A254" s="6" t="n">
        <v>28</v>
      </c>
      <c r="B254" s="6" t="s">
        <v>312</v>
      </c>
      <c r="C254" s="6" t="s">
        <v>311</v>
      </c>
      <c r="D254" s="6" t="s">
        <v>231</v>
      </c>
      <c r="E254" s="6" t="s">
        <v>76</v>
      </c>
      <c r="F254" s="6" t="str">
        <f aca="false">INDEX(Items!$B$5:$B$62,MATCH($E254,Items!$A$5:$A$62,0))</f>
        <v>DISPOSABLES &amp; CLINIC CONSUMABLES</v>
      </c>
      <c r="G254" s="6" t="str">
        <f aca="false">INDEX(Items!$C$5:$C$62,MATCH($E254,Items!$A$5:$A$62,0))</f>
        <v>Bulk</v>
      </c>
      <c r="H254" s="6" t="s">
        <v>161</v>
      </c>
      <c r="I254" s="6" t="s">
        <v>160</v>
      </c>
      <c r="J254" s="6" t="n">
        <f aca="false">SUMIFS(Kits!$C$5:$C$163,Kits!$A$5:$A$163,$D254,Kits!$B$5:$B$163,$E254)</f>
        <v>20</v>
      </c>
      <c r="K254" s="6" t="n">
        <f aca="false">INDEX(Services!$F$5:$F$85,MATCH($A254,Services!$A$5:$A$85,0))</f>
        <v>1</v>
      </c>
      <c r="L254" s="6" t="n">
        <f aca="false">IF($H254="Auto-deduct",IF($G254="Countable",ROUNDUP($J254*IF($I254="Y",$K254,1),0),ROUND($J254*IF($I254="Y",$K254,1),1)),$J254)</f>
        <v>20</v>
      </c>
      <c r="M254" s="6" t="str">
        <f aca="false">INDEX(Items!$E$5:$E$62,MATCH($E254,Items!$A$5:$A$62,0))</f>
        <v>cm</v>
      </c>
      <c r="N254" s="6" t="n">
        <f aca="false">ROUND($L254/INDEX(Items!$F$5:$F$62,MATCH($E254,Items!$A$5:$A$62,0)),4)</f>
        <v>0.0219</v>
      </c>
      <c r="O254" s="6"/>
    </row>
    <row r="255" customFormat="false" ht="15" hidden="false" customHeight="false" outlineLevel="0" collapsed="false">
      <c r="A255" s="6" t="n">
        <v>29</v>
      </c>
      <c r="B255" s="6" t="s">
        <v>314</v>
      </c>
      <c r="C255" s="6" t="s">
        <v>311</v>
      </c>
      <c r="D255" s="6" t="s">
        <v>159</v>
      </c>
      <c r="E255" s="6" t="s">
        <v>52</v>
      </c>
      <c r="F255" s="6" t="str">
        <f aca="false">INDEX(Items!$B$5:$B$62,MATCH($E255,Items!$A$5:$A$62,0))</f>
        <v>DISPOSABLES &amp; CLINIC CONSUMABLES</v>
      </c>
      <c r="G255" s="6" t="str">
        <f aca="false">INDEX(Items!$C$5:$C$62,MATCH($E255,Items!$A$5:$A$62,0))</f>
        <v>Countable</v>
      </c>
      <c r="H255" s="6" t="s">
        <v>161</v>
      </c>
      <c r="I255" s="6" t="s">
        <v>160</v>
      </c>
      <c r="J255" s="6" t="n">
        <f aca="false">SUMIFS(Kits!$C$5:$C$163,Kits!$A$5:$A$163,$D255,Kits!$B$5:$B$163,$E255)</f>
        <v>1</v>
      </c>
      <c r="K255" s="6" t="n">
        <f aca="false">INDEX(Services!$F$5:$F$85,MATCH($A255,Services!$A$5:$A$85,0))</f>
        <v>1</v>
      </c>
      <c r="L255" s="6" t="n">
        <f aca="false">IF($H255="Auto-deduct",IF($G255="Countable",ROUNDUP($J255*IF($I255="Y",$K255,1),0),ROUND($J255*IF($I255="Y",$K255,1),1)),$J255)</f>
        <v>1</v>
      </c>
      <c r="M255" s="6" t="str">
        <f aca="false">INDEX(Items!$E$5:$E$62,MATCH($E255,Items!$A$5:$A$62,0))</f>
        <v>pc</v>
      </c>
      <c r="N255" s="6" t="n">
        <f aca="false">ROUND($L255/INDEX(Items!$F$5:$F$62,MATCH($E255,Items!$A$5:$A$62,0)),4)</f>
        <v>1</v>
      </c>
      <c r="O255" s="6"/>
    </row>
    <row r="256" customFormat="false" ht="15" hidden="false" customHeight="false" outlineLevel="0" collapsed="false">
      <c r="A256" s="6" t="n">
        <v>29</v>
      </c>
      <c r="B256" s="6" t="s">
        <v>314</v>
      </c>
      <c r="C256" s="6" t="s">
        <v>311</v>
      </c>
      <c r="D256" s="6" t="s">
        <v>159</v>
      </c>
      <c r="E256" s="6" t="s">
        <v>53</v>
      </c>
      <c r="F256" s="6" t="str">
        <f aca="false">INDEX(Items!$B$5:$B$62,MATCH($E256,Items!$A$5:$A$62,0))</f>
        <v>DISPOSABLES &amp; CLINIC CONSUMABLES</v>
      </c>
      <c r="G256" s="6" t="str">
        <f aca="false">INDEX(Items!$C$5:$C$62,MATCH($E256,Items!$A$5:$A$62,0))</f>
        <v>Countable</v>
      </c>
      <c r="H256" s="6" t="s">
        <v>161</v>
      </c>
      <c r="I256" s="6" t="s">
        <v>160</v>
      </c>
      <c r="J256" s="6" t="n">
        <f aca="false">SUMIFS(Kits!$C$5:$C$163,Kits!$A$5:$A$163,$D256,Kits!$B$5:$B$163,$E256)</f>
        <v>1</v>
      </c>
      <c r="K256" s="6" t="n">
        <f aca="false">INDEX(Services!$F$5:$F$85,MATCH($A256,Services!$A$5:$A$85,0))</f>
        <v>1</v>
      </c>
      <c r="L256" s="6" t="n">
        <f aca="false">IF($H256="Auto-deduct",IF($G256="Countable",ROUNDUP($J256*IF($I256="Y",$K256,1),0),ROUND($J256*IF($I256="Y",$K256,1),1)),$J256)</f>
        <v>1</v>
      </c>
      <c r="M256" s="6" t="str">
        <f aca="false">INDEX(Items!$E$5:$E$62,MATCH($E256,Items!$A$5:$A$62,0))</f>
        <v>pair</v>
      </c>
      <c r="N256" s="6" t="n">
        <f aca="false">ROUND($L256/INDEX(Items!$F$5:$F$62,MATCH($E256,Items!$A$5:$A$62,0)),4)</f>
        <v>1</v>
      </c>
      <c r="O256" s="6"/>
    </row>
    <row r="257" customFormat="false" ht="15" hidden="false" customHeight="false" outlineLevel="0" collapsed="false">
      <c r="A257" s="6" t="n">
        <v>29</v>
      </c>
      <c r="B257" s="6" t="s">
        <v>314</v>
      </c>
      <c r="C257" s="6" t="s">
        <v>311</v>
      </c>
      <c r="D257" s="6" t="s">
        <v>159</v>
      </c>
      <c r="E257" s="6" t="s">
        <v>88</v>
      </c>
      <c r="F257" s="6" t="str">
        <f aca="false">INDEX(Items!$B$5:$B$62,MATCH($E257,Items!$A$5:$A$62,0))</f>
        <v>DISPOSABLES &amp; CLINIC CONSUMABLES</v>
      </c>
      <c r="G257" s="6" t="str">
        <f aca="false">INDEX(Items!$C$5:$C$62,MATCH($E257,Items!$A$5:$A$62,0))</f>
        <v>Bulk</v>
      </c>
      <c r="H257" s="6" t="s">
        <v>161</v>
      </c>
      <c r="I257" s="6" t="s">
        <v>160</v>
      </c>
      <c r="J257" s="6" t="n">
        <f aca="false">SUMIFS(Kits!$C$5:$C$163,Kits!$A$5:$A$163,$D257,Kits!$B$5:$B$163,$E257)</f>
        <v>5</v>
      </c>
      <c r="K257" s="6" t="n">
        <f aca="false">INDEX(Services!$F$5:$F$85,MATCH($A257,Services!$A$5:$A$85,0))</f>
        <v>1</v>
      </c>
      <c r="L257" s="6" t="n">
        <f aca="false">IF($H257="Auto-deduct",IF($G257="Countable",ROUNDUP($J257*IF($I257="Y",$K257,1),0),ROUND($J257*IF($I257="Y",$K257,1),1)),$J257)</f>
        <v>5</v>
      </c>
      <c r="M257" s="6" t="str">
        <f aca="false">INDEX(Items!$E$5:$E$62,MATCH($E257,Items!$A$5:$A$62,0))</f>
        <v>mL</v>
      </c>
      <c r="N257" s="6" t="n">
        <f aca="false">ROUND($L257/INDEX(Items!$F$5:$F$62,MATCH($E257,Items!$A$5:$A$62,0)),4)</f>
        <v>0.01</v>
      </c>
      <c r="O257" s="6"/>
    </row>
    <row r="258" customFormat="false" ht="15" hidden="false" customHeight="false" outlineLevel="0" collapsed="false">
      <c r="A258" s="6" t="n">
        <v>29</v>
      </c>
      <c r="B258" s="6" t="s">
        <v>314</v>
      </c>
      <c r="C258" s="6" t="s">
        <v>311</v>
      </c>
      <c r="D258" s="6" t="s">
        <v>231</v>
      </c>
      <c r="E258" s="6" t="s">
        <v>40</v>
      </c>
      <c r="F258" s="6" t="str">
        <f aca="false">INDEX(Items!$B$5:$B$62,MATCH($E258,Items!$A$5:$A$62,0))</f>
        <v>MEDICAL / INJECTION SUPPLIES</v>
      </c>
      <c r="G258" s="6" t="str">
        <f aca="false">INDEX(Items!$C$5:$C$62,MATCH($E258,Items!$A$5:$A$62,0))</f>
        <v>Countable</v>
      </c>
      <c r="H258" s="6" t="s">
        <v>161</v>
      </c>
      <c r="I258" s="6" t="s">
        <v>160</v>
      </c>
      <c r="J258" s="6" t="n">
        <f aca="false">SUMIFS(Kits!$C$5:$C$163,Kits!$A$5:$A$163,$D258,Kits!$B$5:$B$163,$E258)</f>
        <v>1</v>
      </c>
      <c r="K258" s="6" t="n">
        <f aca="false">INDEX(Services!$F$5:$F$85,MATCH($A258,Services!$A$5:$A$85,0))</f>
        <v>1</v>
      </c>
      <c r="L258" s="6" t="n">
        <f aca="false">IF($H258="Auto-deduct",IF($G258="Countable",ROUNDUP($J258*IF($I258="Y",$K258,1),0),ROUND($J258*IF($I258="Y",$K258,1),1)),$J258)</f>
        <v>1</v>
      </c>
      <c r="M258" s="6" t="str">
        <f aca="false">INDEX(Items!$E$5:$E$62,MATCH($E258,Items!$A$5:$A$62,0))</f>
        <v>pc</v>
      </c>
      <c r="N258" s="6" t="n">
        <f aca="false">ROUND($L258/INDEX(Items!$F$5:$F$62,MATCH($E258,Items!$A$5:$A$62,0)),4)</f>
        <v>1</v>
      </c>
      <c r="O258" s="6"/>
    </row>
    <row r="259" customFormat="false" ht="15" hidden="false" customHeight="false" outlineLevel="0" collapsed="false">
      <c r="A259" s="6" t="n">
        <v>29</v>
      </c>
      <c r="B259" s="6" t="s">
        <v>314</v>
      </c>
      <c r="C259" s="6" t="s">
        <v>311</v>
      </c>
      <c r="D259" s="6" t="s">
        <v>231</v>
      </c>
      <c r="E259" s="6" t="s">
        <v>49</v>
      </c>
      <c r="F259" s="6" t="str">
        <f aca="false">INDEX(Items!$B$5:$B$62,MATCH($E259,Items!$A$5:$A$62,0))</f>
        <v>MEDICAL / INJECTION SUPPLIES</v>
      </c>
      <c r="G259" s="6" t="str">
        <f aca="false">INDEX(Items!$C$5:$C$62,MATCH($E259,Items!$A$5:$A$62,0))</f>
        <v>Countable</v>
      </c>
      <c r="H259" s="6" t="s">
        <v>161</v>
      </c>
      <c r="I259" s="6" t="s">
        <v>160</v>
      </c>
      <c r="J259" s="6" t="n">
        <f aca="false">SUMIFS(Kits!$C$5:$C$163,Kits!$A$5:$A$163,$D259,Kits!$B$5:$B$163,$E259)</f>
        <v>1</v>
      </c>
      <c r="K259" s="6" t="n">
        <f aca="false">INDEX(Services!$F$5:$F$85,MATCH($A259,Services!$A$5:$A$85,0))</f>
        <v>1</v>
      </c>
      <c r="L259" s="6" t="n">
        <f aca="false">IF($H259="Auto-deduct",IF($G259="Countable",ROUNDUP($J259*IF($I259="Y",$K259,1),0),ROUND($J259*IF($I259="Y",$K259,1),1)),$J259)</f>
        <v>1</v>
      </c>
      <c r="M259" s="6" t="str">
        <f aca="false">INDEX(Items!$E$5:$E$62,MATCH($E259,Items!$A$5:$A$62,0))</f>
        <v>pc</v>
      </c>
      <c r="N259" s="6" t="n">
        <f aca="false">ROUND($L259/INDEX(Items!$F$5:$F$62,MATCH($E259,Items!$A$5:$A$62,0)),4)</f>
        <v>1</v>
      </c>
      <c r="O259" s="6"/>
    </row>
    <row r="260" customFormat="false" ht="15" hidden="false" customHeight="false" outlineLevel="0" collapsed="false">
      <c r="A260" s="6" t="n">
        <v>29</v>
      </c>
      <c r="B260" s="6" t="s">
        <v>314</v>
      </c>
      <c r="C260" s="6" t="s">
        <v>311</v>
      </c>
      <c r="D260" s="6" t="s">
        <v>231</v>
      </c>
      <c r="E260" s="6" t="s">
        <v>35</v>
      </c>
      <c r="F260" s="6" t="str">
        <f aca="false">INDEX(Items!$B$5:$B$62,MATCH($E260,Items!$A$5:$A$62,0))</f>
        <v>MEDICAL / INJECTION SUPPLIES</v>
      </c>
      <c r="G260" s="6" t="str">
        <f aca="false">INDEX(Items!$C$5:$C$62,MATCH($E260,Items!$A$5:$A$62,0))</f>
        <v>Countable</v>
      </c>
      <c r="H260" s="6" t="s">
        <v>161</v>
      </c>
      <c r="I260" s="6" t="s">
        <v>160</v>
      </c>
      <c r="J260" s="6" t="n">
        <f aca="false">SUMIFS(Kits!$C$5:$C$163,Kits!$A$5:$A$163,$D260,Kits!$B$5:$B$163,$E260)</f>
        <v>1</v>
      </c>
      <c r="K260" s="6" t="n">
        <f aca="false">INDEX(Services!$F$5:$F$85,MATCH($A260,Services!$A$5:$A$85,0))</f>
        <v>1</v>
      </c>
      <c r="L260" s="6" t="n">
        <f aca="false">IF($H260="Auto-deduct",IF($G260="Countable",ROUNDUP($J260*IF($I260="Y",$K260,1),0),ROUND($J260*IF($I260="Y",$K260,1),1)),$J260)</f>
        <v>1</v>
      </c>
      <c r="M260" s="6" t="str">
        <f aca="false">INDEX(Items!$E$5:$E$62,MATCH($E260,Items!$A$5:$A$62,0))</f>
        <v>pc</v>
      </c>
      <c r="N260" s="6" t="n">
        <f aca="false">ROUND($L260/INDEX(Items!$F$5:$F$62,MATCH($E260,Items!$A$5:$A$62,0)),4)</f>
        <v>1</v>
      </c>
      <c r="O260" s="6"/>
    </row>
    <row r="261" customFormat="false" ht="15" hidden="false" customHeight="false" outlineLevel="0" collapsed="false">
      <c r="A261" s="6" t="n">
        <v>29</v>
      </c>
      <c r="B261" s="6" t="s">
        <v>314</v>
      </c>
      <c r="C261" s="6" t="s">
        <v>311</v>
      </c>
      <c r="D261" s="6" t="s">
        <v>231</v>
      </c>
      <c r="E261" s="6" t="s">
        <v>46</v>
      </c>
      <c r="F261" s="6" t="str">
        <f aca="false">INDEX(Items!$B$5:$B$62,MATCH($E261,Items!$A$5:$A$62,0))</f>
        <v>MEDICAL / INJECTION SUPPLIES</v>
      </c>
      <c r="G261" s="6" t="str">
        <f aca="false">INDEX(Items!$C$5:$C$62,MATCH($E261,Items!$A$5:$A$62,0))</f>
        <v>Countable</v>
      </c>
      <c r="H261" s="6" t="s">
        <v>161</v>
      </c>
      <c r="I261" s="6" t="s">
        <v>160</v>
      </c>
      <c r="J261" s="6" t="n">
        <f aca="false">SUMIFS(Kits!$C$5:$C$163,Kits!$A$5:$A$163,$D261,Kits!$B$5:$B$163,$E261)</f>
        <v>1</v>
      </c>
      <c r="K261" s="6" t="n">
        <f aca="false">INDEX(Services!$F$5:$F$85,MATCH($A261,Services!$A$5:$A$85,0))</f>
        <v>1</v>
      </c>
      <c r="L261" s="6" t="n">
        <f aca="false">IF($H261="Auto-deduct",IF($G261="Countable",ROUNDUP($J261*IF($I261="Y",$K261,1),0),ROUND($J261*IF($I261="Y",$K261,1),1)),$J261)</f>
        <v>1</v>
      </c>
      <c r="M261" s="6" t="str">
        <f aca="false">INDEX(Items!$E$5:$E$62,MATCH($E261,Items!$A$5:$A$62,0))</f>
        <v>ampule</v>
      </c>
      <c r="N261" s="6" t="n">
        <f aca="false">ROUND($L261/INDEX(Items!$F$5:$F$62,MATCH($E261,Items!$A$5:$A$62,0)),4)</f>
        <v>1</v>
      </c>
      <c r="O261" s="6"/>
    </row>
    <row r="262" customFormat="false" ht="15" hidden="false" customHeight="false" outlineLevel="0" collapsed="false">
      <c r="A262" s="6" t="n">
        <v>29</v>
      </c>
      <c r="B262" s="6" t="s">
        <v>314</v>
      </c>
      <c r="C262" s="6" t="s">
        <v>311</v>
      </c>
      <c r="D262" s="6" t="s">
        <v>231</v>
      </c>
      <c r="E262" s="6" t="s">
        <v>84</v>
      </c>
      <c r="F262" s="6" t="str">
        <f aca="false">INDEX(Items!$B$5:$B$62,MATCH($E262,Items!$A$5:$A$62,0))</f>
        <v>DISPOSABLES &amp; CLINIC CONSUMABLES</v>
      </c>
      <c r="G262" s="6" t="str">
        <f aca="false">INDEX(Items!$C$5:$C$62,MATCH($E262,Items!$A$5:$A$62,0))</f>
        <v>Countable</v>
      </c>
      <c r="H262" s="6" t="s">
        <v>161</v>
      </c>
      <c r="I262" s="6" t="s">
        <v>160</v>
      </c>
      <c r="J262" s="6" t="n">
        <f aca="false">SUMIFS(Kits!$C$5:$C$163,Kits!$A$5:$A$163,$D262,Kits!$B$5:$B$163,$E262)</f>
        <v>2</v>
      </c>
      <c r="K262" s="6" t="n">
        <f aca="false">INDEX(Services!$F$5:$F$85,MATCH($A262,Services!$A$5:$A$85,0))</f>
        <v>1</v>
      </c>
      <c r="L262" s="6" t="n">
        <f aca="false">IF($H262="Auto-deduct",IF($G262="Countable",ROUNDUP($J262*IF($I262="Y",$K262,1),0),ROUND($J262*IF($I262="Y",$K262,1),1)),$J262)</f>
        <v>2</v>
      </c>
      <c r="M262" s="6" t="str">
        <f aca="false">INDEX(Items!$E$5:$E$62,MATCH($E262,Items!$A$5:$A$62,0))</f>
        <v>pc</v>
      </c>
      <c r="N262" s="6" t="n">
        <f aca="false">ROUND($L262/INDEX(Items!$F$5:$F$62,MATCH($E262,Items!$A$5:$A$62,0)),4)</f>
        <v>2</v>
      </c>
      <c r="O262" s="6"/>
    </row>
    <row r="263" customFormat="false" ht="15" hidden="false" customHeight="false" outlineLevel="0" collapsed="false">
      <c r="A263" s="6" t="n">
        <v>29</v>
      </c>
      <c r="B263" s="6" t="s">
        <v>314</v>
      </c>
      <c r="C263" s="6" t="s">
        <v>311</v>
      </c>
      <c r="D263" s="6" t="s">
        <v>231</v>
      </c>
      <c r="E263" s="6" t="s">
        <v>76</v>
      </c>
      <c r="F263" s="6" t="str">
        <f aca="false">INDEX(Items!$B$5:$B$62,MATCH($E263,Items!$A$5:$A$62,0))</f>
        <v>DISPOSABLES &amp; CLINIC CONSUMABLES</v>
      </c>
      <c r="G263" s="6" t="str">
        <f aca="false">INDEX(Items!$C$5:$C$62,MATCH($E263,Items!$A$5:$A$62,0))</f>
        <v>Bulk</v>
      </c>
      <c r="H263" s="6" t="s">
        <v>161</v>
      </c>
      <c r="I263" s="6" t="s">
        <v>160</v>
      </c>
      <c r="J263" s="6" t="n">
        <f aca="false">SUMIFS(Kits!$C$5:$C$163,Kits!$A$5:$A$163,$D263,Kits!$B$5:$B$163,$E263)</f>
        <v>20</v>
      </c>
      <c r="K263" s="6" t="n">
        <f aca="false">INDEX(Services!$F$5:$F$85,MATCH($A263,Services!$A$5:$A$85,0))</f>
        <v>1</v>
      </c>
      <c r="L263" s="6" t="n">
        <f aca="false">IF($H263="Auto-deduct",IF($G263="Countable",ROUNDUP($J263*IF($I263="Y",$K263,1),0),ROUND($J263*IF($I263="Y",$K263,1),1)),$J263)</f>
        <v>20</v>
      </c>
      <c r="M263" s="6" t="str">
        <f aca="false">INDEX(Items!$E$5:$E$62,MATCH($E263,Items!$A$5:$A$62,0))</f>
        <v>cm</v>
      </c>
      <c r="N263" s="6" t="n">
        <f aca="false">ROUND($L263/INDEX(Items!$F$5:$F$62,MATCH($E263,Items!$A$5:$A$62,0)),4)</f>
        <v>0.0219</v>
      </c>
      <c r="O263" s="6"/>
    </row>
    <row r="264" customFormat="false" ht="15" hidden="false" customHeight="false" outlineLevel="0" collapsed="false">
      <c r="A264" s="6" t="n">
        <v>30</v>
      </c>
      <c r="B264" s="6" t="s">
        <v>315</v>
      </c>
      <c r="C264" s="6" t="s">
        <v>311</v>
      </c>
      <c r="D264" s="6" t="s">
        <v>159</v>
      </c>
      <c r="E264" s="6" t="s">
        <v>52</v>
      </c>
      <c r="F264" s="6" t="str">
        <f aca="false">INDEX(Items!$B$5:$B$62,MATCH($E264,Items!$A$5:$A$62,0))</f>
        <v>DISPOSABLES &amp; CLINIC CONSUMABLES</v>
      </c>
      <c r="G264" s="6" t="str">
        <f aca="false">INDEX(Items!$C$5:$C$62,MATCH($E264,Items!$A$5:$A$62,0))</f>
        <v>Countable</v>
      </c>
      <c r="H264" s="6" t="s">
        <v>161</v>
      </c>
      <c r="I264" s="6" t="s">
        <v>160</v>
      </c>
      <c r="J264" s="6" t="n">
        <f aca="false">SUMIFS(Kits!$C$5:$C$163,Kits!$A$5:$A$163,$D264,Kits!$B$5:$B$163,$E264)</f>
        <v>1</v>
      </c>
      <c r="K264" s="6" t="n">
        <f aca="false">INDEX(Services!$F$5:$F$85,MATCH($A264,Services!$A$5:$A$85,0))</f>
        <v>1</v>
      </c>
      <c r="L264" s="6" t="n">
        <f aca="false">IF($H264="Auto-deduct",IF($G264="Countable",ROUNDUP($J264*IF($I264="Y",$K264,1),0),ROUND($J264*IF($I264="Y",$K264,1),1)),$J264)</f>
        <v>1</v>
      </c>
      <c r="M264" s="6" t="str">
        <f aca="false">INDEX(Items!$E$5:$E$62,MATCH($E264,Items!$A$5:$A$62,0))</f>
        <v>pc</v>
      </c>
      <c r="N264" s="6" t="n">
        <f aca="false">ROUND($L264/INDEX(Items!$F$5:$F$62,MATCH($E264,Items!$A$5:$A$62,0)),4)</f>
        <v>1</v>
      </c>
      <c r="O264" s="6"/>
    </row>
    <row r="265" customFormat="false" ht="15" hidden="false" customHeight="false" outlineLevel="0" collapsed="false">
      <c r="A265" s="6" t="n">
        <v>30</v>
      </c>
      <c r="B265" s="6" t="s">
        <v>315</v>
      </c>
      <c r="C265" s="6" t="s">
        <v>311</v>
      </c>
      <c r="D265" s="6" t="s">
        <v>159</v>
      </c>
      <c r="E265" s="6" t="s">
        <v>53</v>
      </c>
      <c r="F265" s="6" t="str">
        <f aca="false">INDEX(Items!$B$5:$B$62,MATCH($E265,Items!$A$5:$A$62,0))</f>
        <v>DISPOSABLES &amp; CLINIC CONSUMABLES</v>
      </c>
      <c r="G265" s="6" t="str">
        <f aca="false">INDEX(Items!$C$5:$C$62,MATCH($E265,Items!$A$5:$A$62,0))</f>
        <v>Countable</v>
      </c>
      <c r="H265" s="6" t="s">
        <v>161</v>
      </c>
      <c r="I265" s="6" t="s">
        <v>160</v>
      </c>
      <c r="J265" s="6" t="n">
        <f aca="false">SUMIFS(Kits!$C$5:$C$163,Kits!$A$5:$A$163,$D265,Kits!$B$5:$B$163,$E265)</f>
        <v>1</v>
      </c>
      <c r="K265" s="6" t="n">
        <f aca="false">INDEX(Services!$F$5:$F$85,MATCH($A265,Services!$A$5:$A$85,0))</f>
        <v>1</v>
      </c>
      <c r="L265" s="6" t="n">
        <f aca="false">IF($H265="Auto-deduct",IF($G265="Countable",ROUNDUP($J265*IF($I265="Y",$K265,1),0),ROUND($J265*IF($I265="Y",$K265,1),1)),$J265)</f>
        <v>1</v>
      </c>
      <c r="M265" s="6" t="str">
        <f aca="false">INDEX(Items!$E$5:$E$62,MATCH($E265,Items!$A$5:$A$62,0))</f>
        <v>pair</v>
      </c>
      <c r="N265" s="6" t="n">
        <f aca="false">ROUND($L265/INDEX(Items!$F$5:$F$62,MATCH($E265,Items!$A$5:$A$62,0)),4)</f>
        <v>1</v>
      </c>
      <c r="O265" s="6"/>
    </row>
    <row r="266" customFormat="false" ht="15" hidden="false" customHeight="false" outlineLevel="0" collapsed="false">
      <c r="A266" s="6" t="n">
        <v>30</v>
      </c>
      <c r="B266" s="6" t="s">
        <v>315</v>
      </c>
      <c r="C266" s="6" t="s">
        <v>311</v>
      </c>
      <c r="D266" s="6" t="s">
        <v>159</v>
      </c>
      <c r="E266" s="6" t="s">
        <v>88</v>
      </c>
      <c r="F266" s="6" t="str">
        <f aca="false">INDEX(Items!$B$5:$B$62,MATCH($E266,Items!$A$5:$A$62,0))</f>
        <v>DISPOSABLES &amp; CLINIC CONSUMABLES</v>
      </c>
      <c r="G266" s="6" t="str">
        <f aca="false">INDEX(Items!$C$5:$C$62,MATCH($E266,Items!$A$5:$A$62,0))</f>
        <v>Bulk</v>
      </c>
      <c r="H266" s="6" t="s">
        <v>161</v>
      </c>
      <c r="I266" s="6" t="s">
        <v>160</v>
      </c>
      <c r="J266" s="6" t="n">
        <f aca="false">SUMIFS(Kits!$C$5:$C$163,Kits!$A$5:$A$163,$D266,Kits!$B$5:$B$163,$E266)</f>
        <v>5</v>
      </c>
      <c r="K266" s="6" t="n">
        <f aca="false">INDEX(Services!$F$5:$F$85,MATCH($A266,Services!$A$5:$A$85,0))</f>
        <v>1</v>
      </c>
      <c r="L266" s="6" t="n">
        <f aca="false">IF($H266="Auto-deduct",IF($G266="Countable",ROUNDUP($J266*IF($I266="Y",$K266,1),0),ROUND($J266*IF($I266="Y",$K266,1),1)),$J266)</f>
        <v>5</v>
      </c>
      <c r="M266" s="6" t="str">
        <f aca="false">INDEX(Items!$E$5:$E$62,MATCH($E266,Items!$A$5:$A$62,0))</f>
        <v>mL</v>
      </c>
      <c r="N266" s="6" t="n">
        <f aca="false">ROUND($L266/INDEX(Items!$F$5:$F$62,MATCH($E266,Items!$A$5:$A$62,0)),4)</f>
        <v>0.01</v>
      </c>
      <c r="O266" s="6"/>
    </row>
    <row r="267" customFormat="false" ht="15" hidden="false" customHeight="false" outlineLevel="0" collapsed="false">
      <c r="A267" s="6" t="n">
        <v>30</v>
      </c>
      <c r="B267" s="6" t="s">
        <v>315</v>
      </c>
      <c r="C267" s="6" t="s">
        <v>311</v>
      </c>
      <c r="D267" s="6" t="s">
        <v>231</v>
      </c>
      <c r="E267" s="6" t="s">
        <v>40</v>
      </c>
      <c r="F267" s="6" t="str">
        <f aca="false">INDEX(Items!$B$5:$B$62,MATCH($E267,Items!$A$5:$A$62,0))</f>
        <v>MEDICAL / INJECTION SUPPLIES</v>
      </c>
      <c r="G267" s="6" t="str">
        <f aca="false">INDEX(Items!$C$5:$C$62,MATCH($E267,Items!$A$5:$A$62,0))</f>
        <v>Countable</v>
      </c>
      <c r="H267" s="6" t="s">
        <v>161</v>
      </c>
      <c r="I267" s="6" t="s">
        <v>160</v>
      </c>
      <c r="J267" s="6" t="n">
        <f aca="false">SUMIFS(Kits!$C$5:$C$163,Kits!$A$5:$A$163,$D267,Kits!$B$5:$B$163,$E267)</f>
        <v>1</v>
      </c>
      <c r="K267" s="6" t="n">
        <f aca="false">INDEX(Services!$F$5:$F$85,MATCH($A267,Services!$A$5:$A$85,0))</f>
        <v>1</v>
      </c>
      <c r="L267" s="6" t="n">
        <f aca="false">IF($H267="Auto-deduct",IF($G267="Countable",ROUNDUP($J267*IF($I267="Y",$K267,1),0),ROUND($J267*IF($I267="Y",$K267,1),1)),$J267)</f>
        <v>1</v>
      </c>
      <c r="M267" s="6" t="str">
        <f aca="false">INDEX(Items!$E$5:$E$62,MATCH($E267,Items!$A$5:$A$62,0))</f>
        <v>pc</v>
      </c>
      <c r="N267" s="6" t="n">
        <f aca="false">ROUND($L267/INDEX(Items!$F$5:$F$62,MATCH($E267,Items!$A$5:$A$62,0)),4)</f>
        <v>1</v>
      </c>
      <c r="O267" s="6"/>
    </row>
    <row r="268" customFormat="false" ht="15" hidden="false" customHeight="false" outlineLevel="0" collapsed="false">
      <c r="A268" s="6" t="n">
        <v>30</v>
      </c>
      <c r="B268" s="6" t="s">
        <v>315</v>
      </c>
      <c r="C268" s="6" t="s">
        <v>311</v>
      </c>
      <c r="D268" s="6" t="s">
        <v>231</v>
      </c>
      <c r="E268" s="6" t="s">
        <v>49</v>
      </c>
      <c r="F268" s="6" t="str">
        <f aca="false">INDEX(Items!$B$5:$B$62,MATCH($E268,Items!$A$5:$A$62,0))</f>
        <v>MEDICAL / INJECTION SUPPLIES</v>
      </c>
      <c r="G268" s="6" t="str">
        <f aca="false">INDEX(Items!$C$5:$C$62,MATCH($E268,Items!$A$5:$A$62,0))</f>
        <v>Countable</v>
      </c>
      <c r="H268" s="6" t="s">
        <v>161</v>
      </c>
      <c r="I268" s="6" t="s">
        <v>160</v>
      </c>
      <c r="J268" s="6" t="n">
        <f aca="false">SUMIFS(Kits!$C$5:$C$163,Kits!$A$5:$A$163,$D268,Kits!$B$5:$B$163,$E268)</f>
        <v>1</v>
      </c>
      <c r="K268" s="6" t="n">
        <f aca="false">INDEX(Services!$F$5:$F$85,MATCH($A268,Services!$A$5:$A$85,0))</f>
        <v>1</v>
      </c>
      <c r="L268" s="6" t="n">
        <f aca="false">IF($H268="Auto-deduct",IF($G268="Countable",ROUNDUP($J268*IF($I268="Y",$K268,1),0),ROUND($J268*IF($I268="Y",$K268,1),1)),$J268)</f>
        <v>1</v>
      </c>
      <c r="M268" s="6" t="str">
        <f aca="false">INDEX(Items!$E$5:$E$62,MATCH($E268,Items!$A$5:$A$62,0))</f>
        <v>pc</v>
      </c>
      <c r="N268" s="6" t="n">
        <f aca="false">ROUND($L268/INDEX(Items!$F$5:$F$62,MATCH($E268,Items!$A$5:$A$62,0)),4)</f>
        <v>1</v>
      </c>
      <c r="O268" s="6"/>
    </row>
    <row r="269" customFormat="false" ht="15" hidden="false" customHeight="false" outlineLevel="0" collapsed="false">
      <c r="A269" s="6" t="n">
        <v>30</v>
      </c>
      <c r="B269" s="6" t="s">
        <v>315</v>
      </c>
      <c r="C269" s="6" t="s">
        <v>311</v>
      </c>
      <c r="D269" s="6" t="s">
        <v>231</v>
      </c>
      <c r="E269" s="6" t="s">
        <v>35</v>
      </c>
      <c r="F269" s="6" t="str">
        <f aca="false">INDEX(Items!$B$5:$B$62,MATCH($E269,Items!$A$5:$A$62,0))</f>
        <v>MEDICAL / INJECTION SUPPLIES</v>
      </c>
      <c r="G269" s="6" t="str">
        <f aca="false">INDEX(Items!$C$5:$C$62,MATCH($E269,Items!$A$5:$A$62,0))</f>
        <v>Countable</v>
      </c>
      <c r="H269" s="6" t="s">
        <v>161</v>
      </c>
      <c r="I269" s="6" t="s">
        <v>160</v>
      </c>
      <c r="J269" s="6" t="n">
        <f aca="false">SUMIFS(Kits!$C$5:$C$163,Kits!$A$5:$A$163,$D269,Kits!$B$5:$B$163,$E269)</f>
        <v>1</v>
      </c>
      <c r="K269" s="6" t="n">
        <f aca="false">INDEX(Services!$F$5:$F$85,MATCH($A269,Services!$A$5:$A$85,0))</f>
        <v>1</v>
      </c>
      <c r="L269" s="6" t="n">
        <f aca="false">IF($H269="Auto-deduct",IF($G269="Countable",ROUNDUP($J269*IF($I269="Y",$K269,1),0),ROUND($J269*IF($I269="Y",$K269,1),1)),$J269)</f>
        <v>1</v>
      </c>
      <c r="M269" s="6" t="str">
        <f aca="false">INDEX(Items!$E$5:$E$62,MATCH($E269,Items!$A$5:$A$62,0))</f>
        <v>pc</v>
      </c>
      <c r="N269" s="6" t="n">
        <f aca="false">ROUND($L269/INDEX(Items!$F$5:$F$62,MATCH($E269,Items!$A$5:$A$62,0)),4)</f>
        <v>1</v>
      </c>
      <c r="O269" s="6"/>
    </row>
    <row r="270" customFormat="false" ht="15" hidden="false" customHeight="false" outlineLevel="0" collapsed="false">
      <c r="A270" s="6" t="n">
        <v>30</v>
      </c>
      <c r="B270" s="6" t="s">
        <v>315</v>
      </c>
      <c r="C270" s="6" t="s">
        <v>311</v>
      </c>
      <c r="D270" s="6" t="s">
        <v>231</v>
      </c>
      <c r="E270" s="6" t="s">
        <v>46</v>
      </c>
      <c r="F270" s="6" t="str">
        <f aca="false">INDEX(Items!$B$5:$B$62,MATCH($E270,Items!$A$5:$A$62,0))</f>
        <v>MEDICAL / INJECTION SUPPLIES</v>
      </c>
      <c r="G270" s="6" t="str">
        <f aca="false">INDEX(Items!$C$5:$C$62,MATCH($E270,Items!$A$5:$A$62,0))</f>
        <v>Countable</v>
      </c>
      <c r="H270" s="6" t="s">
        <v>161</v>
      </c>
      <c r="I270" s="6" t="s">
        <v>160</v>
      </c>
      <c r="J270" s="6" t="n">
        <f aca="false">SUMIFS(Kits!$C$5:$C$163,Kits!$A$5:$A$163,$D270,Kits!$B$5:$B$163,$E270)</f>
        <v>1</v>
      </c>
      <c r="K270" s="6" t="n">
        <f aca="false">INDEX(Services!$F$5:$F$85,MATCH($A270,Services!$A$5:$A$85,0))</f>
        <v>1</v>
      </c>
      <c r="L270" s="6" t="n">
        <f aca="false">IF($H270="Auto-deduct",IF($G270="Countable",ROUNDUP($J270*IF($I270="Y",$K270,1),0),ROUND($J270*IF($I270="Y",$K270,1),1)),$J270)</f>
        <v>1</v>
      </c>
      <c r="M270" s="6" t="str">
        <f aca="false">INDEX(Items!$E$5:$E$62,MATCH($E270,Items!$A$5:$A$62,0))</f>
        <v>ampule</v>
      </c>
      <c r="N270" s="6" t="n">
        <f aca="false">ROUND($L270/INDEX(Items!$F$5:$F$62,MATCH($E270,Items!$A$5:$A$62,0)),4)</f>
        <v>1</v>
      </c>
      <c r="O270" s="6"/>
    </row>
    <row r="271" customFormat="false" ht="15" hidden="false" customHeight="false" outlineLevel="0" collapsed="false">
      <c r="A271" s="6" t="n">
        <v>30</v>
      </c>
      <c r="B271" s="6" t="s">
        <v>315</v>
      </c>
      <c r="C271" s="6" t="s">
        <v>311</v>
      </c>
      <c r="D271" s="6" t="s">
        <v>231</v>
      </c>
      <c r="E271" s="6" t="s">
        <v>84</v>
      </c>
      <c r="F271" s="6" t="str">
        <f aca="false">INDEX(Items!$B$5:$B$62,MATCH($E271,Items!$A$5:$A$62,0))</f>
        <v>DISPOSABLES &amp; CLINIC CONSUMABLES</v>
      </c>
      <c r="G271" s="6" t="str">
        <f aca="false">INDEX(Items!$C$5:$C$62,MATCH($E271,Items!$A$5:$A$62,0))</f>
        <v>Countable</v>
      </c>
      <c r="H271" s="6" t="s">
        <v>161</v>
      </c>
      <c r="I271" s="6" t="s">
        <v>160</v>
      </c>
      <c r="J271" s="6" t="n">
        <f aca="false">SUMIFS(Kits!$C$5:$C$163,Kits!$A$5:$A$163,$D271,Kits!$B$5:$B$163,$E271)</f>
        <v>2</v>
      </c>
      <c r="K271" s="6" t="n">
        <f aca="false">INDEX(Services!$F$5:$F$85,MATCH($A271,Services!$A$5:$A$85,0))</f>
        <v>1</v>
      </c>
      <c r="L271" s="6" t="n">
        <f aca="false">IF($H271="Auto-deduct",IF($G271="Countable",ROUNDUP($J271*IF($I271="Y",$K271,1),0),ROUND($J271*IF($I271="Y",$K271,1),1)),$J271)</f>
        <v>2</v>
      </c>
      <c r="M271" s="6" t="str">
        <f aca="false">INDEX(Items!$E$5:$E$62,MATCH($E271,Items!$A$5:$A$62,0))</f>
        <v>pc</v>
      </c>
      <c r="N271" s="6" t="n">
        <f aca="false">ROUND($L271/INDEX(Items!$F$5:$F$62,MATCH($E271,Items!$A$5:$A$62,0)),4)</f>
        <v>2</v>
      </c>
      <c r="O271" s="6"/>
    </row>
    <row r="272" customFormat="false" ht="15" hidden="false" customHeight="false" outlineLevel="0" collapsed="false">
      <c r="A272" s="6" t="n">
        <v>30</v>
      </c>
      <c r="B272" s="6" t="s">
        <v>315</v>
      </c>
      <c r="C272" s="6" t="s">
        <v>311</v>
      </c>
      <c r="D272" s="6" t="s">
        <v>231</v>
      </c>
      <c r="E272" s="6" t="s">
        <v>76</v>
      </c>
      <c r="F272" s="6" t="str">
        <f aca="false">INDEX(Items!$B$5:$B$62,MATCH($E272,Items!$A$5:$A$62,0))</f>
        <v>DISPOSABLES &amp; CLINIC CONSUMABLES</v>
      </c>
      <c r="G272" s="6" t="str">
        <f aca="false">INDEX(Items!$C$5:$C$62,MATCH($E272,Items!$A$5:$A$62,0))</f>
        <v>Bulk</v>
      </c>
      <c r="H272" s="6" t="s">
        <v>161</v>
      </c>
      <c r="I272" s="6" t="s">
        <v>160</v>
      </c>
      <c r="J272" s="6" t="n">
        <f aca="false">SUMIFS(Kits!$C$5:$C$163,Kits!$A$5:$A$163,$D272,Kits!$B$5:$B$163,$E272)</f>
        <v>20</v>
      </c>
      <c r="K272" s="6" t="n">
        <f aca="false">INDEX(Services!$F$5:$F$85,MATCH($A272,Services!$A$5:$A$85,0))</f>
        <v>1</v>
      </c>
      <c r="L272" s="6" t="n">
        <f aca="false">IF($H272="Auto-deduct",IF($G272="Countable",ROUNDUP($J272*IF($I272="Y",$K272,1),0),ROUND($J272*IF($I272="Y",$K272,1),1)),$J272)</f>
        <v>20</v>
      </c>
      <c r="M272" s="6" t="str">
        <f aca="false">INDEX(Items!$E$5:$E$62,MATCH($E272,Items!$A$5:$A$62,0))</f>
        <v>cm</v>
      </c>
      <c r="N272" s="6" t="n">
        <f aca="false">ROUND($L272/INDEX(Items!$F$5:$F$62,MATCH($E272,Items!$A$5:$A$62,0)),4)</f>
        <v>0.0219</v>
      </c>
      <c r="O272" s="6"/>
    </row>
    <row r="273" customFormat="false" ht="15" hidden="false" customHeight="false" outlineLevel="0" collapsed="false">
      <c r="A273" s="6" t="n">
        <v>31</v>
      </c>
      <c r="B273" s="6" t="s">
        <v>316</v>
      </c>
      <c r="C273" s="6" t="s">
        <v>311</v>
      </c>
      <c r="D273" s="6" t="s">
        <v>159</v>
      </c>
      <c r="E273" s="6" t="s">
        <v>52</v>
      </c>
      <c r="F273" s="6" t="str">
        <f aca="false">INDEX(Items!$B$5:$B$62,MATCH($E273,Items!$A$5:$A$62,0))</f>
        <v>DISPOSABLES &amp; CLINIC CONSUMABLES</v>
      </c>
      <c r="G273" s="6" t="str">
        <f aca="false">INDEX(Items!$C$5:$C$62,MATCH($E273,Items!$A$5:$A$62,0))</f>
        <v>Countable</v>
      </c>
      <c r="H273" s="6" t="s">
        <v>161</v>
      </c>
      <c r="I273" s="6" t="s">
        <v>160</v>
      </c>
      <c r="J273" s="6" t="n">
        <f aca="false">SUMIFS(Kits!$C$5:$C$163,Kits!$A$5:$A$163,$D273,Kits!$B$5:$B$163,$E273)</f>
        <v>1</v>
      </c>
      <c r="K273" s="6" t="n">
        <f aca="false">INDEX(Services!$F$5:$F$85,MATCH($A273,Services!$A$5:$A$85,0))</f>
        <v>1</v>
      </c>
      <c r="L273" s="6" t="n">
        <f aca="false">IF($H273="Auto-deduct",IF($G273="Countable",ROUNDUP($J273*IF($I273="Y",$K273,1),0),ROUND($J273*IF($I273="Y",$K273,1),1)),$J273)</f>
        <v>1</v>
      </c>
      <c r="M273" s="6" t="str">
        <f aca="false">INDEX(Items!$E$5:$E$62,MATCH($E273,Items!$A$5:$A$62,0))</f>
        <v>pc</v>
      </c>
      <c r="N273" s="6" t="n">
        <f aca="false">ROUND($L273/INDEX(Items!$F$5:$F$62,MATCH($E273,Items!$A$5:$A$62,0)),4)</f>
        <v>1</v>
      </c>
      <c r="O273" s="6"/>
    </row>
    <row r="274" customFormat="false" ht="15" hidden="false" customHeight="false" outlineLevel="0" collapsed="false">
      <c r="A274" s="6" t="n">
        <v>31</v>
      </c>
      <c r="B274" s="6" t="s">
        <v>316</v>
      </c>
      <c r="C274" s="6" t="s">
        <v>311</v>
      </c>
      <c r="D274" s="6" t="s">
        <v>159</v>
      </c>
      <c r="E274" s="6" t="s">
        <v>53</v>
      </c>
      <c r="F274" s="6" t="str">
        <f aca="false">INDEX(Items!$B$5:$B$62,MATCH($E274,Items!$A$5:$A$62,0))</f>
        <v>DISPOSABLES &amp; CLINIC CONSUMABLES</v>
      </c>
      <c r="G274" s="6" t="str">
        <f aca="false">INDEX(Items!$C$5:$C$62,MATCH($E274,Items!$A$5:$A$62,0))</f>
        <v>Countable</v>
      </c>
      <c r="H274" s="6" t="s">
        <v>161</v>
      </c>
      <c r="I274" s="6" t="s">
        <v>160</v>
      </c>
      <c r="J274" s="6" t="n">
        <f aca="false">SUMIFS(Kits!$C$5:$C$163,Kits!$A$5:$A$163,$D274,Kits!$B$5:$B$163,$E274)</f>
        <v>1</v>
      </c>
      <c r="K274" s="6" t="n">
        <f aca="false">INDEX(Services!$F$5:$F$85,MATCH($A274,Services!$A$5:$A$85,0))</f>
        <v>1</v>
      </c>
      <c r="L274" s="6" t="n">
        <f aca="false">IF($H274="Auto-deduct",IF($G274="Countable",ROUNDUP($J274*IF($I274="Y",$K274,1),0),ROUND($J274*IF($I274="Y",$K274,1),1)),$J274)</f>
        <v>1</v>
      </c>
      <c r="M274" s="6" t="str">
        <f aca="false">INDEX(Items!$E$5:$E$62,MATCH($E274,Items!$A$5:$A$62,0))</f>
        <v>pair</v>
      </c>
      <c r="N274" s="6" t="n">
        <f aca="false">ROUND($L274/INDEX(Items!$F$5:$F$62,MATCH($E274,Items!$A$5:$A$62,0)),4)</f>
        <v>1</v>
      </c>
      <c r="O274" s="6"/>
    </row>
    <row r="275" customFormat="false" ht="15" hidden="false" customHeight="false" outlineLevel="0" collapsed="false">
      <c r="A275" s="6" t="n">
        <v>31</v>
      </c>
      <c r="B275" s="6" t="s">
        <v>316</v>
      </c>
      <c r="C275" s="6" t="s">
        <v>311</v>
      </c>
      <c r="D275" s="6" t="s">
        <v>159</v>
      </c>
      <c r="E275" s="6" t="s">
        <v>88</v>
      </c>
      <c r="F275" s="6" t="str">
        <f aca="false">INDEX(Items!$B$5:$B$62,MATCH($E275,Items!$A$5:$A$62,0))</f>
        <v>DISPOSABLES &amp; CLINIC CONSUMABLES</v>
      </c>
      <c r="G275" s="6" t="str">
        <f aca="false">INDEX(Items!$C$5:$C$62,MATCH($E275,Items!$A$5:$A$62,0))</f>
        <v>Bulk</v>
      </c>
      <c r="H275" s="6" t="s">
        <v>161</v>
      </c>
      <c r="I275" s="6" t="s">
        <v>160</v>
      </c>
      <c r="J275" s="6" t="n">
        <f aca="false">SUMIFS(Kits!$C$5:$C$163,Kits!$A$5:$A$163,$D275,Kits!$B$5:$B$163,$E275)</f>
        <v>5</v>
      </c>
      <c r="K275" s="6" t="n">
        <f aca="false">INDEX(Services!$F$5:$F$85,MATCH($A275,Services!$A$5:$A$85,0))</f>
        <v>1</v>
      </c>
      <c r="L275" s="6" t="n">
        <f aca="false">IF($H275="Auto-deduct",IF($G275="Countable",ROUNDUP($J275*IF($I275="Y",$K275,1),0),ROUND($J275*IF($I275="Y",$K275,1),1)),$J275)</f>
        <v>5</v>
      </c>
      <c r="M275" s="6" t="str">
        <f aca="false">INDEX(Items!$E$5:$E$62,MATCH($E275,Items!$A$5:$A$62,0))</f>
        <v>mL</v>
      </c>
      <c r="N275" s="6" t="n">
        <f aca="false">ROUND($L275/INDEX(Items!$F$5:$F$62,MATCH($E275,Items!$A$5:$A$62,0)),4)</f>
        <v>0.01</v>
      </c>
      <c r="O275" s="6"/>
    </row>
    <row r="276" customFormat="false" ht="15" hidden="false" customHeight="false" outlineLevel="0" collapsed="false">
      <c r="A276" s="6" t="n">
        <v>31</v>
      </c>
      <c r="B276" s="6" t="s">
        <v>316</v>
      </c>
      <c r="C276" s="6" t="s">
        <v>311</v>
      </c>
      <c r="D276" s="6" t="s">
        <v>231</v>
      </c>
      <c r="E276" s="6" t="s">
        <v>40</v>
      </c>
      <c r="F276" s="6" t="str">
        <f aca="false">INDEX(Items!$B$5:$B$62,MATCH($E276,Items!$A$5:$A$62,0))</f>
        <v>MEDICAL / INJECTION SUPPLIES</v>
      </c>
      <c r="G276" s="6" t="str">
        <f aca="false">INDEX(Items!$C$5:$C$62,MATCH($E276,Items!$A$5:$A$62,0))</f>
        <v>Countable</v>
      </c>
      <c r="H276" s="6" t="s">
        <v>161</v>
      </c>
      <c r="I276" s="6" t="s">
        <v>160</v>
      </c>
      <c r="J276" s="6" t="n">
        <f aca="false">SUMIFS(Kits!$C$5:$C$163,Kits!$A$5:$A$163,$D276,Kits!$B$5:$B$163,$E276)</f>
        <v>1</v>
      </c>
      <c r="K276" s="6" t="n">
        <f aca="false">INDEX(Services!$F$5:$F$85,MATCH($A276,Services!$A$5:$A$85,0))</f>
        <v>1</v>
      </c>
      <c r="L276" s="6" t="n">
        <f aca="false">IF($H276="Auto-deduct",IF($G276="Countable",ROUNDUP($J276*IF($I276="Y",$K276,1),0),ROUND($J276*IF($I276="Y",$K276,1),1)),$J276)</f>
        <v>1</v>
      </c>
      <c r="M276" s="6" t="str">
        <f aca="false">INDEX(Items!$E$5:$E$62,MATCH($E276,Items!$A$5:$A$62,0))</f>
        <v>pc</v>
      </c>
      <c r="N276" s="6" t="n">
        <f aca="false">ROUND($L276/INDEX(Items!$F$5:$F$62,MATCH($E276,Items!$A$5:$A$62,0)),4)</f>
        <v>1</v>
      </c>
      <c r="O276" s="6"/>
    </row>
    <row r="277" customFormat="false" ht="15" hidden="false" customHeight="false" outlineLevel="0" collapsed="false">
      <c r="A277" s="6" t="n">
        <v>31</v>
      </c>
      <c r="B277" s="6" t="s">
        <v>316</v>
      </c>
      <c r="C277" s="6" t="s">
        <v>311</v>
      </c>
      <c r="D277" s="6" t="s">
        <v>231</v>
      </c>
      <c r="E277" s="6" t="s">
        <v>49</v>
      </c>
      <c r="F277" s="6" t="str">
        <f aca="false">INDEX(Items!$B$5:$B$62,MATCH($E277,Items!$A$5:$A$62,0))</f>
        <v>MEDICAL / INJECTION SUPPLIES</v>
      </c>
      <c r="G277" s="6" t="str">
        <f aca="false">INDEX(Items!$C$5:$C$62,MATCH($E277,Items!$A$5:$A$62,0))</f>
        <v>Countable</v>
      </c>
      <c r="H277" s="6" t="s">
        <v>161</v>
      </c>
      <c r="I277" s="6" t="s">
        <v>160</v>
      </c>
      <c r="J277" s="6" t="n">
        <f aca="false">SUMIFS(Kits!$C$5:$C$163,Kits!$A$5:$A$163,$D277,Kits!$B$5:$B$163,$E277)</f>
        <v>1</v>
      </c>
      <c r="K277" s="6" t="n">
        <f aca="false">INDEX(Services!$F$5:$F$85,MATCH($A277,Services!$A$5:$A$85,0))</f>
        <v>1</v>
      </c>
      <c r="L277" s="6" t="n">
        <f aca="false">IF($H277="Auto-deduct",IF($G277="Countable",ROUNDUP($J277*IF($I277="Y",$K277,1),0),ROUND($J277*IF($I277="Y",$K277,1),1)),$J277)</f>
        <v>1</v>
      </c>
      <c r="M277" s="6" t="str">
        <f aca="false">INDEX(Items!$E$5:$E$62,MATCH($E277,Items!$A$5:$A$62,0))</f>
        <v>pc</v>
      </c>
      <c r="N277" s="6" t="n">
        <f aca="false">ROUND($L277/INDEX(Items!$F$5:$F$62,MATCH($E277,Items!$A$5:$A$62,0)),4)</f>
        <v>1</v>
      </c>
      <c r="O277" s="6"/>
    </row>
    <row r="278" customFormat="false" ht="15" hidden="false" customHeight="false" outlineLevel="0" collapsed="false">
      <c r="A278" s="6" t="n">
        <v>31</v>
      </c>
      <c r="B278" s="6" t="s">
        <v>316</v>
      </c>
      <c r="C278" s="6" t="s">
        <v>311</v>
      </c>
      <c r="D278" s="6" t="s">
        <v>231</v>
      </c>
      <c r="E278" s="6" t="s">
        <v>35</v>
      </c>
      <c r="F278" s="6" t="str">
        <f aca="false">INDEX(Items!$B$5:$B$62,MATCH($E278,Items!$A$5:$A$62,0))</f>
        <v>MEDICAL / INJECTION SUPPLIES</v>
      </c>
      <c r="G278" s="6" t="str">
        <f aca="false">INDEX(Items!$C$5:$C$62,MATCH($E278,Items!$A$5:$A$62,0))</f>
        <v>Countable</v>
      </c>
      <c r="H278" s="6" t="s">
        <v>161</v>
      </c>
      <c r="I278" s="6" t="s">
        <v>160</v>
      </c>
      <c r="J278" s="6" t="n">
        <f aca="false">SUMIFS(Kits!$C$5:$C$163,Kits!$A$5:$A$163,$D278,Kits!$B$5:$B$163,$E278)</f>
        <v>1</v>
      </c>
      <c r="K278" s="6" t="n">
        <f aca="false">INDEX(Services!$F$5:$F$85,MATCH($A278,Services!$A$5:$A$85,0))</f>
        <v>1</v>
      </c>
      <c r="L278" s="6" t="n">
        <f aca="false">IF($H278="Auto-deduct",IF($G278="Countable",ROUNDUP($J278*IF($I278="Y",$K278,1),0),ROUND($J278*IF($I278="Y",$K278,1),1)),$J278)</f>
        <v>1</v>
      </c>
      <c r="M278" s="6" t="str">
        <f aca="false">INDEX(Items!$E$5:$E$62,MATCH($E278,Items!$A$5:$A$62,0))</f>
        <v>pc</v>
      </c>
      <c r="N278" s="6" t="n">
        <f aca="false">ROUND($L278/INDEX(Items!$F$5:$F$62,MATCH($E278,Items!$A$5:$A$62,0)),4)</f>
        <v>1</v>
      </c>
      <c r="O278" s="6"/>
    </row>
    <row r="279" customFormat="false" ht="15" hidden="false" customHeight="false" outlineLevel="0" collapsed="false">
      <c r="A279" s="6" t="n">
        <v>31</v>
      </c>
      <c r="B279" s="6" t="s">
        <v>316</v>
      </c>
      <c r="C279" s="6" t="s">
        <v>311</v>
      </c>
      <c r="D279" s="6" t="s">
        <v>231</v>
      </c>
      <c r="E279" s="6" t="s">
        <v>46</v>
      </c>
      <c r="F279" s="6" t="str">
        <f aca="false">INDEX(Items!$B$5:$B$62,MATCH($E279,Items!$A$5:$A$62,0))</f>
        <v>MEDICAL / INJECTION SUPPLIES</v>
      </c>
      <c r="G279" s="6" t="str">
        <f aca="false">INDEX(Items!$C$5:$C$62,MATCH($E279,Items!$A$5:$A$62,0))</f>
        <v>Countable</v>
      </c>
      <c r="H279" s="6" t="s">
        <v>161</v>
      </c>
      <c r="I279" s="6" t="s">
        <v>160</v>
      </c>
      <c r="J279" s="6" t="n">
        <f aca="false">SUMIFS(Kits!$C$5:$C$163,Kits!$A$5:$A$163,$D279,Kits!$B$5:$B$163,$E279)</f>
        <v>1</v>
      </c>
      <c r="K279" s="6" t="n">
        <f aca="false">INDEX(Services!$F$5:$F$85,MATCH($A279,Services!$A$5:$A$85,0))</f>
        <v>1</v>
      </c>
      <c r="L279" s="6" t="n">
        <f aca="false">IF($H279="Auto-deduct",IF($G279="Countable",ROUNDUP($J279*IF($I279="Y",$K279,1),0),ROUND($J279*IF($I279="Y",$K279,1),1)),$J279)</f>
        <v>1</v>
      </c>
      <c r="M279" s="6" t="str">
        <f aca="false">INDEX(Items!$E$5:$E$62,MATCH($E279,Items!$A$5:$A$62,0))</f>
        <v>ampule</v>
      </c>
      <c r="N279" s="6" t="n">
        <f aca="false">ROUND($L279/INDEX(Items!$F$5:$F$62,MATCH($E279,Items!$A$5:$A$62,0)),4)</f>
        <v>1</v>
      </c>
      <c r="O279" s="6"/>
    </row>
    <row r="280" customFormat="false" ht="15" hidden="false" customHeight="false" outlineLevel="0" collapsed="false">
      <c r="A280" s="6" t="n">
        <v>31</v>
      </c>
      <c r="B280" s="6" t="s">
        <v>316</v>
      </c>
      <c r="C280" s="6" t="s">
        <v>311</v>
      </c>
      <c r="D280" s="6" t="s">
        <v>231</v>
      </c>
      <c r="E280" s="6" t="s">
        <v>84</v>
      </c>
      <c r="F280" s="6" t="str">
        <f aca="false">INDEX(Items!$B$5:$B$62,MATCH($E280,Items!$A$5:$A$62,0))</f>
        <v>DISPOSABLES &amp; CLINIC CONSUMABLES</v>
      </c>
      <c r="G280" s="6" t="str">
        <f aca="false">INDEX(Items!$C$5:$C$62,MATCH($E280,Items!$A$5:$A$62,0))</f>
        <v>Countable</v>
      </c>
      <c r="H280" s="6" t="s">
        <v>161</v>
      </c>
      <c r="I280" s="6" t="s">
        <v>160</v>
      </c>
      <c r="J280" s="6" t="n">
        <f aca="false">SUMIFS(Kits!$C$5:$C$163,Kits!$A$5:$A$163,$D280,Kits!$B$5:$B$163,$E280)</f>
        <v>2</v>
      </c>
      <c r="K280" s="6" t="n">
        <f aca="false">INDEX(Services!$F$5:$F$85,MATCH($A280,Services!$A$5:$A$85,0))</f>
        <v>1</v>
      </c>
      <c r="L280" s="6" t="n">
        <f aca="false">IF($H280="Auto-deduct",IF($G280="Countable",ROUNDUP($J280*IF($I280="Y",$K280,1),0),ROUND($J280*IF($I280="Y",$K280,1),1)),$J280)</f>
        <v>2</v>
      </c>
      <c r="M280" s="6" t="str">
        <f aca="false">INDEX(Items!$E$5:$E$62,MATCH($E280,Items!$A$5:$A$62,0))</f>
        <v>pc</v>
      </c>
      <c r="N280" s="6" t="n">
        <f aca="false">ROUND($L280/INDEX(Items!$F$5:$F$62,MATCH($E280,Items!$A$5:$A$62,0)),4)</f>
        <v>2</v>
      </c>
      <c r="O280" s="6"/>
    </row>
    <row r="281" customFormat="false" ht="15" hidden="false" customHeight="false" outlineLevel="0" collapsed="false">
      <c r="A281" s="6" t="n">
        <v>31</v>
      </c>
      <c r="B281" s="6" t="s">
        <v>316</v>
      </c>
      <c r="C281" s="6" t="s">
        <v>311</v>
      </c>
      <c r="D281" s="6" t="s">
        <v>231</v>
      </c>
      <c r="E281" s="6" t="s">
        <v>76</v>
      </c>
      <c r="F281" s="6" t="str">
        <f aca="false">INDEX(Items!$B$5:$B$62,MATCH($E281,Items!$A$5:$A$62,0))</f>
        <v>DISPOSABLES &amp; CLINIC CONSUMABLES</v>
      </c>
      <c r="G281" s="6" t="str">
        <f aca="false">INDEX(Items!$C$5:$C$62,MATCH($E281,Items!$A$5:$A$62,0))</f>
        <v>Bulk</v>
      </c>
      <c r="H281" s="6" t="s">
        <v>161</v>
      </c>
      <c r="I281" s="6" t="s">
        <v>160</v>
      </c>
      <c r="J281" s="6" t="n">
        <f aca="false">SUMIFS(Kits!$C$5:$C$163,Kits!$A$5:$A$163,$D281,Kits!$B$5:$B$163,$E281)</f>
        <v>20</v>
      </c>
      <c r="K281" s="6" t="n">
        <f aca="false">INDEX(Services!$F$5:$F$85,MATCH($A281,Services!$A$5:$A$85,0))</f>
        <v>1</v>
      </c>
      <c r="L281" s="6" t="n">
        <f aca="false">IF($H281="Auto-deduct",IF($G281="Countable",ROUNDUP($J281*IF($I281="Y",$K281,1),0),ROUND($J281*IF($I281="Y",$K281,1),1)),$J281)</f>
        <v>20</v>
      </c>
      <c r="M281" s="6" t="str">
        <f aca="false">INDEX(Items!$E$5:$E$62,MATCH($E281,Items!$A$5:$A$62,0))</f>
        <v>cm</v>
      </c>
      <c r="N281" s="6" t="n">
        <f aca="false">ROUND($L281/INDEX(Items!$F$5:$F$62,MATCH($E281,Items!$A$5:$A$62,0)),4)</f>
        <v>0.0219</v>
      </c>
      <c r="O281" s="6"/>
    </row>
    <row r="282" customFormat="false" ht="15" hidden="false" customHeight="false" outlineLevel="0" collapsed="false">
      <c r="A282" s="6" t="n">
        <v>31</v>
      </c>
      <c r="B282" s="6" t="s">
        <v>316</v>
      </c>
      <c r="C282" s="6" t="s">
        <v>311</v>
      </c>
      <c r="D282" s="6" t="s">
        <v>237</v>
      </c>
      <c r="E282" s="6" t="s">
        <v>127</v>
      </c>
      <c r="F282" s="6" t="str">
        <f aca="false">INDEX(Items!$B$5:$B$62,MATCH($E282,Items!$A$5:$A$62,0))</f>
        <v>SKINCARE PRODUCTS (RETAIL / AFTERCARE)</v>
      </c>
      <c r="G282" s="6" t="str">
        <f aca="false">INDEX(Items!$C$5:$C$62,MATCH($E282,Items!$A$5:$A$62,0))</f>
        <v>Countable</v>
      </c>
      <c r="H282" s="6" t="s">
        <v>185</v>
      </c>
      <c r="I282" s="6" t="s">
        <v>160</v>
      </c>
      <c r="J282" s="6" t="n">
        <f aca="false">SUMIFS(Kits!$C$5:$C$163,Kits!$A$5:$A$163,$D282,Kits!$B$5:$B$163,$E282)</f>
        <v>1</v>
      </c>
      <c r="K282" s="6" t="n">
        <f aca="false">INDEX(Services!$F$5:$F$85,MATCH($A282,Services!$A$5:$A$85,0))</f>
        <v>1</v>
      </c>
      <c r="L282" s="6" t="n">
        <f aca="false">IF($H282="Auto-deduct",IF($G282="Countable",ROUNDUP($J282*IF($I282="Y",$K282,1),0),ROUND($J282*IF($I282="Y",$K282,1),1)),$J282)</f>
        <v>1</v>
      </c>
      <c r="M282" s="6" t="str">
        <f aca="false">INDEX(Items!$E$5:$E$62,MATCH($E282,Items!$A$5:$A$62,0))</f>
        <v>jar</v>
      </c>
      <c r="N282" s="6" t="n">
        <f aca="false">ROUND($L282/INDEX(Items!$F$5:$F$62,MATCH($E282,Items!$A$5:$A$62,0)),4)</f>
        <v>1</v>
      </c>
      <c r="O282" s="6"/>
    </row>
    <row r="283" customFormat="false" ht="15" hidden="false" customHeight="false" outlineLevel="0" collapsed="false">
      <c r="A283" s="6" t="n">
        <v>31</v>
      </c>
      <c r="B283" s="6" t="s">
        <v>316</v>
      </c>
      <c r="C283" s="6" t="s">
        <v>311</v>
      </c>
      <c r="D283" s="6" t="s">
        <v>237</v>
      </c>
      <c r="E283" s="6" t="s">
        <v>144</v>
      </c>
      <c r="F283" s="6" t="str">
        <f aca="false">INDEX(Items!$B$5:$B$62,MATCH($E283,Items!$A$5:$A$62,0))</f>
        <v>SOAPS &amp; CLEANSERS</v>
      </c>
      <c r="G283" s="6" t="str">
        <f aca="false">INDEX(Items!$C$5:$C$62,MATCH($E283,Items!$A$5:$A$62,0))</f>
        <v>Countable</v>
      </c>
      <c r="H283" s="6" t="s">
        <v>185</v>
      </c>
      <c r="I283" s="6" t="s">
        <v>160</v>
      </c>
      <c r="J283" s="6" t="n">
        <f aca="false">SUMIFS(Kits!$C$5:$C$163,Kits!$A$5:$A$163,$D283,Kits!$B$5:$B$163,$E283)</f>
        <v>1</v>
      </c>
      <c r="K283" s="6" t="n">
        <f aca="false">INDEX(Services!$F$5:$F$85,MATCH($A283,Services!$A$5:$A$85,0))</f>
        <v>1</v>
      </c>
      <c r="L283" s="6" t="n">
        <f aca="false">IF($H283="Auto-deduct",IF($G283="Countable",ROUNDUP($J283*IF($I283="Y",$K283,1),0),ROUND($J283*IF($I283="Y",$K283,1),1)),$J283)</f>
        <v>1</v>
      </c>
      <c r="M283" s="6" t="str">
        <f aca="false">INDEX(Items!$E$5:$E$62,MATCH($E283,Items!$A$5:$A$62,0))</f>
        <v>bar</v>
      </c>
      <c r="N283" s="6" t="n">
        <f aca="false">ROUND($L283/INDEX(Items!$F$5:$F$62,MATCH($E283,Items!$A$5:$A$62,0)),4)</f>
        <v>1</v>
      </c>
      <c r="O283" s="6"/>
    </row>
    <row r="284" customFormat="false" ht="15" hidden="false" customHeight="false" outlineLevel="0" collapsed="false">
      <c r="A284" s="6" t="n">
        <v>32</v>
      </c>
      <c r="B284" s="6" t="s">
        <v>318</v>
      </c>
      <c r="C284" s="6" t="s">
        <v>311</v>
      </c>
      <c r="D284" s="6" t="s">
        <v>159</v>
      </c>
      <c r="E284" s="6" t="s">
        <v>52</v>
      </c>
      <c r="F284" s="6" t="str">
        <f aca="false">INDEX(Items!$B$5:$B$62,MATCH($E284,Items!$A$5:$A$62,0))</f>
        <v>DISPOSABLES &amp; CLINIC CONSUMABLES</v>
      </c>
      <c r="G284" s="6" t="str">
        <f aca="false">INDEX(Items!$C$5:$C$62,MATCH($E284,Items!$A$5:$A$62,0))</f>
        <v>Countable</v>
      </c>
      <c r="H284" s="6" t="s">
        <v>161</v>
      </c>
      <c r="I284" s="6" t="s">
        <v>160</v>
      </c>
      <c r="J284" s="6" t="n">
        <f aca="false">SUMIFS(Kits!$C$5:$C$163,Kits!$A$5:$A$163,$D284,Kits!$B$5:$B$163,$E284)</f>
        <v>1</v>
      </c>
      <c r="K284" s="6" t="n">
        <f aca="false">INDEX(Services!$F$5:$F$85,MATCH($A284,Services!$A$5:$A$85,0))</f>
        <v>1</v>
      </c>
      <c r="L284" s="6" t="n">
        <f aca="false">IF($H284="Auto-deduct",IF($G284="Countable",ROUNDUP($J284*IF($I284="Y",$K284,1),0),ROUND($J284*IF($I284="Y",$K284,1),1)),$J284)</f>
        <v>1</v>
      </c>
      <c r="M284" s="6" t="str">
        <f aca="false">INDEX(Items!$E$5:$E$62,MATCH($E284,Items!$A$5:$A$62,0))</f>
        <v>pc</v>
      </c>
      <c r="N284" s="6" t="n">
        <f aca="false">ROUND($L284/INDEX(Items!$F$5:$F$62,MATCH($E284,Items!$A$5:$A$62,0)),4)</f>
        <v>1</v>
      </c>
      <c r="O284" s="6"/>
    </row>
    <row r="285" customFormat="false" ht="15" hidden="false" customHeight="false" outlineLevel="0" collapsed="false">
      <c r="A285" s="6" t="n">
        <v>32</v>
      </c>
      <c r="B285" s="6" t="s">
        <v>318</v>
      </c>
      <c r="C285" s="6" t="s">
        <v>311</v>
      </c>
      <c r="D285" s="6" t="s">
        <v>159</v>
      </c>
      <c r="E285" s="6" t="s">
        <v>53</v>
      </c>
      <c r="F285" s="6" t="str">
        <f aca="false">INDEX(Items!$B$5:$B$62,MATCH($E285,Items!$A$5:$A$62,0))</f>
        <v>DISPOSABLES &amp; CLINIC CONSUMABLES</v>
      </c>
      <c r="G285" s="6" t="str">
        <f aca="false">INDEX(Items!$C$5:$C$62,MATCH($E285,Items!$A$5:$A$62,0))</f>
        <v>Countable</v>
      </c>
      <c r="H285" s="6" t="s">
        <v>161</v>
      </c>
      <c r="I285" s="6" t="s">
        <v>160</v>
      </c>
      <c r="J285" s="6" t="n">
        <f aca="false">SUMIFS(Kits!$C$5:$C$163,Kits!$A$5:$A$163,$D285,Kits!$B$5:$B$163,$E285)</f>
        <v>1</v>
      </c>
      <c r="K285" s="6" t="n">
        <f aca="false">INDEX(Services!$F$5:$F$85,MATCH($A285,Services!$A$5:$A$85,0))</f>
        <v>1</v>
      </c>
      <c r="L285" s="6" t="n">
        <f aca="false">IF($H285="Auto-deduct",IF($G285="Countable",ROUNDUP($J285*IF($I285="Y",$K285,1),0),ROUND($J285*IF($I285="Y",$K285,1),1)),$J285)</f>
        <v>1</v>
      </c>
      <c r="M285" s="6" t="str">
        <f aca="false">INDEX(Items!$E$5:$E$62,MATCH($E285,Items!$A$5:$A$62,0))</f>
        <v>pair</v>
      </c>
      <c r="N285" s="6" t="n">
        <f aca="false">ROUND($L285/INDEX(Items!$F$5:$F$62,MATCH($E285,Items!$A$5:$A$62,0)),4)</f>
        <v>1</v>
      </c>
      <c r="O285" s="6"/>
    </row>
    <row r="286" customFormat="false" ht="15" hidden="false" customHeight="false" outlineLevel="0" collapsed="false">
      <c r="A286" s="6" t="n">
        <v>32</v>
      </c>
      <c r="B286" s="6" t="s">
        <v>318</v>
      </c>
      <c r="C286" s="6" t="s">
        <v>311</v>
      </c>
      <c r="D286" s="6" t="s">
        <v>159</v>
      </c>
      <c r="E286" s="6" t="s">
        <v>88</v>
      </c>
      <c r="F286" s="6" t="str">
        <f aca="false">INDEX(Items!$B$5:$B$62,MATCH($E286,Items!$A$5:$A$62,0))</f>
        <v>DISPOSABLES &amp; CLINIC CONSUMABLES</v>
      </c>
      <c r="G286" s="6" t="str">
        <f aca="false">INDEX(Items!$C$5:$C$62,MATCH($E286,Items!$A$5:$A$62,0))</f>
        <v>Bulk</v>
      </c>
      <c r="H286" s="6" t="s">
        <v>161</v>
      </c>
      <c r="I286" s="6" t="s">
        <v>160</v>
      </c>
      <c r="J286" s="6" t="n">
        <f aca="false">SUMIFS(Kits!$C$5:$C$163,Kits!$A$5:$A$163,$D286,Kits!$B$5:$B$163,$E286)</f>
        <v>5</v>
      </c>
      <c r="K286" s="6" t="n">
        <f aca="false">INDEX(Services!$F$5:$F$85,MATCH($A286,Services!$A$5:$A$85,0))</f>
        <v>1</v>
      </c>
      <c r="L286" s="6" t="n">
        <f aca="false">IF($H286="Auto-deduct",IF($G286="Countable",ROUNDUP($J286*IF($I286="Y",$K286,1),0),ROUND($J286*IF($I286="Y",$K286,1),1)),$J286)</f>
        <v>5</v>
      </c>
      <c r="M286" s="6" t="str">
        <f aca="false">INDEX(Items!$E$5:$E$62,MATCH($E286,Items!$A$5:$A$62,0))</f>
        <v>mL</v>
      </c>
      <c r="N286" s="6" t="n">
        <f aca="false">ROUND($L286/INDEX(Items!$F$5:$F$62,MATCH($E286,Items!$A$5:$A$62,0)),4)</f>
        <v>0.01</v>
      </c>
      <c r="O286" s="6"/>
    </row>
    <row r="287" customFormat="false" ht="15" hidden="false" customHeight="false" outlineLevel="0" collapsed="false">
      <c r="A287" s="6" t="n">
        <v>32</v>
      </c>
      <c r="B287" s="6" t="s">
        <v>318</v>
      </c>
      <c r="C287" s="6" t="s">
        <v>311</v>
      </c>
      <c r="D287" s="6" t="s">
        <v>231</v>
      </c>
      <c r="E287" s="6" t="s">
        <v>40</v>
      </c>
      <c r="F287" s="6" t="str">
        <f aca="false">INDEX(Items!$B$5:$B$62,MATCH($E287,Items!$A$5:$A$62,0))</f>
        <v>MEDICAL / INJECTION SUPPLIES</v>
      </c>
      <c r="G287" s="6" t="str">
        <f aca="false">INDEX(Items!$C$5:$C$62,MATCH($E287,Items!$A$5:$A$62,0))</f>
        <v>Countable</v>
      </c>
      <c r="H287" s="6" t="s">
        <v>161</v>
      </c>
      <c r="I287" s="6" t="s">
        <v>160</v>
      </c>
      <c r="J287" s="6" t="n">
        <f aca="false">SUMIFS(Kits!$C$5:$C$163,Kits!$A$5:$A$163,$D287,Kits!$B$5:$B$163,$E287)</f>
        <v>1</v>
      </c>
      <c r="K287" s="6" t="n">
        <f aca="false">INDEX(Services!$F$5:$F$85,MATCH($A287,Services!$A$5:$A$85,0))</f>
        <v>1</v>
      </c>
      <c r="L287" s="6" t="n">
        <f aca="false">IF($H287="Auto-deduct",IF($G287="Countable",ROUNDUP($J287*IF($I287="Y",$K287,1),0),ROUND($J287*IF($I287="Y",$K287,1),1)),$J287)</f>
        <v>1</v>
      </c>
      <c r="M287" s="6" t="str">
        <f aca="false">INDEX(Items!$E$5:$E$62,MATCH($E287,Items!$A$5:$A$62,0))</f>
        <v>pc</v>
      </c>
      <c r="N287" s="6" t="n">
        <f aca="false">ROUND($L287/INDEX(Items!$F$5:$F$62,MATCH($E287,Items!$A$5:$A$62,0)),4)</f>
        <v>1</v>
      </c>
      <c r="O287" s="6"/>
    </row>
    <row r="288" customFormat="false" ht="15" hidden="false" customHeight="false" outlineLevel="0" collapsed="false">
      <c r="A288" s="6" t="n">
        <v>32</v>
      </c>
      <c r="B288" s="6" t="s">
        <v>318</v>
      </c>
      <c r="C288" s="6" t="s">
        <v>311</v>
      </c>
      <c r="D288" s="6" t="s">
        <v>231</v>
      </c>
      <c r="E288" s="6" t="s">
        <v>49</v>
      </c>
      <c r="F288" s="6" t="str">
        <f aca="false">INDEX(Items!$B$5:$B$62,MATCH($E288,Items!$A$5:$A$62,0))</f>
        <v>MEDICAL / INJECTION SUPPLIES</v>
      </c>
      <c r="G288" s="6" t="str">
        <f aca="false">INDEX(Items!$C$5:$C$62,MATCH($E288,Items!$A$5:$A$62,0))</f>
        <v>Countable</v>
      </c>
      <c r="H288" s="6" t="s">
        <v>161</v>
      </c>
      <c r="I288" s="6" t="s">
        <v>160</v>
      </c>
      <c r="J288" s="6" t="n">
        <f aca="false">SUMIFS(Kits!$C$5:$C$163,Kits!$A$5:$A$163,$D288,Kits!$B$5:$B$163,$E288)</f>
        <v>1</v>
      </c>
      <c r="K288" s="6" t="n">
        <f aca="false">INDEX(Services!$F$5:$F$85,MATCH($A288,Services!$A$5:$A$85,0))</f>
        <v>1</v>
      </c>
      <c r="L288" s="6" t="n">
        <f aca="false">IF($H288="Auto-deduct",IF($G288="Countable",ROUNDUP($J288*IF($I288="Y",$K288,1),0),ROUND($J288*IF($I288="Y",$K288,1),1)),$J288)</f>
        <v>1</v>
      </c>
      <c r="M288" s="6" t="str">
        <f aca="false">INDEX(Items!$E$5:$E$62,MATCH($E288,Items!$A$5:$A$62,0))</f>
        <v>pc</v>
      </c>
      <c r="N288" s="6" t="n">
        <f aca="false">ROUND($L288/INDEX(Items!$F$5:$F$62,MATCH($E288,Items!$A$5:$A$62,0)),4)</f>
        <v>1</v>
      </c>
      <c r="O288" s="6"/>
    </row>
    <row r="289" customFormat="false" ht="15" hidden="false" customHeight="false" outlineLevel="0" collapsed="false">
      <c r="A289" s="6" t="n">
        <v>32</v>
      </c>
      <c r="B289" s="6" t="s">
        <v>318</v>
      </c>
      <c r="C289" s="6" t="s">
        <v>311</v>
      </c>
      <c r="D289" s="6" t="s">
        <v>231</v>
      </c>
      <c r="E289" s="6" t="s">
        <v>35</v>
      </c>
      <c r="F289" s="6" t="str">
        <f aca="false">INDEX(Items!$B$5:$B$62,MATCH($E289,Items!$A$5:$A$62,0))</f>
        <v>MEDICAL / INJECTION SUPPLIES</v>
      </c>
      <c r="G289" s="6" t="str">
        <f aca="false">INDEX(Items!$C$5:$C$62,MATCH($E289,Items!$A$5:$A$62,0))</f>
        <v>Countable</v>
      </c>
      <c r="H289" s="6" t="s">
        <v>161</v>
      </c>
      <c r="I289" s="6" t="s">
        <v>160</v>
      </c>
      <c r="J289" s="6" t="n">
        <f aca="false">SUMIFS(Kits!$C$5:$C$163,Kits!$A$5:$A$163,$D289,Kits!$B$5:$B$163,$E289)</f>
        <v>1</v>
      </c>
      <c r="K289" s="6" t="n">
        <f aca="false">INDEX(Services!$F$5:$F$85,MATCH($A289,Services!$A$5:$A$85,0))</f>
        <v>1</v>
      </c>
      <c r="L289" s="6" t="n">
        <f aca="false">IF($H289="Auto-deduct",IF($G289="Countable",ROUNDUP($J289*IF($I289="Y",$K289,1),0),ROUND($J289*IF($I289="Y",$K289,1),1)),$J289)</f>
        <v>1</v>
      </c>
      <c r="M289" s="6" t="str">
        <f aca="false">INDEX(Items!$E$5:$E$62,MATCH($E289,Items!$A$5:$A$62,0))</f>
        <v>pc</v>
      </c>
      <c r="N289" s="6" t="n">
        <f aca="false">ROUND($L289/INDEX(Items!$F$5:$F$62,MATCH($E289,Items!$A$5:$A$62,0)),4)</f>
        <v>1</v>
      </c>
      <c r="O289" s="6"/>
    </row>
    <row r="290" customFormat="false" ht="15" hidden="false" customHeight="false" outlineLevel="0" collapsed="false">
      <c r="A290" s="6" t="n">
        <v>32</v>
      </c>
      <c r="B290" s="6" t="s">
        <v>318</v>
      </c>
      <c r="C290" s="6" t="s">
        <v>311</v>
      </c>
      <c r="D290" s="6" t="s">
        <v>231</v>
      </c>
      <c r="E290" s="6" t="s">
        <v>46</v>
      </c>
      <c r="F290" s="6" t="str">
        <f aca="false">INDEX(Items!$B$5:$B$62,MATCH($E290,Items!$A$5:$A$62,0))</f>
        <v>MEDICAL / INJECTION SUPPLIES</v>
      </c>
      <c r="G290" s="6" t="str">
        <f aca="false">INDEX(Items!$C$5:$C$62,MATCH($E290,Items!$A$5:$A$62,0))</f>
        <v>Countable</v>
      </c>
      <c r="H290" s="6" t="s">
        <v>161</v>
      </c>
      <c r="I290" s="6" t="s">
        <v>160</v>
      </c>
      <c r="J290" s="6" t="n">
        <f aca="false">SUMIFS(Kits!$C$5:$C$163,Kits!$A$5:$A$163,$D290,Kits!$B$5:$B$163,$E290)</f>
        <v>1</v>
      </c>
      <c r="K290" s="6" t="n">
        <f aca="false">INDEX(Services!$F$5:$F$85,MATCH($A290,Services!$A$5:$A$85,0))</f>
        <v>1</v>
      </c>
      <c r="L290" s="6" t="n">
        <f aca="false">IF($H290="Auto-deduct",IF($G290="Countable",ROUNDUP($J290*IF($I290="Y",$K290,1),0),ROUND($J290*IF($I290="Y",$K290,1),1)),$J290)</f>
        <v>1</v>
      </c>
      <c r="M290" s="6" t="str">
        <f aca="false">INDEX(Items!$E$5:$E$62,MATCH($E290,Items!$A$5:$A$62,0))</f>
        <v>ampule</v>
      </c>
      <c r="N290" s="6" t="n">
        <f aca="false">ROUND($L290/INDEX(Items!$F$5:$F$62,MATCH($E290,Items!$A$5:$A$62,0)),4)</f>
        <v>1</v>
      </c>
      <c r="O290" s="6"/>
    </row>
    <row r="291" customFormat="false" ht="15" hidden="false" customHeight="false" outlineLevel="0" collapsed="false">
      <c r="A291" s="6" t="n">
        <v>32</v>
      </c>
      <c r="B291" s="6" t="s">
        <v>318</v>
      </c>
      <c r="C291" s="6" t="s">
        <v>311</v>
      </c>
      <c r="D291" s="6" t="s">
        <v>231</v>
      </c>
      <c r="E291" s="6" t="s">
        <v>84</v>
      </c>
      <c r="F291" s="6" t="str">
        <f aca="false">INDEX(Items!$B$5:$B$62,MATCH($E291,Items!$A$5:$A$62,0))</f>
        <v>DISPOSABLES &amp; CLINIC CONSUMABLES</v>
      </c>
      <c r="G291" s="6" t="str">
        <f aca="false">INDEX(Items!$C$5:$C$62,MATCH($E291,Items!$A$5:$A$62,0))</f>
        <v>Countable</v>
      </c>
      <c r="H291" s="6" t="s">
        <v>161</v>
      </c>
      <c r="I291" s="6" t="s">
        <v>160</v>
      </c>
      <c r="J291" s="6" t="n">
        <f aca="false">SUMIFS(Kits!$C$5:$C$163,Kits!$A$5:$A$163,$D291,Kits!$B$5:$B$163,$E291)</f>
        <v>2</v>
      </c>
      <c r="K291" s="6" t="n">
        <f aca="false">INDEX(Services!$F$5:$F$85,MATCH($A291,Services!$A$5:$A$85,0))</f>
        <v>1</v>
      </c>
      <c r="L291" s="6" t="n">
        <f aca="false">IF($H291="Auto-deduct",IF($G291="Countable",ROUNDUP($J291*IF($I291="Y",$K291,1),0),ROUND($J291*IF($I291="Y",$K291,1),1)),$J291)</f>
        <v>2</v>
      </c>
      <c r="M291" s="6" t="str">
        <f aca="false">INDEX(Items!$E$5:$E$62,MATCH($E291,Items!$A$5:$A$62,0))</f>
        <v>pc</v>
      </c>
      <c r="N291" s="6" t="n">
        <f aca="false">ROUND($L291/INDEX(Items!$F$5:$F$62,MATCH($E291,Items!$A$5:$A$62,0)),4)</f>
        <v>2</v>
      </c>
      <c r="O291" s="6"/>
    </row>
    <row r="292" customFormat="false" ht="15" hidden="false" customHeight="false" outlineLevel="0" collapsed="false">
      <c r="A292" s="6" t="n">
        <v>32</v>
      </c>
      <c r="B292" s="6" t="s">
        <v>318</v>
      </c>
      <c r="C292" s="6" t="s">
        <v>311</v>
      </c>
      <c r="D292" s="6" t="s">
        <v>231</v>
      </c>
      <c r="E292" s="6" t="s">
        <v>76</v>
      </c>
      <c r="F292" s="6" t="str">
        <f aca="false">INDEX(Items!$B$5:$B$62,MATCH($E292,Items!$A$5:$A$62,0))</f>
        <v>DISPOSABLES &amp; CLINIC CONSUMABLES</v>
      </c>
      <c r="G292" s="6" t="str">
        <f aca="false">INDEX(Items!$C$5:$C$62,MATCH($E292,Items!$A$5:$A$62,0))</f>
        <v>Bulk</v>
      </c>
      <c r="H292" s="6" t="s">
        <v>161</v>
      </c>
      <c r="I292" s="6" t="s">
        <v>160</v>
      </c>
      <c r="J292" s="6" t="n">
        <f aca="false">SUMIFS(Kits!$C$5:$C$163,Kits!$A$5:$A$163,$D292,Kits!$B$5:$B$163,$E292)</f>
        <v>20</v>
      </c>
      <c r="K292" s="6" t="n">
        <f aca="false">INDEX(Services!$F$5:$F$85,MATCH($A292,Services!$A$5:$A$85,0))</f>
        <v>1</v>
      </c>
      <c r="L292" s="6" t="n">
        <f aca="false">IF($H292="Auto-deduct",IF($G292="Countable",ROUNDUP($J292*IF($I292="Y",$K292,1),0),ROUND($J292*IF($I292="Y",$K292,1),1)),$J292)</f>
        <v>20</v>
      </c>
      <c r="M292" s="6" t="str">
        <f aca="false">INDEX(Items!$E$5:$E$62,MATCH($E292,Items!$A$5:$A$62,0))</f>
        <v>cm</v>
      </c>
      <c r="N292" s="6" t="n">
        <f aca="false">ROUND($L292/INDEX(Items!$F$5:$F$62,MATCH($E292,Items!$A$5:$A$62,0)),4)</f>
        <v>0.0219</v>
      </c>
      <c r="O292" s="6"/>
    </row>
    <row r="293" customFormat="false" ht="15" hidden="false" customHeight="false" outlineLevel="0" collapsed="false">
      <c r="A293" s="6" t="n">
        <v>33</v>
      </c>
      <c r="B293" s="6" t="s">
        <v>319</v>
      </c>
      <c r="C293" s="6" t="s">
        <v>311</v>
      </c>
      <c r="D293" s="6" t="s">
        <v>159</v>
      </c>
      <c r="E293" s="6" t="s">
        <v>52</v>
      </c>
      <c r="F293" s="6" t="str">
        <f aca="false">INDEX(Items!$B$5:$B$62,MATCH($E293,Items!$A$5:$A$62,0))</f>
        <v>DISPOSABLES &amp; CLINIC CONSUMABLES</v>
      </c>
      <c r="G293" s="6" t="str">
        <f aca="false">INDEX(Items!$C$5:$C$62,MATCH($E293,Items!$A$5:$A$62,0))</f>
        <v>Countable</v>
      </c>
      <c r="H293" s="6" t="s">
        <v>161</v>
      </c>
      <c r="I293" s="6" t="s">
        <v>160</v>
      </c>
      <c r="J293" s="6" t="n">
        <f aca="false">SUMIFS(Kits!$C$5:$C$163,Kits!$A$5:$A$163,$D293,Kits!$B$5:$B$163,$E293)</f>
        <v>1</v>
      </c>
      <c r="K293" s="6" t="n">
        <f aca="false">INDEX(Services!$F$5:$F$85,MATCH($A293,Services!$A$5:$A$85,0))</f>
        <v>1</v>
      </c>
      <c r="L293" s="6" t="n">
        <f aca="false">IF($H293="Auto-deduct",IF($G293="Countable",ROUNDUP($J293*IF($I293="Y",$K293,1),0),ROUND($J293*IF($I293="Y",$K293,1),1)),$J293)</f>
        <v>1</v>
      </c>
      <c r="M293" s="6" t="str">
        <f aca="false">INDEX(Items!$E$5:$E$62,MATCH($E293,Items!$A$5:$A$62,0))</f>
        <v>pc</v>
      </c>
      <c r="N293" s="6" t="n">
        <f aca="false">ROUND($L293/INDEX(Items!$F$5:$F$62,MATCH($E293,Items!$A$5:$A$62,0)),4)</f>
        <v>1</v>
      </c>
      <c r="O293" s="6"/>
    </row>
    <row r="294" customFormat="false" ht="15" hidden="false" customHeight="false" outlineLevel="0" collapsed="false">
      <c r="A294" s="6" t="n">
        <v>33</v>
      </c>
      <c r="B294" s="6" t="s">
        <v>319</v>
      </c>
      <c r="C294" s="6" t="s">
        <v>311</v>
      </c>
      <c r="D294" s="6" t="s">
        <v>159</v>
      </c>
      <c r="E294" s="6" t="s">
        <v>53</v>
      </c>
      <c r="F294" s="6" t="str">
        <f aca="false">INDEX(Items!$B$5:$B$62,MATCH($E294,Items!$A$5:$A$62,0))</f>
        <v>DISPOSABLES &amp; CLINIC CONSUMABLES</v>
      </c>
      <c r="G294" s="6" t="str">
        <f aca="false">INDEX(Items!$C$5:$C$62,MATCH($E294,Items!$A$5:$A$62,0))</f>
        <v>Countable</v>
      </c>
      <c r="H294" s="6" t="s">
        <v>161</v>
      </c>
      <c r="I294" s="6" t="s">
        <v>160</v>
      </c>
      <c r="J294" s="6" t="n">
        <f aca="false">SUMIFS(Kits!$C$5:$C$163,Kits!$A$5:$A$163,$D294,Kits!$B$5:$B$163,$E294)</f>
        <v>1</v>
      </c>
      <c r="K294" s="6" t="n">
        <f aca="false">INDEX(Services!$F$5:$F$85,MATCH($A294,Services!$A$5:$A$85,0))</f>
        <v>1</v>
      </c>
      <c r="L294" s="6" t="n">
        <f aca="false">IF($H294="Auto-deduct",IF($G294="Countable",ROUNDUP($J294*IF($I294="Y",$K294,1),0),ROUND($J294*IF($I294="Y",$K294,1),1)),$J294)</f>
        <v>1</v>
      </c>
      <c r="M294" s="6" t="str">
        <f aca="false">INDEX(Items!$E$5:$E$62,MATCH($E294,Items!$A$5:$A$62,0))</f>
        <v>pair</v>
      </c>
      <c r="N294" s="6" t="n">
        <f aca="false">ROUND($L294/INDEX(Items!$F$5:$F$62,MATCH($E294,Items!$A$5:$A$62,0)),4)</f>
        <v>1</v>
      </c>
      <c r="O294" s="6"/>
    </row>
    <row r="295" customFormat="false" ht="15" hidden="false" customHeight="false" outlineLevel="0" collapsed="false">
      <c r="A295" s="6" t="n">
        <v>33</v>
      </c>
      <c r="B295" s="6" t="s">
        <v>319</v>
      </c>
      <c r="C295" s="6" t="s">
        <v>311</v>
      </c>
      <c r="D295" s="6" t="s">
        <v>159</v>
      </c>
      <c r="E295" s="6" t="s">
        <v>88</v>
      </c>
      <c r="F295" s="6" t="str">
        <f aca="false">INDEX(Items!$B$5:$B$62,MATCH($E295,Items!$A$5:$A$62,0))</f>
        <v>DISPOSABLES &amp; CLINIC CONSUMABLES</v>
      </c>
      <c r="G295" s="6" t="str">
        <f aca="false">INDEX(Items!$C$5:$C$62,MATCH($E295,Items!$A$5:$A$62,0))</f>
        <v>Bulk</v>
      </c>
      <c r="H295" s="6" t="s">
        <v>161</v>
      </c>
      <c r="I295" s="6" t="s">
        <v>160</v>
      </c>
      <c r="J295" s="6" t="n">
        <f aca="false">SUMIFS(Kits!$C$5:$C$163,Kits!$A$5:$A$163,$D295,Kits!$B$5:$B$163,$E295)</f>
        <v>5</v>
      </c>
      <c r="K295" s="6" t="n">
        <f aca="false">INDEX(Services!$F$5:$F$85,MATCH($A295,Services!$A$5:$A$85,0))</f>
        <v>1</v>
      </c>
      <c r="L295" s="6" t="n">
        <f aca="false">IF($H295="Auto-deduct",IF($G295="Countable",ROUNDUP($J295*IF($I295="Y",$K295,1),0),ROUND($J295*IF($I295="Y",$K295,1),1)),$J295)</f>
        <v>5</v>
      </c>
      <c r="M295" s="6" t="str">
        <f aca="false">INDEX(Items!$E$5:$E$62,MATCH($E295,Items!$A$5:$A$62,0))</f>
        <v>mL</v>
      </c>
      <c r="N295" s="6" t="n">
        <f aca="false">ROUND($L295/INDEX(Items!$F$5:$F$62,MATCH($E295,Items!$A$5:$A$62,0)),4)</f>
        <v>0.01</v>
      </c>
      <c r="O295" s="6"/>
    </row>
    <row r="296" customFormat="false" ht="15" hidden="false" customHeight="false" outlineLevel="0" collapsed="false">
      <c r="A296" s="6" t="n">
        <v>33</v>
      </c>
      <c r="B296" s="6" t="s">
        <v>319</v>
      </c>
      <c r="C296" s="6" t="s">
        <v>311</v>
      </c>
      <c r="D296" s="6" t="s">
        <v>233</v>
      </c>
      <c r="E296" s="6" t="s">
        <v>36</v>
      </c>
      <c r="F296" s="6" t="str">
        <f aca="false">INDEX(Items!$B$5:$B$62,MATCH($E296,Items!$A$5:$A$62,0))</f>
        <v>MEDICAL / INJECTION SUPPLIES</v>
      </c>
      <c r="G296" s="6" t="str">
        <f aca="false">INDEX(Items!$C$5:$C$62,MATCH($E296,Items!$A$5:$A$62,0))</f>
        <v>Countable</v>
      </c>
      <c r="H296" s="6" t="s">
        <v>161</v>
      </c>
      <c r="I296" s="6" t="s">
        <v>160</v>
      </c>
      <c r="J296" s="6" t="n">
        <f aca="false">SUMIFS(Kits!$C$5:$C$163,Kits!$A$5:$A$163,$D296,Kits!$B$5:$B$163,$E296)</f>
        <v>1</v>
      </c>
      <c r="K296" s="6" t="n">
        <f aca="false">INDEX(Services!$F$5:$F$85,MATCH($A296,Services!$A$5:$A$85,0))</f>
        <v>1</v>
      </c>
      <c r="L296" s="6" t="n">
        <f aca="false">IF($H296="Auto-deduct",IF($G296="Countable",ROUNDUP($J296*IF($I296="Y",$K296,1),0),ROUND($J296*IF($I296="Y",$K296,1),1)),$J296)</f>
        <v>1</v>
      </c>
      <c r="M296" s="6" t="str">
        <f aca="false">INDEX(Items!$E$5:$E$62,MATCH($E296,Items!$A$5:$A$62,0))</f>
        <v>pc</v>
      </c>
      <c r="N296" s="6" t="n">
        <f aca="false">ROUND($L296/INDEX(Items!$F$5:$F$62,MATCH($E296,Items!$A$5:$A$62,0)),4)</f>
        <v>1</v>
      </c>
      <c r="O296" s="6"/>
    </row>
    <row r="297" customFormat="false" ht="15" hidden="false" customHeight="false" outlineLevel="0" collapsed="false">
      <c r="A297" s="6" t="n">
        <v>33</v>
      </c>
      <c r="B297" s="6" t="s">
        <v>319</v>
      </c>
      <c r="C297" s="6" t="s">
        <v>311</v>
      </c>
      <c r="D297" s="6" t="s">
        <v>233</v>
      </c>
      <c r="E297" s="6" t="s">
        <v>35</v>
      </c>
      <c r="F297" s="6" t="str">
        <f aca="false">INDEX(Items!$B$5:$B$62,MATCH($E297,Items!$A$5:$A$62,0))</f>
        <v>MEDICAL / INJECTION SUPPLIES</v>
      </c>
      <c r="G297" s="6" t="str">
        <f aca="false">INDEX(Items!$C$5:$C$62,MATCH($E297,Items!$A$5:$A$62,0))</f>
        <v>Countable</v>
      </c>
      <c r="H297" s="6" t="s">
        <v>161</v>
      </c>
      <c r="I297" s="6" t="s">
        <v>160</v>
      </c>
      <c r="J297" s="6" t="n">
        <f aca="false">SUMIFS(Kits!$C$5:$C$163,Kits!$A$5:$A$163,$D297,Kits!$B$5:$B$163,$E297)</f>
        <v>1</v>
      </c>
      <c r="K297" s="6" t="n">
        <f aca="false">INDEX(Services!$F$5:$F$85,MATCH($A297,Services!$A$5:$A$85,0))</f>
        <v>1</v>
      </c>
      <c r="L297" s="6" t="n">
        <f aca="false">IF($H297="Auto-deduct",IF($G297="Countable",ROUNDUP($J297*IF($I297="Y",$K297,1),0),ROUND($J297*IF($I297="Y",$K297,1),1)),$J297)</f>
        <v>1</v>
      </c>
      <c r="M297" s="6" t="str">
        <f aca="false">INDEX(Items!$E$5:$E$62,MATCH($E297,Items!$A$5:$A$62,0))</f>
        <v>pc</v>
      </c>
      <c r="N297" s="6" t="n">
        <f aca="false">ROUND($L297/INDEX(Items!$F$5:$F$62,MATCH($E297,Items!$A$5:$A$62,0)),4)</f>
        <v>1</v>
      </c>
      <c r="O297" s="6"/>
    </row>
    <row r="298" customFormat="false" ht="15" hidden="false" customHeight="false" outlineLevel="0" collapsed="false">
      <c r="A298" s="6" t="n">
        <v>33</v>
      </c>
      <c r="B298" s="6" t="s">
        <v>319</v>
      </c>
      <c r="C298" s="6" t="s">
        <v>311</v>
      </c>
      <c r="D298" s="6" t="s">
        <v>233</v>
      </c>
      <c r="E298" s="6" t="s">
        <v>46</v>
      </c>
      <c r="F298" s="6" t="str">
        <f aca="false">INDEX(Items!$B$5:$B$62,MATCH($E298,Items!$A$5:$A$62,0))</f>
        <v>MEDICAL / INJECTION SUPPLIES</v>
      </c>
      <c r="G298" s="6" t="str">
        <f aca="false">INDEX(Items!$C$5:$C$62,MATCH($E298,Items!$A$5:$A$62,0))</f>
        <v>Countable</v>
      </c>
      <c r="H298" s="6" t="s">
        <v>161</v>
      </c>
      <c r="I298" s="6" t="s">
        <v>160</v>
      </c>
      <c r="J298" s="6" t="n">
        <f aca="false">SUMIFS(Kits!$C$5:$C$163,Kits!$A$5:$A$163,$D298,Kits!$B$5:$B$163,$E298)</f>
        <v>1</v>
      </c>
      <c r="K298" s="6" t="n">
        <f aca="false">INDEX(Services!$F$5:$F$85,MATCH($A298,Services!$A$5:$A$85,0))</f>
        <v>1</v>
      </c>
      <c r="L298" s="6" t="n">
        <f aca="false">IF($H298="Auto-deduct",IF($G298="Countable",ROUNDUP($J298*IF($I298="Y",$K298,1),0),ROUND($J298*IF($I298="Y",$K298,1),1)),$J298)</f>
        <v>1</v>
      </c>
      <c r="M298" s="6" t="str">
        <f aca="false">INDEX(Items!$E$5:$E$62,MATCH($E298,Items!$A$5:$A$62,0))</f>
        <v>ampule</v>
      </c>
      <c r="N298" s="6" t="n">
        <f aca="false">ROUND($L298/INDEX(Items!$F$5:$F$62,MATCH($E298,Items!$A$5:$A$62,0)),4)</f>
        <v>1</v>
      </c>
      <c r="O298" s="6"/>
    </row>
    <row r="299" customFormat="false" ht="15" hidden="false" customHeight="false" outlineLevel="0" collapsed="false">
      <c r="A299" s="6" t="n">
        <v>33</v>
      </c>
      <c r="B299" s="6" t="s">
        <v>319</v>
      </c>
      <c r="C299" s="6" t="s">
        <v>311</v>
      </c>
      <c r="D299" s="6" t="s">
        <v>233</v>
      </c>
      <c r="E299" s="6" t="s">
        <v>84</v>
      </c>
      <c r="F299" s="6" t="str">
        <f aca="false">INDEX(Items!$B$5:$B$62,MATCH($E299,Items!$A$5:$A$62,0))</f>
        <v>DISPOSABLES &amp; CLINIC CONSUMABLES</v>
      </c>
      <c r="G299" s="6" t="str">
        <f aca="false">INDEX(Items!$C$5:$C$62,MATCH($E299,Items!$A$5:$A$62,0))</f>
        <v>Countable</v>
      </c>
      <c r="H299" s="6" t="s">
        <v>161</v>
      </c>
      <c r="I299" s="6" t="s">
        <v>160</v>
      </c>
      <c r="J299" s="6" t="n">
        <f aca="false">SUMIFS(Kits!$C$5:$C$163,Kits!$A$5:$A$163,$D299,Kits!$B$5:$B$163,$E299)</f>
        <v>1</v>
      </c>
      <c r="K299" s="6" t="n">
        <f aca="false">INDEX(Services!$F$5:$F$85,MATCH($A299,Services!$A$5:$A$85,0))</f>
        <v>1</v>
      </c>
      <c r="L299" s="6" t="n">
        <f aca="false">IF($H299="Auto-deduct",IF($G299="Countable",ROUNDUP($J299*IF($I299="Y",$K299,1),0),ROUND($J299*IF($I299="Y",$K299,1),1)),$J299)</f>
        <v>1</v>
      </c>
      <c r="M299" s="6" t="str">
        <f aca="false">INDEX(Items!$E$5:$E$62,MATCH($E299,Items!$A$5:$A$62,0))</f>
        <v>pc</v>
      </c>
      <c r="N299" s="6" t="n">
        <f aca="false">ROUND($L299/INDEX(Items!$F$5:$F$62,MATCH($E299,Items!$A$5:$A$62,0)),4)</f>
        <v>1</v>
      </c>
      <c r="O299" s="6"/>
    </row>
    <row r="300" customFormat="false" ht="15" hidden="false" customHeight="false" outlineLevel="0" collapsed="false">
      <c r="A300" s="6" t="n">
        <v>33</v>
      </c>
      <c r="B300" s="6" t="s">
        <v>319</v>
      </c>
      <c r="C300" s="6" t="s">
        <v>311</v>
      </c>
      <c r="D300" s="6" t="s">
        <v>233</v>
      </c>
      <c r="E300" s="6" t="s">
        <v>76</v>
      </c>
      <c r="F300" s="6" t="str">
        <f aca="false">INDEX(Items!$B$5:$B$62,MATCH($E300,Items!$A$5:$A$62,0))</f>
        <v>DISPOSABLES &amp; CLINIC CONSUMABLES</v>
      </c>
      <c r="G300" s="6" t="str">
        <f aca="false">INDEX(Items!$C$5:$C$62,MATCH($E300,Items!$A$5:$A$62,0))</f>
        <v>Bulk</v>
      </c>
      <c r="H300" s="6" t="s">
        <v>161</v>
      </c>
      <c r="I300" s="6" t="s">
        <v>160</v>
      </c>
      <c r="J300" s="6" t="n">
        <f aca="false">SUMIFS(Kits!$C$5:$C$163,Kits!$A$5:$A$163,$D300,Kits!$B$5:$B$163,$E300)</f>
        <v>10</v>
      </c>
      <c r="K300" s="6" t="n">
        <f aca="false">INDEX(Services!$F$5:$F$85,MATCH($A300,Services!$A$5:$A$85,0))</f>
        <v>1</v>
      </c>
      <c r="L300" s="6" t="n">
        <f aca="false">IF($H300="Auto-deduct",IF($G300="Countable",ROUNDUP($J300*IF($I300="Y",$K300,1),0),ROUND($J300*IF($I300="Y",$K300,1),1)),$J300)</f>
        <v>10</v>
      </c>
      <c r="M300" s="6" t="str">
        <f aca="false">INDEX(Items!$E$5:$E$62,MATCH($E300,Items!$A$5:$A$62,0))</f>
        <v>cm</v>
      </c>
      <c r="N300" s="6" t="n">
        <f aca="false">ROUND($L300/INDEX(Items!$F$5:$F$62,MATCH($E300,Items!$A$5:$A$62,0)),4)</f>
        <v>0.0109</v>
      </c>
      <c r="O300" s="6"/>
    </row>
    <row r="301" customFormat="false" ht="15" hidden="false" customHeight="false" outlineLevel="0" collapsed="false">
      <c r="A301" s="6" t="n">
        <v>33</v>
      </c>
      <c r="B301" s="6" t="s">
        <v>319</v>
      </c>
      <c r="C301" s="6" t="s">
        <v>311</v>
      </c>
      <c r="D301" s="6" t="s">
        <v>235</v>
      </c>
      <c r="E301" s="6" t="s">
        <v>34</v>
      </c>
      <c r="F301" s="6" t="str">
        <f aca="false">INDEX(Items!$B$5:$B$62,MATCH($E301,Items!$A$5:$A$62,0))</f>
        <v>MEDICAL / INJECTION SUPPLIES</v>
      </c>
      <c r="G301" s="6" t="str">
        <f aca="false">INDEX(Items!$C$5:$C$62,MATCH($E301,Items!$A$5:$A$62,0))</f>
        <v>Countable</v>
      </c>
      <c r="H301" s="6" t="s">
        <v>161</v>
      </c>
      <c r="I301" s="6" t="s">
        <v>160</v>
      </c>
      <c r="J301" s="6" t="n">
        <f aca="false">SUMIFS(Kits!$C$5:$C$163,Kits!$A$5:$A$163,$D301,Kits!$B$5:$B$163,$E301)</f>
        <v>1</v>
      </c>
      <c r="K301" s="6" t="n">
        <f aca="false">INDEX(Services!$F$5:$F$85,MATCH($A301,Services!$A$5:$A$85,0))</f>
        <v>1</v>
      </c>
      <c r="L301" s="6" t="n">
        <f aca="false">IF($H301="Auto-deduct",IF($G301="Countable",ROUNDUP($J301*IF($I301="Y",$K301,1),0),ROUND($J301*IF($I301="Y",$K301,1),1)),$J301)</f>
        <v>1</v>
      </c>
      <c r="M301" s="6" t="str">
        <f aca="false">INDEX(Items!$E$5:$E$62,MATCH($E301,Items!$A$5:$A$62,0))</f>
        <v>pc</v>
      </c>
      <c r="N301" s="6" t="n">
        <f aca="false">ROUND($L301/INDEX(Items!$F$5:$F$62,MATCH($E301,Items!$A$5:$A$62,0)),4)</f>
        <v>1</v>
      </c>
      <c r="O301" s="6"/>
    </row>
    <row r="302" customFormat="false" ht="15" hidden="false" customHeight="false" outlineLevel="0" collapsed="false">
      <c r="A302" s="6" t="n">
        <v>33</v>
      </c>
      <c r="B302" s="6" t="s">
        <v>319</v>
      </c>
      <c r="C302" s="6" t="s">
        <v>311</v>
      </c>
      <c r="D302" s="6" t="s">
        <v>239</v>
      </c>
      <c r="E302" s="6" t="s">
        <v>144</v>
      </c>
      <c r="F302" s="6" t="str">
        <f aca="false">INDEX(Items!$B$5:$B$62,MATCH($E302,Items!$A$5:$A$62,0))</f>
        <v>SOAPS &amp; CLEANSERS</v>
      </c>
      <c r="G302" s="6" t="str">
        <f aca="false">INDEX(Items!$C$5:$C$62,MATCH($E302,Items!$A$5:$A$62,0))</f>
        <v>Countable</v>
      </c>
      <c r="H302" s="6" t="s">
        <v>185</v>
      </c>
      <c r="I302" s="6" t="s">
        <v>160</v>
      </c>
      <c r="J302" s="6" t="n">
        <f aca="false">SUMIFS(Kits!$C$5:$C$163,Kits!$A$5:$A$163,$D302,Kits!$B$5:$B$163,$E302)</f>
        <v>1</v>
      </c>
      <c r="K302" s="6" t="n">
        <f aca="false">INDEX(Services!$F$5:$F$85,MATCH($A302,Services!$A$5:$A$85,0))</f>
        <v>1</v>
      </c>
      <c r="L302" s="6" t="n">
        <f aca="false">IF($H302="Auto-deduct",IF($G302="Countable",ROUNDUP($J302*IF($I302="Y",$K302,1),0),ROUND($J302*IF($I302="Y",$K302,1),1)),$J302)</f>
        <v>1</v>
      </c>
      <c r="M302" s="6" t="str">
        <f aca="false">INDEX(Items!$E$5:$E$62,MATCH($E302,Items!$A$5:$A$62,0))</f>
        <v>bar</v>
      </c>
      <c r="N302" s="6" t="n">
        <f aca="false">ROUND($L302/INDEX(Items!$F$5:$F$62,MATCH($E302,Items!$A$5:$A$62,0)),4)</f>
        <v>1</v>
      </c>
      <c r="O302" s="6"/>
    </row>
    <row r="303" customFormat="false" ht="15" hidden="false" customHeight="false" outlineLevel="0" collapsed="false">
      <c r="A303" s="6" t="n">
        <v>34</v>
      </c>
      <c r="B303" s="6" t="s">
        <v>321</v>
      </c>
      <c r="C303" s="6" t="s">
        <v>311</v>
      </c>
      <c r="D303" s="6" t="s">
        <v>159</v>
      </c>
      <c r="E303" s="6" t="s">
        <v>52</v>
      </c>
      <c r="F303" s="6" t="str">
        <f aca="false">INDEX(Items!$B$5:$B$62,MATCH($E303,Items!$A$5:$A$62,0))</f>
        <v>DISPOSABLES &amp; CLINIC CONSUMABLES</v>
      </c>
      <c r="G303" s="6" t="str">
        <f aca="false">INDEX(Items!$C$5:$C$62,MATCH($E303,Items!$A$5:$A$62,0))</f>
        <v>Countable</v>
      </c>
      <c r="H303" s="6" t="s">
        <v>161</v>
      </c>
      <c r="I303" s="6" t="s">
        <v>160</v>
      </c>
      <c r="J303" s="6" t="n">
        <f aca="false">SUMIFS(Kits!$C$5:$C$163,Kits!$A$5:$A$163,$D303,Kits!$B$5:$B$163,$E303)</f>
        <v>1</v>
      </c>
      <c r="K303" s="6" t="n">
        <f aca="false">INDEX(Services!$F$5:$F$85,MATCH($A303,Services!$A$5:$A$85,0))</f>
        <v>1</v>
      </c>
      <c r="L303" s="6" t="n">
        <f aca="false">IF($H303="Auto-deduct",IF($G303="Countable",ROUNDUP($J303*IF($I303="Y",$K303,1),0),ROUND($J303*IF($I303="Y",$K303,1),1)),$J303)</f>
        <v>1</v>
      </c>
      <c r="M303" s="6" t="str">
        <f aca="false">INDEX(Items!$E$5:$E$62,MATCH($E303,Items!$A$5:$A$62,0))</f>
        <v>pc</v>
      </c>
      <c r="N303" s="6" t="n">
        <f aca="false">ROUND($L303/INDEX(Items!$F$5:$F$62,MATCH($E303,Items!$A$5:$A$62,0)),4)</f>
        <v>1</v>
      </c>
      <c r="O303" s="6"/>
    </row>
    <row r="304" customFormat="false" ht="15" hidden="false" customHeight="false" outlineLevel="0" collapsed="false">
      <c r="A304" s="6" t="n">
        <v>34</v>
      </c>
      <c r="B304" s="6" t="s">
        <v>321</v>
      </c>
      <c r="C304" s="6" t="s">
        <v>311</v>
      </c>
      <c r="D304" s="6" t="s">
        <v>159</v>
      </c>
      <c r="E304" s="6" t="s">
        <v>53</v>
      </c>
      <c r="F304" s="6" t="str">
        <f aca="false">INDEX(Items!$B$5:$B$62,MATCH($E304,Items!$A$5:$A$62,0))</f>
        <v>DISPOSABLES &amp; CLINIC CONSUMABLES</v>
      </c>
      <c r="G304" s="6" t="str">
        <f aca="false">INDEX(Items!$C$5:$C$62,MATCH($E304,Items!$A$5:$A$62,0))</f>
        <v>Countable</v>
      </c>
      <c r="H304" s="6" t="s">
        <v>161</v>
      </c>
      <c r="I304" s="6" t="s">
        <v>160</v>
      </c>
      <c r="J304" s="6" t="n">
        <f aca="false">SUMIFS(Kits!$C$5:$C$163,Kits!$A$5:$A$163,$D304,Kits!$B$5:$B$163,$E304)</f>
        <v>1</v>
      </c>
      <c r="K304" s="6" t="n">
        <f aca="false">INDEX(Services!$F$5:$F$85,MATCH($A304,Services!$A$5:$A$85,0))</f>
        <v>1</v>
      </c>
      <c r="L304" s="6" t="n">
        <f aca="false">IF($H304="Auto-deduct",IF($G304="Countable",ROUNDUP($J304*IF($I304="Y",$K304,1),0),ROUND($J304*IF($I304="Y",$K304,1),1)),$J304)</f>
        <v>1</v>
      </c>
      <c r="M304" s="6" t="str">
        <f aca="false">INDEX(Items!$E$5:$E$62,MATCH($E304,Items!$A$5:$A$62,0))</f>
        <v>pair</v>
      </c>
      <c r="N304" s="6" t="n">
        <f aca="false">ROUND($L304/INDEX(Items!$F$5:$F$62,MATCH($E304,Items!$A$5:$A$62,0)),4)</f>
        <v>1</v>
      </c>
      <c r="O304" s="6"/>
    </row>
    <row r="305" customFormat="false" ht="15" hidden="false" customHeight="false" outlineLevel="0" collapsed="false">
      <c r="A305" s="6" t="n">
        <v>34</v>
      </c>
      <c r="B305" s="6" t="s">
        <v>321</v>
      </c>
      <c r="C305" s="6" t="s">
        <v>311</v>
      </c>
      <c r="D305" s="6" t="s">
        <v>159</v>
      </c>
      <c r="E305" s="6" t="s">
        <v>88</v>
      </c>
      <c r="F305" s="6" t="str">
        <f aca="false">INDEX(Items!$B$5:$B$62,MATCH($E305,Items!$A$5:$A$62,0))</f>
        <v>DISPOSABLES &amp; CLINIC CONSUMABLES</v>
      </c>
      <c r="G305" s="6" t="str">
        <f aca="false">INDEX(Items!$C$5:$C$62,MATCH($E305,Items!$A$5:$A$62,0))</f>
        <v>Bulk</v>
      </c>
      <c r="H305" s="6" t="s">
        <v>161</v>
      </c>
      <c r="I305" s="6" t="s">
        <v>160</v>
      </c>
      <c r="J305" s="6" t="n">
        <f aca="false">SUMIFS(Kits!$C$5:$C$163,Kits!$A$5:$A$163,$D305,Kits!$B$5:$B$163,$E305)</f>
        <v>5</v>
      </c>
      <c r="K305" s="6" t="n">
        <f aca="false">INDEX(Services!$F$5:$F$85,MATCH($A305,Services!$A$5:$A$85,0))</f>
        <v>1</v>
      </c>
      <c r="L305" s="6" t="n">
        <f aca="false">IF($H305="Auto-deduct",IF($G305="Countable",ROUNDUP($J305*IF($I305="Y",$K305,1),0),ROUND($J305*IF($I305="Y",$K305,1),1)),$J305)</f>
        <v>5</v>
      </c>
      <c r="M305" s="6" t="str">
        <f aca="false">INDEX(Items!$E$5:$E$62,MATCH($E305,Items!$A$5:$A$62,0))</f>
        <v>mL</v>
      </c>
      <c r="N305" s="6" t="n">
        <f aca="false">ROUND($L305/INDEX(Items!$F$5:$F$62,MATCH($E305,Items!$A$5:$A$62,0)),4)</f>
        <v>0.01</v>
      </c>
      <c r="O305" s="6"/>
    </row>
    <row r="306" customFormat="false" ht="15" hidden="false" customHeight="false" outlineLevel="0" collapsed="false">
      <c r="A306" s="6" t="n">
        <v>34</v>
      </c>
      <c r="B306" s="6" t="s">
        <v>321</v>
      </c>
      <c r="C306" s="6" t="s">
        <v>311</v>
      </c>
      <c r="D306" s="6" t="s">
        <v>233</v>
      </c>
      <c r="E306" s="6" t="s">
        <v>36</v>
      </c>
      <c r="F306" s="6" t="str">
        <f aca="false">INDEX(Items!$B$5:$B$62,MATCH($E306,Items!$A$5:$A$62,0))</f>
        <v>MEDICAL / INJECTION SUPPLIES</v>
      </c>
      <c r="G306" s="6" t="str">
        <f aca="false">INDEX(Items!$C$5:$C$62,MATCH($E306,Items!$A$5:$A$62,0))</f>
        <v>Countable</v>
      </c>
      <c r="H306" s="6" t="s">
        <v>161</v>
      </c>
      <c r="I306" s="6" t="s">
        <v>160</v>
      </c>
      <c r="J306" s="6" t="n">
        <f aca="false">SUMIFS(Kits!$C$5:$C$163,Kits!$A$5:$A$163,$D306,Kits!$B$5:$B$163,$E306)</f>
        <v>1</v>
      </c>
      <c r="K306" s="6" t="n">
        <f aca="false">INDEX(Services!$F$5:$F$85,MATCH($A306,Services!$A$5:$A$85,0))</f>
        <v>1</v>
      </c>
      <c r="L306" s="6" t="n">
        <f aca="false">IF($H306="Auto-deduct",IF($G306="Countable",ROUNDUP($J306*IF($I306="Y",$K306,1),0),ROUND($J306*IF($I306="Y",$K306,1),1)),$J306)</f>
        <v>1</v>
      </c>
      <c r="M306" s="6" t="str">
        <f aca="false">INDEX(Items!$E$5:$E$62,MATCH($E306,Items!$A$5:$A$62,0))</f>
        <v>pc</v>
      </c>
      <c r="N306" s="6" t="n">
        <f aca="false">ROUND($L306/INDEX(Items!$F$5:$F$62,MATCH($E306,Items!$A$5:$A$62,0)),4)</f>
        <v>1</v>
      </c>
      <c r="O306" s="6"/>
    </row>
    <row r="307" customFormat="false" ht="15" hidden="false" customHeight="false" outlineLevel="0" collapsed="false">
      <c r="A307" s="6" t="n">
        <v>34</v>
      </c>
      <c r="B307" s="6" t="s">
        <v>321</v>
      </c>
      <c r="C307" s="6" t="s">
        <v>311</v>
      </c>
      <c r="D307" s="6" t="s">
        <v>233</v>
      </c>
      <c r="E307" s="6" t="s">
        <v>35</v>
      </c>
      <c r="F307" s="6" t="str">
        <f aca="false">INDEX(Items!$B$5:$B$62,MATCH($E307,Items!$A$5:$A$62,0))</f>
        <v>MEDICAL / INJECTION SUPPLIES</v>
      </c>
      <c r="G307" s="6" t="str">
        <f aca="false">INDEX(Items!$C$5:$C$62,MATCH($E307,Items!$A$5:$A$62,0))</f>
        <v>Countable</v>
      </c>
      <c r="H307" s="6" t="s">
        <v>161</v>
      </c>
      <c r="I307" s="6" t="s">
        <v>160</v>
      </c>
      <c r="J307" s="6" t="n">
        <f aca="false">SUMIFS(Kits!$C$5:$C$163,Kits!$A$5:$A$163,$D307,Kits!$B$5:$B$163,$E307)</f>
        <v>1</v>
      </c>
      <c r="K307" s="6" t="n">
        <f aca="false">INDEX(Services!$F$5:$F$85,MATCH($A307,Services!$A$5:$A$85,0))</f>
        <v>1</v>
      </c>
      <c r="L307" s="6" t="n">
        <f aca="false">IF($H307="Auto-deduct",IF($G307="Countable",ROUNDUP($J307*IF($I307="Y",$K307,1),0),ROUND($J307*IF($I307="Y",$K307,1),1)),$J307)</f>
        <v>1</v>
      </c>
      <c r="M307" s="6" t="str">
        <f aca="false">INDEX(Items!$E$5:$E$62,MATCH($E307,Items!$A$5:$A$62,0))</f>
        <v>pc</v>
      </c>
      <c r="N307" s="6" t="n">
        <f aca="false">ROUND($L307/INDEX(Items!$F$5:$F$62,MATCH($E307,Items!$A$5:$A$62,0)),4)</f>
        <v>1</v>
      </c>
      <c r="O307" s="6"/>
    </row>
    <row r="308" customFormat="false" ht="15" hidden="false" customHeight="false" outlineLevel="0" collapsed="false">
      <c r="A308" s="6" t="n">
        <v>34</v>
      </c>
      <c r="B308" s="6" t="s">
        <v>321</v>
      </c>
      <c r="C308" s="6" t="s">
        <v>311</v>
      </c>
      <c r="D308" s="6" t="s">
        <v>233</v>
      </c>
      <c r="E308" s="6" t="s">
        <v>46</v>
      </c>
      <c r="F308" s="6" t="str">
        <f aca="false">INDEX(Items!$B$5:$B$62,MATCH($E308,Items!$A$5:$A$62,0))</f>
        <v>MEDICAL / INJECTION SUPPLIES</v>
      </c>
      <c r="G308" s="6" t="str">
        <f aca="false">INDEX(Items!$C$5:$C$62,MATCH($E308,Items!$A$5:$A$62,0))</f>
        <v>Countable</v>
      </c>
      <c r="H308" s="6" t="s">
        <v>161</v>
      </c>
      <c r="I308" s="6" t="s">
        <v>160</v>
      </c>
      <c r="J308" s="6" t="n">
        <f aca="false">SUMIFS(Kits!$C$5:$C$163,Kits!$A$5:$A$163,$D308,Kits!$B$5:$B$163,$E308)</f>
        <v>1</v>
      </c>
      <c r="K308" s="6" t="n">
        <f aca="false">INDEX(Services!$F$5:$F$85,MATCH($A308,Services!$A$5:$A$85,0))</f>
        <v>1</v>
      </c>
      <c r="L308" s="6" t="n">
        <f aca="false">IF($H308="Auto-deduct",IF($G308="Countable",ROUNDUP($J308*IF($I308="Y",$K308,1),0),ROUND($J308*IF($I308="Y",$K308,1),1)),$J308)</f>
        <v>1</v>
      </c>
      <c r="M308" s="6" t="str">
        <f aca="false">INDEX(Items!$E$5:$E$62,MATCH($E308,Items!$A$5:$A$62,0))</f>
        <v>ampule</v>
      </c>
      <c r="N308" s="6" t="n">
        <f aca="false">ROUND($L308/INDEX(Items!$F$5:$F$62,MATCH($E308,Items!$A$5:$A$62,0)),4)</f>
        <v>1</v>
      </c>
      <c r="O308" s="6"/>
    </row>
    <row r="309" customFormat="false" ht="15" hidden="false" customHeight="false" outlineLevel="0" collapsed="false">
      <c r="A309" s="6" t="n">
        <v>34</v>
      </c>
      <c r="B309" s="6" t="s">
        <v>321</v>
      </c>
      <c r="C309" s="6" t="s">
        <v>311</v>
      </c>
      <c r="D309" s="6" t="s">
        <v>233</v>
      </c>
      <c r="E309" s="6" t="s">
        <v>84</v>
      </c>
      <c r="F309" s="6" t="str">
        <f aca="false">INDEX(Items!$B$5:$B$62,MATCH($E309,Items!$A$5:$A$62,0))</f>
        <v>DISPOSABLES &amp; CLINIC CONSUMABLES</v>
      </c>
      <c r="G309" s="6" t="str">
        <f aca="false">INDEX(Items!$C$5:$C$62,MATCH($E309,Items!$A$5:$A$62,0))</f>
        <v>Countable</v>
      </c>
      <c r="H309" s="6" t="s">
        <v>161</v>
      </c>
      <c r="I309" s="6" t="s">
        <v>160</v>
      </c>
      <c r="J309" s="6" t="n">
        <f aca="false">SUMIFS(Kits!$C$5:$C$163,Kits!$A$5:$A$163,$D309,Kits!$B$5:$B$163,$E309)</f>
        <v>1</v>
      </c>
      <c r="K309" s="6" t="n">
        <f aca="false">INDEX(Services!$F$5:$F$85,MATCH($A309,Services!$A$5:$A$85,0))</f>
        <v>1</v>
      </c>
      <c r="L309" s="6" t="n">
        <f aca="false">IF($H309="Auto-deduct",IF($G309="Countable",ROUNDUP($J309*IF($I309="Y",$K309,1),0),ROUND($J309*IF($I309="Y",$K309,1),1)),$J309)</f>
        <v>1</v>
      </c>
      <c r="M309" s="6" t="str">
        <f aca="false">INDEX(Items!$E$5:$E$62,MATCH($E309,Items!$A$5:$A$62,0))</f>
        <v>pc</v>
      </c>
      <c r="N309" s="6" t="n">
        <f aca="false">ROUND($L309/INDEX(Items!$F$5:$F$62,MATCH($E309,Items!$A$5:$A$62,0)),4)</f>
        <v>1</v>
      </c>
      <c r="O309" s="6"/>
    </row>
    <row r="310" customFormat="false" ht="15" hidden="false" customHeight="false" outlineLevel="0" collapsed="false">
      <c r="A310" s="6" t="n">
        <v>34</v>
      </c>
      <c r="B310" s="6" t="s">
        <v>321</v>
      </c>
      <c r="C310" s="6" t="s">
        <v>311</v>
      </c>
      <c r="D310" s="6" t="s">
        <v>233</v>
      </c>
      <c r="E310" s="6" t="s">
        <v>76</v>
      </c>
      <c r="F310" s="6" t="str">
        <f aca="false">INDEX(Items!$B$5:$B$62,MATCH($E310,Items!$A$5:$A$62,0))</f>
        <v>DISPOSABLES &amp; CLINIC CONSUMABLES</v>
      </c>
      <c r="G310" s="6" t="str">
        <f aca="false">INDEX(Items!$C$5:$C$62,MATCH($E310,Items!$A$5:$A$62,0))</f>
        <v>Bulk</v>
      </c>
      <c r="H310" s="6" t="s">
        <v>161</v>
      </c>
      <c r="I310" s="6" t="s">
        <v>160</v>
      </c>
      <c r="J310" s="6" t="n">
        <f aca="false">SUMIFS(Kits!$C$5:$C$163,Kits!$A$5:$A$163,$D310,Kits!$B$5:$B$163,$E310)</f>
        <v>10</v>
      </c>
      <c r="K310" s="6" t="n">
        <f aca="false">INDEX(Services!$F$5:$F$85,MATCH($A310,Services!$A$5:$A$85,0))</f>
        <v>1</v>
      </c>
      <c r="L310" s="6" t="n">
        <f aca="false">IF($H310="Auto-deduct",IF($G310="Countable",ROUNDUP($J310*IF($I310="Y",$K310,1),0),ROUND($J310*IF($I310="Y",$K310,1),1)),$J310)</f>
        <v>10</v>
      </c>
      <c r="M310" s="6" t="str">
        <f aca="false">INDEX(Items!$E$5:$E$62,MATCH($E310,Items!$A$5:$A$62,0))</f>
        <v>cm</v>
      </c>
      <c r="N310" s="6" t="n">
        <f aca="false">ROUND($L310/INDEX(Items!$F$5:$F$62,MATCH($E310,Items!$A$5:$A$62,0)),4)</f>
        <v>0.0109</v>
      </c>
      <c r="O310" s="6"/>
    </row>
    <row r="311" customFormat="false" ht="15" hidden="false" customHeight="false" outlineLevel="0" collapsed="false">
      <c r="A311" s="6" t="n">
        <v>34</v>
      </c>
      <c r="B311" s="6" t="s">
        <v>321</v>
      </c>
      <c r="C311" s="6" t="s">
        <v>311</v>
      </c>
      <c r="D311" s="6" t="s">
        <v>239</v>
      </c>
      <c r="E311" s="6" t="s">
        <v>144</v>
      </c>
      <c r="F311" s="6" t="str">
        <f aca="false">INDEX(Items!$B$5:$B$62,MATCH($E311,Items!$A$5:$A$62,0))</f>
        <v>SOAPS &amp; CLEANSERS</v>
      </c>
      <c r="G311" s="6" t="str">
        <f aca="false">INDEX(Items!$C$5:$C$62,MATCH($E311,Items!$A$5:$A$62,0))</f>
        <v>Countable</v>
      </c>
      <c r="H311" s="6" t="s">
        <v>185</v>
      </c>
      <c r="I311" s="6" t="s">
        <v>160</v>
      </c>
      <c r="J311" s="6" t="n">
        <f aca="false">SUMIFS(Kits!$C$5:$C$163,Kits!$A$5:$A$163,$D311,Kits!$B$5:$B$163,$E311)</f>
        <v>1</v>
      </c>
      <c r="K311" s="6" t="n">
        <f aca="false">INDEX(Services!$F$5:$F$85,MATCH($A311,Services!$A$5:$A$85,0))</f>
        <v>1</v>
      </c>
      <c r="L311" s="6" t="n">
        <f aca="false">IF($H311="Auto-deduct",IF($G311="Countable",ROUNDUP($J311*IF($I311="Y",$K311,1),0),ROUND($J311*IF($I311="Y",$K311,1),1)),$J311)</f>
        <v>1</v>
      </c>
      <c r="M311" s="6" t="str">
        <f aca="false">INDEX(Items!$E$5:$E$62,MATCH($E311,Items!$A$5:$A$62,0))</f>
        <v>bar</v>
      </c>
      <c r="N311" s="6" t="n">
        <f aca="false">ROUND($L311/INDEX(Items!$F$5:$F$62,MATCH($E311,Items!$A$5:$A$62,0)),4)</f>
        <v>1</v>
      </c>
      <c r="O311" s="6"/>
    </row>
    <row r="312" customFormat="false" ht="15" hidden="false" customHeight="false" outlineLevel="0" collapsed="false">
      <c r="A312" s="6" t="n">
        <v>35</v>
      </c>
      <c r="B312" s="6" t="s">
        <v>323</v>
      </c>
      <c r="C312" s="6" t="s">
        <v>311</v>
      </c>
      <c r="D312" s="6" t="s">
        <v>159</v>
      </c>
      <c r="E312" s="6" t="s">
        <v>52</v>
      </c>
      <c r="F312" s="6" t="str">
        <f aca="false">INDEX(Items!$B$5:$B$62,MATCH($E312,Items!$A$5:$A$62,0))</f>
        <v>DISPOSABLES &amp; CLINIC CONSUMABLES</v>
      </c>
      <c r="G312" s="6" t="str">
        <f aca="false">INDEX(Items!$C$5:$C$62,MATCH($E312,Items!$A$5:$A$62,0))</f>
        <v>Countable</v>
      </c>
      <c r="H312" s="6" t="s">
        <v>161</v>
      </c>
      <c r="I312" s="6" t="s">
        <v>160</v>
      </c>
      <c r="J312" s="6" t="n">
        <f aca="false">SUMIFS(Kits!$C$5:$C$163,Kits!$A$5:$A$163,$D312,Kits!$B$5:$B$163,$E312)</f>
        <v>1</v>
      </c>
      <c r="K312" s="6" t="n">
        <f aca="false">INDEX(Services!$F$5:$F$85,MATCH($A312,Services!$A$5:$A$85,0))</f>
        <v>1</v>
      </c>
      <c r="L312" s="6" t="n">
        <f aca="false">IF($H312="Auto-deduct",IF($G312="Countable",ROUNDUP($J312*IF($I312="Y",$K312,1),0),ROUND($J312*IF($I312="Y",$K312,1),1)),$J312)</f>
        <v>1</v>
      </c>
      <c r="M312" s="6" t="str">
        <f aca="false">INDEX(Items!$E$5:$E$62,MATCH($E312,Items!$A$5:$A$62,0))</f>
        <v>pc</v>
      </c>
      <c r="N312" s="6" t="n">
        <f aca="false">ROUND($L312/INDEX(Items!$F$5:$F$62,MATCH($E312,Items!$A$5:$A$62,0)),4)</f>
        <v>1</v>
      </c>
      <c r="O312" s="6"/>
    </row>
    <row r="313" customFormat="false" ht="15" hidden="false" customHeight="false" outlineLevel="0" collapsed="false">
      <c r="A313" s="6" t="n">
        <v>35</v>
      </c>
      <c r="B313" s="6" t="s">
        <v>323</v>
      </c>
      <c r="C313" s="6" t="s">
        <v>311</v>
      </c>
      <c r="D313" s="6" t="s">
        <v>159</v>
      </c>
      <c r="E313" s="6" t="s">
        <v>53</v>
      </c>
      <c r="F313" s="6" t="str">
        <f aca="false">INDEX(Items!$B$5:$B$62,MATCH($E313,Items!$A$5:$A$62,0))</f>
        <v>DISPOSABLES &amp; CLINIC CONSUMABLES</v>
      </c>
      <c r="G313" s="6" t="str">
        <f aca="false">INDEX(Items!$C$5:$C$62,MATCH($E313,Items!$A$5:$A$62,0))</f>
        <v>Countable</v>
      </c>
      <c r="H313" s="6" t="s">
        <v>161</v>
      </c>
      <c r="I313" s="6" t="s">
        <v>160</v>
      </c>
      <c r="J313" s="6" t="n">
        <f aca="false">SUMIFS(Kits!$C$5:$C$163,Kits!$A$5:$A$163,$D313,Kits!$B$5:$B$163,$E313)</f>
        <v>1</v>
      </c>
      <c r="K313" s="6" t="n">
        <f aca="false">INDEX(Services!$F$5:$F$85,MATCH($A313,Services!$A$5:$A$85,0))</f>
        <v>1</v>
      </c>
      <c r="L313" s="6" t="n">
        <f aca="false">IF($H313="Auto-deduct",IF($G313="Countable",ROUNDUP($J313*IF($I313="Y",$K313,1),0),ROUND($J313*IF($I313="Y",$K313,1),1)),$J313)</f>
        <v>1</v>
      </c>
      <c r="M313" s="6" t="str">
        <f aca="false">INDEX(Items!$E$5:$E$62,MATCH($E313,Items!$A$5:$A$62,0))</f>
        <v>pair</v>
      </c>
      <c r="N313" s="6" t="n">
        <f aca="false">ROUND($L313/INDEX(Items!$F$5:$F$62,MATCH($E313,Items!$A$5:$A$62,0)),4)</f>
        <v>1</v>
      </c>
      <c r="O313" s="6"/>
    </row>
    <row r="314" customFormat="false" ht="15" hidden="false" customHeight="false" outlineLevel="0" collapsed="false">
      <c r="A314" s="6" t="n">
        <v>35</v>
      </c>
      <c r="B314" s="6" t="s">
        <v>323</v>
      </c>
      <c r="C314" s="6" t="s">
        <v>311</v>
      </c>
      <c r="D314" s="6" t="s">
        <v>159</v>
      </c>
      <c r="E314" s="6" t="s">
        <v>88</v>
      </c>
      <c r="F314" s="6" t="str">
        <f aca="false">INDEX(Items!$B$5:$B$62,MATCH($E314,Items!$A$5:$A$62,0))</f>
        <v>DISPOSABLES &amp; CLINIC CONSUMABLES</v>
      </c>
      <c r="G314" s="6" t="str">
        <f aca="false">INDEX(Items!$C$5:$C$62,MATCH($E314,Items!$A$5:$A$62,0))</f>
        <v>Bulk</v>
      </c>
      <c r="H314" s="6" t="s">
        <v>161</v>
      </c>
      <c r="I314" s="6" t="s">
        <v>160</v>
      </c>
      <c r="J314" s="6" t="n">
        <f aca="false">SUMIFS(Kits!$C$5:$C$163,Kits!$A$5:$A$163,$D314,Kits!$B$5:$B$163,$E314)</f>
        <v>5</v>
      </c>
      <c r="K314" s="6" t="n">
        <f aca="false">INDEX(Services!$F$5:$F$85,MATCH($A314,Services!$A$5:$A$85,0))</f>
        <v>1</v>
      </c>
      <c r="L314" s="6" t="n">
        <f aca="false">IF($H314="Auto-deduct",IF($G314="Countable",ROUNDUP($J314*IF($I314="Y",$K314,1),0),ROUND($J314*IF($I314="Y",$K314,1),1)),$J314)</f>
        <v>5</v>
      </c>
      <c r="M314" s="6" t="str">
        <f aca="false">INDEX(Items!$E$5:$E$62,MATCH($E314,Items!$A$5:$A$62,0))</f>
        <v>mL</v>
      </c>
      <c r="N314" s="6" t="n">
        <f aca="false">ROUND($L314/INDEX(Items!$F$5:$F$62,MATCH($E314,Items!$A$5:$A$62,0)),4)</f>
        <v>0.01</v>
      </c>
      <c r="O314" s="6"/>
    </row>
    <row r="315" customFormat="false" ht="15" hidden="false" customHeight="false" outlineLevel="0" collapsed="false">
      <c r="A315" s="6" t="n">
        <v>35</v>
      </c>
      <c r="B315" s="6" t="s">
        <v>323</v>
      </c>
      <c r="C315" s="6" t="s">
        <v>311</v>
      </c>
      <c r="D315" s="6" t="s">
        <v>231</v>
      </c>
      <c r="E315" s="6" t="s">
        <v>40</v>
      </c>
      <c r="F315" s="6" t="str">
        <f aca="false">INDEX(Items!$B$5:$B$62,MATCH($E315,Items!$A$5:$A$62,0))</f>
        <v>MEDICAL / INJECTION SUPPLIES</v>
      </c>
      <c r="G315" s="6" t="str">
        <f aca="false">INDEX(Items!$C$5:$C$62,MATCH($E315,Items!$A$5:$A$62,0))</f>
        <v>Countable</v>
      </c>
      <c r="H315" s="6" t="s">
        <v>161</v>
      </c>
      <c r="I315" s="6" t="s">
        <v>160</v>
      </c>
      <c r="J315" s="6" t="n">
        <f aca="false">SUMIFS(Kits!$C$5:$C$163,Kits!$A$5:$A$163,$D315,Kits!$B$5:$B$163,$E315)</f>
        <v>1</v>
      </c>
      <c r="K315" s="6" t="n">
        <f aca="false">INDEX(Services!$F$5:$F$85,MATCH($A315,Services!$A$5:$A$85,0))</f>
        <v>1</v>
      </c>
      <c r="L315" s="6" t="n">
        <f aca="false">IF($H315="Auto-deduct",IF($G315="Countable",ROUNDUP($J315*IF($I315="Y",$K315,1),0),ROUND($J315*IF($I315="Y",$K315,1),1)),$J315)</f>
        <v>1</v>
      </c>
      <c r="M315" s="6" t="str">
        <f aca="false">INDEX(Items!$E$5:$E$62,MATCH($E315,Items!$A$5:$A$62,0))</f>
        <v>pc</v>
      </c>
      <c r="N315" s="6" t="n">
        <f aca="false">ROUND($L315/INDEX(Items!$F$5:$F$62,MATCH($E315,Items!$A$5:$A$62,0)),4)</f>
        <v>1</v>
      </c>
      <c r="O315" s="6"/>
    </row>
    <row r="316" customFormat="false" ht="15" hidden="false" customHeight="false" outlineLevel="0" collapsed="false">
      <c r="A316" s="6" t="n">
        <v>35</v>
      </c>
      <c r="B316" s="6" t="s">
        <v>323</v>
      </c>
      <c r="C316" s="6" t="s">
        <v>311</v>
      </c>
      <c r="D316" s="6" t="s">
        <v>231</v>
      </c>
      <c r="E316" s="6" t="s">
        <v>49</v>
      </c>
      <c r="F316" s="6" t="str">
        <f aca="false">INDEX(Items!$B$5:$B$62,MATCH($E316,Items!$A$5:$A$62,0))</f>
        <v>MEDICAL / INJECTION SUPPLIES</v>
      </c>
      <c r="G316" s="6" t="str">
        <f aca="false">INDEX(Items!$C$5:$C$62,MATCH($E316,Items!$A$5:$A$62,0))</f>
        <v>Countable</v>
      </c>
      <c r="H316" s="6" t="s">
        <v>161</v>
      </c>
      <c r="I316" s="6" t="s">
        <v>160</v>
      </c>
      <c r="J316" s="6" t="n">
        <f aca="false">SUMIFS(Kits!$C$5:$C$163,Kits!$A$5:$A$163,$D316,Kits!$B$5:$B$163,$E316)</f>
        <v>1</v>
      </c>
      <c r="K316" s="6" t="n">
        <f aca="false">INDEX(Services!$F$5:$F$85,MATCH($A316,Services!$A$5:$A$85,0))</f>
        <v>1</v>
      </c>
      <c r="L316" s="6" t="n">
        <f aca="false">IF($H316="Auto-deduct",IF($G316="Countable",ROUNDUP($J316*IF($I316="Y",$K316,1),0),ROUND($J316*IF($I316="Y",$K316,1),1)),$J316)</f>
        <v>1</v>
      </c>
      <c r="M316" s="6" t="str">
        <f aca="false">INDEX(Items!$E$5:$E$62,MATCH($E316,Items!$A$5:$A$62,0))</f>
        <v>pc</v>
      </c>
      <c r="N316" s="6" t="n">
        <f aca="false">ROUND($L316/INDEX(Items!$F$5:$F$62,MATCH($E316,Items!$A$5:$A$62,0)),4)</f>
        <v>1</v>
      </c>
      <c r="O316" s="6"/>
    </row>
    <row r="317" customFormat="false" ht="15" hidden="false" customHeight="false" outlineLevel="0" collapsed="false">
      <c r="A317" s="6" t="n">
        <v>35</v>
      </c>
      <c r="B317" s="6" t="s">
        <v>323</v>
      </c>
      <c r="C317" s="6" t="s">
        <v>311</v>
      </c>
      <c r="D317" s="6" t="s">
        <v>231</v>
      </c>
      <c r="E317" s="6" t="s">
        <v>35</v>
      </c>
      <c r="F317" s="6" t="str">
        <f aca="false">INDEX(Items!$B$5:$B$62,MATCH($E317,Items!$A$5:$A$62,0))</f>
        <v>MEDICAL / INJECTION SUPPLIES</v>
      </c>
      <c r="G317" s="6" t="str">
        <f aca="false">INDEX(Items!$C$5:$C$62,MATCH($E317,Items!$A$5:$A$62,0))</f>
        <v>Countable</v>
      </c>
      <c r="H317" s="6" t="s">
        <v>161</v>
      </c>
      <c r="I317" s="6" t="s">
        <v>160</v>
      </c>
      <c r="J317" s="6" t="n">
        <f aca="false">SUMIFS(Kits!$C$5:$C$163,Kits!$A$5:$A$163,$D317,Kits!$B$5:$B$163,$E317)</f>
        <v>1</v>
      </c>
      <c r="K317" s="6" t="n">
        <f aca="false">INDEX(Services!$F$5:$F$85,MATCH($A317,Services!$A$5:$A$85,0))</f>
        <v>1</v>
      </c>
      <c r="L317" s="6" t="n">
        <f aca="false">IF($H317="Auto-deduct",IF($G317="Countable",ROUNDUP($J317*IF($I317="Y",$K317,1),0),ROUND($J317*IF($I317="Y",$K317,1),1)),$J317)</f>
        <v>1</v>
      </c>
      <c r="M317" s="6" t="str">
        <f aca="false">INDEX(Items!$E$5:$E$62,MATCH($E317,Items!$A$5:$A$62,0))</f>
        <v>pc</v>
      </c>
      <c r="N317" s="6" t="n">
        <f aca="false">ROUND($L317/INDEX(Items!$F$5:$F$62,MATCH($E317,Items!$A$5:$A$62,0)),4)</f>
        <v>1</v>
      </c>
      <c r="O317" s="6"/>
    </row>
    <row r="318" customFormat="false" ht="15" hidden="false" customHeight="false" outlineLevel="0" collapsed="false">
      <c r="A318" s="6" t="n">
        <v>35</v>
      </c>
      <c r="B318" s="6" t="s">
        <v>323</v>
      </c>
      <c r="C318" s="6" t="s">
        <v>311</v>
      </c>
      <c r="D318" s="6" t="s">
        <v>231</v>
      </c>
      <c r="E318" s="6" t="s">
        <v>46</v>
      </c>
      <c r="F318" s="6" t="str">
        <f aca="false">INDEX(Items!$B$5:$B$62,MATCH($E318,Items!$A$5:$A$62,0))</f>
        <v>MEDICAL / INJECTION SUPPLIES</v>
      </c>
      <c r="G318" s="6" t="str">
        <f aca="false">INDEX(Items!$C$5:$C$62,MATCH($E318,Items!$A$5:$A$62,0))</f>
        <v>Countable</v>
      </c>
      <c r="H318" s="6" t="s">
        <v>161</v>
      </c>
      <c r="I318" s="6" t="s">
        <v>160</v>
      </c>
      <c r="J318" s="6" t="n">
        <f aca="false">SUMIFS(Kits!$C$5:$C$163,Kits!$A$5:$A$163,$D318,Kits!$B$5:$B$163,$E318)</f>
        <v>1</v>
      </c>
      <c r="K318" s="6" t="n">
        <f aca="false">INDEX(Services!$F$5:$F$85,MATCH($A318,Services!$A$5:$A$85,0))</f>
        <v>1</v>
      </c>
      <c r="L318" s="6" t="n">
        <f aca="false">IF($H318="Auto-deduct",IF($G318="Countable",ROUNDUP($J318*IF($I318="Y",$K318,1),0),ROUND($J318*IF($I318="Y",$K318,1),1)),$J318)</f>
        <v>1</v>
      </c>
      <c r="M318" s="6" t="str">
        <f aca="false">INDEX(Items!$E$5:$E$62,MATCH($E318,Items!$A$5:$A$62,0))</f>
        <v>ampule</v>
      </c>
      <c r="N318" s="6" t="n">
        <f aca="false">ROUND($L318/INDEX(Items!$F$5:$F$62,MATCH($E318,Items!$A$5:$A$62,0)),4)</f>
        <v>1</v>
      </c>
      <c r="O318" s="6"/>
    </row>
    <row r="319" customFormat="false" ht="15" hidden="false" customHeight="false" outlineLevel="0" collapsed="false">
      <c r="A319" s="6" t="n">
        <v>35</v>
      </c>
      <c r="B319" s="6" t="s">
        <v>323</v>
      </c>
      <c r="C319" s="6" t="s">
        <v>311</v>
      </c>
      <c r="D319" s="6" t="s">
        <v>231</v>
      </c>
      <c r="E319" s="6" t="s">
        <v>84</v>
      </c>
      <c r="F319" s="6" t="str">
        <f aca="false">INDEX(Items!$B$5:$B$62,MATCH($E319,Items!$A$5:$A$62,0))</f>
        <v>DISPOSABLES &amp; CLINIC CONSUMABLES</v>
      </c>
      <c r="G319" s="6" t="str">
        <f aca="false">INDEX(Items!$C$5:$C$62,MATCH($E319,Items!$A$5:$A$62,0))</f>
        <v>Countable</v>
      </c>
      <c r="H319" s="6" t="s">
        <v>161</v>
      </c>
      <c r="I319" s="6" t="s">
        <v>160</v>
      </c>
      <c r="J319" s="6" t="n">
        <f aca="false">SUMIFS(Kits!$C$5:$C$163,Kits!$A$5:$A$163,$D319,Kits!$B$5:$B$163,$E319)</f>
        <v>2</v>
      </c>
      <c r="K319" s="6" t="n">
        <f aca="false">INDEX(Services!$F$5:$F$85,MATCH($A319,Services!$A$5:$A$85,0))</f>
        <v>1</v>
      </c>
      <c r="L319" s="6" t="n">
        <f aca="false">IF($H319="Auto-deduct",IF($G319="Countable",ROUNDUP($J319*IF($I319="Y",$K319,1),0),ROUND($J319*IF($I319="Y",$K319,1),1)),$J319)</f>
        <v>2</v>
      </c>
      <c r="M319" s="6" t="str">
        <f aca="false">INDEX(Items!$E$5:$E$62,MATCH($E319,Items!$A$5:$A$62,0))</f>
        <v>pc</v>
      </c>
      <c r="N319" s="6" t="n">
        <f aca="false">ROUND($L319/INDEX(Items!$F$5:$F$62,MATCH($E319,Items!$A$5:$A$62,0)),4)</f>
        <v>2</v>
      </c>
      <c r="O319" s="6"/>
    </row>
    <row r="320" customFormat="false" ht="15" hidden="false" customHeight="false" outlineLevel="0" collapsed="false">
      <c r="A320" s="6" t="n">
        <v>35</v>
      </c>
      <c r="B320" s="6" t="s">
        <v>323</v>
      </c>
      <c r="C320" s="6" t="s">
        <v>311</v>
      </c>
      <c r="D320" s="6" t="s">
        <v>231</v>
      </c>
      <c r="E320" s="6" t="s">
        <v>76</v>
      </c>
      <c r="F320" s="6" t="str">
        <f aca="false">INDEX(Items!$B$5:$B$62,MATCH($E320,Items!$A$5:$A$62,0))</f>
        <v>DISPOSABLES &amp; CLINIC CONSUMABLES</v>
      </c>
      <c r="G320" s="6" t="str">
        <f aca="false">INDEX(Items!$C$5:$C$62,MATCH($E320,Items!$A$5:$A$62,0))</f>
        <v>Bulk</v>
      </c>
      <c r="H320" s="6" t="s">
        <v>161</v>
      </c>
      <c r="I320" s="6" t="s">
        <v>160</v>
      </c>
      <c r="J320" s="6" t="n">
        <f aca="false">SUMIFS(Kits!$C$5:$C$163,Kits!$A$5:$A$163,$D320,Kits!$B$5:$B$163,$E320)</f>
        <v>20</v>
      </c>
      <c r="K320" s="6" t="n">
        <f aca="false">INDEX(Services!$F$5:$F$85,MATCH($A320,Services!$A$5:$A$85,0))</f>
        <v>1</v>
      </c>
      <c r="L320" s="6" t="n">
        <f aca="false">IF($H320="Auto-deduct",IF($G320="Countable",ROUNDUP($J320*IF($I320="Y",$K320,1),0),ROUND($J320*IF($I320="Y",$K320,1),1)),$J320)</f>
        <v>20</v>
      </c>
      <c r="M320" s="6" t="str">
        <f aca="false">INDEX(Items!$E$5:$E$62,MATCH($E320,Items!$A$5:$A$62,0))</f>
        <v>cm</v>
      </c>
      <c r="N320" s="6" t="n">
        <f aca="false">ROUND($L320/INDEX(Items!$F$5:$F$62,MATCH($E320,Items!$A$5:$A$62,0)),4)</f>
        <v>0.0219</v>
      </c>
      <c r="O320" s="6"/>
    </row>
    <row r="321" customFormat="false" ht="15" hidden="false" customHeight="false" outlineLevel="0" collapsed="false">
      <c r="A321" s="6" t="n">
        <v>36</v>
      </c>
      <c r="B321" s="6" t="s">
        <v>283</v>
      </c>
      <c r="C321" s="6" t="s">
        <v>324</v>
      </c>
      <c r="D321" s="6" t="s">
        <v>159</v>
      </c>
      <c r="E321" s="6" t="s">
        <v>52</v>
      </c>
      <c r="F321" s="6" t="str">
        <f aca="false">INDEX(Items!$B$5:$B$62,MATCH($E321,Items!$A$5:$A$62,0))</f>
        <v>DISPOSABLES &amp; CLINIC CONSUMABLES</v>
      </c>
      <c r="G321" s="6" t="str">
        <f aca="false">INDEX(Items!$C$5:$C$62,MATCH($E321,Items!$A$5:$A$62,0))</f>
        <v>Countable</v>
      </c>
      <c r="H321" s="6" t="s">
        <v>161</v>
      </c>
      <c r="I321" s="6" t="s">
        <v>160</v>
      </c>
      <c r="J321" s="6" t="n">
        <f aca="false">SUMIFS(Kits!$C$5:$C$163,Kits!$A$5:$A$163,$D321,Kits!$B$5:$B$163,$E321)</f>
        <v>1</v>
      </c>
      <c r="K321" s="6" t="n">
        <f aca="false">INDEX(Services!$F$5:$F$85,MATCH($A321,Services!$A$5:$A$85,0))</f>
        <v>1</v>
      </c>
      <c r="L321" s="6" t="n">
        <f aca="false">IF($H321="Auto-deduct",IF($G321="Countable",ROUNDUP($J321*IF($I321="Y",$K321,1),0),ROUND($J321*IF($I321="Y",$K321,1),1)),$J321)</f>
        <v>1</v>
      </c>
      <c r="M321" s="6" t="str">
        <f aca="false">INDEX(Items!$E$5:$E$62,MATCH($E321,Items!$A$5:$A$62,0))</f>
        <v>pc</v>
      </c>
      <c r="N321" s="6" t="n">
        <f aca="false">ROUND($L321/INDEX(Items!$F$5:$F$62,MATCH($E321,Items!$A$5:$A$62,0)),4)</f>
        <v>1</v>
      </c>
      <c r="O321" s="6"/>
    </row>
    <row r="322" customFormat="false" ht="15" hidden="false" customHeight="false" outlineLevel="0" collapsed="false">
      <c r="A322" s="6" t="n">
        <v>36</v>
      </c>
      <c r="B322" s="6" t="s">
        <v>283</v>
      </c>
      <c r="C322" s="6" t="s">
        <v>324</v>
      </c>
      <c r="D322" s="6" t="s">
        <v>159</v>
      </c>
      <c r="E322" s="6" t="s">
        <v>53</v>
      </c>
      <c r="F322" s="6" t="str">
        <f aca="false">INDEX(Items!$B$5:$B$62,MATCH($E322,Items!$A$5:$A$62,0))</f>
        <v>DISPOSABLES &amp; CLINIC CONSUMABLES</v>
      </c>
      <c r="G322" s="6" t="str">
        <f aca="false">INDEX(Items!$C$5:$C$62,MATCH($E322,Items!$A$5:$A$62,0))</f>
        <v>Countable</v>
      </c>
      <c r="H322" s="6" t="s">
        <v>161</v>
      </c>
      <c r="I322" s="6" t="s">
        <v>160</v>
      </c>
      <c r="J322" s="6" t="n">
        <f aca="false">SUMIFS(Kits!$C$5:$C$163,Kits!$A$5:$A$163,$D322,Kits!$B$5:$B$163,$E322)</f>
        <v>1</v>
      </c>
      <c r="K322" s="6" t="n">
        <f aca="false">INDEX(Services!$F$5:$F$85,MATCH($A322,Services!$A$5:$A$85,0))</f>
        <v>1</v>
      </c>
      <c r="L322" s="6" t="n">
        <f aca="false">IF($H322="Auto-deduct",IF($G322="Countable",ROUNDUP($J322*IF($I322="Y",$K322,1),0),ROUND($J322*IF($I322="Y",$K322,1),1)),$J322)</f>
        <v>1</v>
      </c>
      <c r="M322" s="6" t="str">
        <f aca="false">INDEX(Items!$E$5:$E$62,MATCH($E322,Items!$A$5:$A$62,0))</f>
        <v>pair</v>
      </c>
      <c r="N322" s="6" t="n">
        <f aca="false">ROUND($L322/INDEX(Items!$F$5:$F$62,MATCH($E322,Items!$A$5:$A$62,0)),4)</f>
        <v>1</v>
      </c>
      <c r="O322" s="6"/>
    </row>
    <row r="323" customFormat="false" ht="15" hidden="false" customHeight="false" outlineLevel="0" collapsed="false">
      <c r="A323" s="6" t="n">
        <v>36</v>
      </c>
      <c r="B323" s="6" t="s">
        <v>283</v>
      </c>
      <c r="C323" s="6" t="s">
        <v>324</v>
      </c>
      <c r="D323" s="6" t="s">
        <v>159</v>
      </c>
      <c r="E323" s="6" t="s">
        <v>88</v>
      </c>
      <c r="F323" s="6" t="str">
        <f aca="false">INDEX(Items!$B$5:$B$62,MATCH($E323,Items!$A$5:$A$62,0))</f>
        <v>DISPOSABLES &amp; CLINIC CONSUMABLES</v>
      </c>
      <c r="G323" s="6" t="str">
        <f aca="false">INDEX(Items!$C$5:$C$62,MATCH($E323,Items!$A$5:$A$62,0))</f>
        <v>Bulk</v>
      </c>
      <c r="H323" s="6" t="s">
        <v>161</v>
      </c>
      <c r="I323" s="6" t="s">
        <v>160</v>
      </c>
      <c r="J323" s="6" t="n">
        <f aca="false">SUMIFS(Kits!$C$5:$C$163,Kits!$A$5:$A$163,$D323,Kits!$B$5:$B$163,$E323)</f>
        <v>5</v>
      </c>
      <c r="K323" s="6" t="n">
        <f aca="false">INDEX(Services!$F$5:$F$85,MATCH($A323,Services!$A$5:$A$85,0))</f>
        <v>1</v>
      </c>
      <c r="L323" s="6" t="n">
        <f aca="false">IF($H323="Auto-deduct",IF($G323="Countable",ROUNDUP($J323*IF($I323="Y",$K323,1),0),ROUND($J323*IF($I323="Y",$K323,1),1)),$J323)</f>
        <v>5</v>
      </c>
      <c r="M323" s="6" t="str">
        <f aca="false">INDEX(Items!$E$5:$E$62,MATCH($E323,Items!$A$5:$A$62,0))</f>
        <v>mL</v>
      </c>
      <c r="N323" s="6" t="n">
        <f aca="false">ROUND($L323/INDEX(Items!$F$5:$F$62,MATCH($E323,Items!$A$5:$A$62,0)),4)</f>
        <v>0.01</v>
      </c>
      <c r="O323" s="6"/>
    </row>
    <row r="324" customFormat="false" ht="15" hidden="false" customHeight="false" outlineLevel="0" collapsed="false">
      <c r="A324" s="6" t="n">
        <v>36</v>
      </c>
      <c r="B324" s="6" t="s">
        <v>283</v>
      </c>
      <c r="C324" s="6" t="s">
        <v>324</v>
      </c>
      <c r="D324" s="6" t="s">
        <v>165</v>
      </c>
      <c r="E324" s="6" t="s">
        <v>50</v>
      </c>
      <c r="F324" s="6" t="str">
        <f aca="false">INDEX(Items!$B$5:$B$62,MATCH($E324,Items!$A$5:$A$62,0))</f>
        <v>DISPOSABLES &amp; CLINIC CONSUMABLES</v>
      </c>
      <c r="G324" s="6" t="str">
        <f aca="false">INDEX(Items!$C$5:$C$62,MATCH($E324,Items!$A$5:$A$62,0))</f>
        <v>Countable</v>
      </c>
      <c r="H324" s="6" t="s">
        <v>161</v>
      </c>
      <c r="I324" s="6" t="s">
        <v>160</v>
      </c>
      <c r="J324" s="6" t="n">
        <f aca="false">SUMIFS(Kits!$C$5:$C$163,Kits!$A$5:$A$163,$D324,Kits!$B$5:$B$163,$E324)</f>
        <v>1</v>
      </c>
      <c r="K324" s="6" t="n">
        <f aca="false">INDEX(Services!$F$5:$F$85,MATCH($A324,Services!$A$5:$A$85,0))</f>
        <v>1</v>
      </c>
      <c r="L324" s="6" t="n">
        <f aca="false">IF($H324="Auto-deduct",IF($G324="Countable",ROUNDUP($J324*IF($I324="Y",$K324,1),0),ROUND($J324*IF($I324="Y",$K324,1),1)),$J324)</f>
        <v>1</v>
      </c>
      <c r="M324" s="6" t="str">
        <f aca="false">INDEX(Items!$E$5:$E$62,MATCH($E324,Items!$A$5:$A$62,0))</f>
        <v>pc</v>
      </c>
      <c r="N324" s="6" t="n">
        <f aca="false">ROUND($L324/INDEX(Items!$F$5:$F$62,MATCH($E324,Items!$A$5:$A$62,0)),4)</f>
        <v>1</v>
      </c>
      <c r="O324" s="6"/>
    </row>
    <row r="325" customFormat="false" ht="15" hidden="false" customHeight="false" outlineLevel="0" collapsed="false">
      <c r="A325" s="6" t="n">
        <v>36</v>
      </c>
      <c r="B325" s="6" t="s">
        <v>283</v>
      </c>
      <c r="C325" s="6" t="s">
        <v>324</v>
      </c>
      <c r="D325" s="6" t="s">
        <v>165</v>
      </c>
      <c r="E325" s="6" t="s">
        <v>98</v>
      </c>
      <c r="F325" s="6" t="str">
        <f aca="false">INDEX(Items!$B$5:$B$62,MATCH($E325,Items!$A$5:$A$62,0))</f>
        <v>FACIAL / TREATMENT PREP PRODUCTS</v>
      </c>
      <c r="G325" s="6" t="str">
        <f aca="false">INDEX(Items!$C$5:$C$62,MATCH($E325,Items!$A$5:$A$62,0))</f>
        <v>Bulk</v>
      </c>
      <c r="H325" s="6" t="s">
        <v>161</v>
      </c>
      <c r="I325" s="6" t="s">
        <v>160</v>
      </c>
      <c r="J325" s="6" t="n">
        <f aca="false">SUMIFS(Kits!$C$5:$C$163,Kits!$A$5:$A$163,$D325,Kits!$B$5:$B$163,$E325)</f>
        <v>5</v>
      </c>
      <c r="K325" s="6" t="n">
        <f aca="false">INDEX(Services!$F$5:$F$85,MATCH($A325,Services!$A$5:$A$85,0))</f>
        <v>1</v>
      </c>
      <c r="L325" s="6" t="n">
        <f aca="false">IF($H325="Auto-deduct",IF($G325="Countable",ROUNDUP($J325*IF($I325="Y",$K325,1),0),ROUND($J325*IF($I325="Y",$K325,1),1)),$J325)</f>
        <v>5</v>
      </c>
      <c r="M325" s="6" t="str">
        <f aca="false">INDEX(Items!$E$5:$E$62,MATCH($E325,Items!$A$5:$A$62,0))</f>
        <v>mL</v>
      </c>
      <c r="N325" s="6" t="n">
        <f aca="false">ROUND($L325/INDEX(Items!$F$5:$F$62,MATCH($E325,Items!$A$5:$A$62,0)),4)</f>
        <v>0.01</v>
      </c>
      <c r="O325" s="6"/>
    </row>
    <row r="326" customFormat="false" ht="15" hidden="false" customHeight="false" outlineLevel="0" collapsed="false">
      <c r="A326" s="6" t="n">
        <v>36</v>
      </c>
      <c r="B326" s="6" t="s">
        <v>283</v>
      </c>
      <c r="C326" s="6" t="s">
        <v>324</v>
      </c>
      <c r="D326" s="6" t="s">
        <v>165</v>
      </c>
      <c r="E326" s="6" t="s">
        <v>92</v>
      </c>
      <c r="F326" s="6" t="str">
        <f aca="false">INDEX(Items!$B$5:$B$62,MATCH($E326,Items!$A$5:$A$62,0))</f>
        <v>FACIAL / TREATMENT PREP PRODUCTS</v>
      </c>
      <c r="G326" s="6" t="str">
        <f aca="false">INDEX(Items!$C$5:$C$62,MATCH($E326,Items!$A$5:$A$62,0))</f>
        <v>Bulk</v>
      </c>
      <c r="H326" s="6" t="s">
        <v>161</v>
      </c>
      <c r="I326" s="6" t="s">
        <v>160</v>
      </c>
      <c r="J326" s="6" t="n">
        <f aca="false">SUMIFS(Kits!$C$5:$C$163,Kits!$A$5:$A$163,$D326,Kits!$B$5:$B$163,$E326)</f>
        <v>10</v>
      </c>
      <c r="K326" s="6" t="n">
        <f aca="false">INDEX(Services!$F$5:$F$85,MATCH($A326,Services!$A$5:$A$85,0))</f>
        <v>1</v>
      </c>
      <c r="L326" s="6" t="n">
        <f aca="false">IF($H326="Auto-deduct",IF($G326="Countable",ROUNDUP($J326*IF($I326="Y",$K326,1),0),ROUND($J326*IF($I326="Y",$K326,1),1)),$J326)</f>
        <v>10</v>
      </c>
      <c r="M326" s="6" t="str">
        <f aca="false">INDEX(Items!$E$5:$E$62,MATCH($E326,Items!$A$5:$A$62,0))</f>
        <v>mL</v>
      </c>
      <c r="N326" s="6" t="n">
        <f aca="false">ROUND($L326/INDEX(Items!$F$5:$F$62,MATCH($E326,Items!$A$5:$A$62,0)),4)</f>
        <v>0.02</v>
      </c>
      <c r="O326" s="6"/>
    </row>
    <row r="327" customFormat="false" ht="15" hidden="false" customHeight="false" outlineLevel="0" collapsed="false">
      <c r="A327" s="6" t="n">
        <v>36</v>
      </c>
      <c r="B327" s="6" t="s">
        <v>283</v>
      </c>
      <c r="C327" s="6" t="s">
        <v>324</v>
      </c>
      <c r="D327" s="6" t="s">
        <v>165</v>
      </c>
      <c r="E327" s="6" t="s">
        <v>69</v>
      </c>
      <c r="F327" s="6" t="str">
        <f aca="false">INDEX(Items!$B$5:$B$62,MATCH($E327,Items!$A$5:$A$62,0))</f>
        <v>DISPOSABLES &amp; CLINIC CONSUMABLES</v>
      </c>
      <c r="G327" s="6" t="str">
        <f aca="false">INDEX(Items!$C$5:$C$62,MATCH($E327,Items!$A$5:$A$62,0))</f>
        <v>Bulk</v>
      </c>
      <c r="H327" s="6" t="s">
        <v>161</v>
      </c>
      <c r="I327" s="6" t="s">
        <v>160</v>
      </c>
      <c r="J327" s="6" t="n">
        <f aca="false">SUMIFS(Kits!$C$5:$C$163,Kits!$A$5:$A$163,$D327,Kits!$B$5:$B$163,$E327)</f>
        <v>5</v>
      </c>
      <c r="K327" s="6" t="n">
        <f aca="false">INDEX(Services!$F$5:$F$85,MATCH($A327,Services!$A$5:$A$85,0))</f>
        <v>1</v>
      </c>
      <c r="L327" s="6" t="n">
        <f aca="false">IF($H327="Auto-deduct",IF($G327="Countable",ROUNDUP($J327*IF($I327="Y",$K327,1),0),ROUND($J327*IF($I327="Y",$K327,1),1)),$J327)</f>
        <v>5</v>
      </c>
      <c r="M327" s="6" t="str">
        <f aca="false">INDEX(Items!$E$5:$E$62,MATCH($E327,Items!$A$5:$A$62,0))</f>
        <v>g</v>
      </c>
      <c r="N327" s="6" t="n">
        <f aca="false">ROUND($L327/INDEX(Items!$F$5:$F$62,MATCH($E327,Items!$A$5:$A$62,0)),4)</f>
        <v>0.0125</v>
      </c>
      <c r="O327" s="6"/>
    </row>
    <row r="328" customFormat="false" ht="15" hidden="false" customHeight="false" outlineLevel="0" collapsed="false">
      <c r="A328" s="6" t="n">
        <v>36</v>
      </c>
      <c r="B328" s="6" t="s">
        <v>283</v>
      </c>
      <c r="C328" s="6" t="s">
        <v>324</v>
      </c>
      <c r="D328" s="6" t="s">
        <v>165</v>
      </c>
      <c r="E328" s="6" t="s">
        <v>58</v>
      </c>
      <c r="F328" s="6" t="str">
        <f aca="false">INDEX(Items!$B$5:$B$62,MATCH($E328,Items!$A$5:$A$62,0))</f>
        <v>DISPOSABLES &amp; CLINIC CONSUMABLES</v>
      </c>
      <c r="G328" s="6" t="str">
        <f aca="false">INDEX(Items!$C$5:$C$62,MATCH($E328,Items!$A$5:$A$62,0))</f>
        <v>Bulk</v>
      </c>
      <c r="H328" s="6" t="s">
        <v>161</v>
      </c>
      <c r="I328" s="6" t="s">
        <v>160</v>
      </c>
      <c r="J328" s="6" t="n">
        <f aca="false">SUMIFS(Kits!$C$5:$C$163,Kits!$A$5:$A$163,$D328,Kits!$B$5:$B$163,$E328)</f>
        <v>6</v>
      </c>
      <c r="K328" s="6" t="n">
        <f aca="false">INDEX(Services!$F$5:$F$85,MATCH($A328,Services!$A$5:$A$85,0))</f>
        <v>1</v>
      </c>
      <c r="L328" s="6" t="n">
        <f aca="false">IF($H328="Auto-deduct",IF($G328="Countable",ROUNDUP($J328*IF($I328="Y",$K328,1),0),ROUND($J328*IF($I328="Y",$K328,1),1)),$J328)</f>
        <v>6</v>
      </c>
      <c r="M328" s="6" t="str">
        <f aca="false">INDEX(Items!$E$5:$E$62,MATCH($E328,Items!$A$5:$A$62,0))</f>
        <v>sheet</v>
      </c>
      <c r="N328" s="6" t="n">
        <f aca="false">ROUND($L328/INDEX(Items!$F$5:$F$62,MATCH($E328,Items!$A$5:$A$62,0)),4)</f>
        <v>0.03</v>
      </c>
      <c r="O328" s="6"/>
    </row>
    <row r="329" customFormat="false" ht="15" hidden="false" customHeight="false" outlineLevel="0" collapsed="false">
      <c r="A329" s="6" t="n">
        <v>36</v>
      </c>
      <c r="B329" s="6" t="s">
        <v>283</v>
      </c>
      <c r="C329" s="6" t="s">
        <v>324</v>
      </c>
      <c r="D329" s="6" t="s">
        <v>241</v>
      </c>
      <c r="E329" s="6" t="s">
        <v>34</v>
      </c>
      <c r="F329" s="6" t="str">
        <f aca="false">INDEX(Items!$B$5:$B$62,MATCH($E329,Items!$A$5:$A$62,0))</f>
        <v>MEDICAL / INJECTION SUPPLIES</v>
      </c>
      <c r="G329" s="6" t="str">
        <f aca="false">INDEX(Items!$C$5:$C$62,MATCH($E329,Items!$A$5:$A$62,0))</f>
        <v>Countable</v>
      </c>
      <c r="H329" s="6" t="s">
        <v>161</v>
      </c>
      <c r="I329" s="6" t="s">
        <v>191</v>
      </c>
      <c r="J329" s="6" t="n">
        <f aca="false">SUMIFS(Kits!$C$5:$C$163,Kits!$A$5:$A$163,$D329,Kits!$B$5:$B$163,$E329)</f>
        <v>2</v>
      </c>
      <c r="K329" s="6" t="n">
        <f aca="false">INDEX(Services!$F$5:$F$85,MATCH($A329,Services!$A$5:$A$85,0))</f>
        <v>1</v>
      </c>
      <c r="L329" s="6" t="n">
        <f aca="false">IF($H329="Auto-deduct",IF($G329="Countable",ROUNDUP($J329*IF($I329="Y",$K329,1),0),ROUND($J329*IF($I329="Y",$K329,1),1)),$J329)</f>
        <v>2</v>
      </c>
      <c r="M329" s="6" t="str">
        <f aca="false">INDEX(Items!$E$5:$E$62,MATCH($E329,Items!$A$5:$A$62,0))</f>
        <v>pc</v>
      </c>
      <c r="N329" s="6" t="n">
        <f aca="false">ROUND($L329/INDEX(Items!$F$5:$F$62,MATCH($E329,Items!$A$5:$A$62,0)),4)</f>
        <v>2</v>
      </c>
      <c r="O329" s="6"/>
    </row>
    <row r="330" customFormat="false" ht="15" hidden="false" customHeight="false" outlineLevel="0" collapsed="false">
      <c r="A330" s="6" t="n">
        <v>36</v>
      </c>
      <c r="B330" s="6" t="s">
        <v>283</v>
      </c>
      <c r="C330" s="6" t="s">
        <v>324</v>
      </c>
      <c r="D330" s="6" t="s">
        <v>241</v>
      </c>
      <c r="E330" s="6" t="s">
        <v>39</v>
      </c>
      <c r="F330" s="6" t="str">
        <f aca="false">INDEX(Items!$B$5:$B$62,MATCH($E330,Items!$A$5:$A$62,0))</f>
        <v>MEDICAL / INJECTION SUPPLIES</v>
      </c>
      <c r="G330" s="6" t="str">
        <f aca="false">INDEX(Items!$C$5:$C$62,MATCH($E330,Items!$A$5:$A$62,0))</f>
        <v>Countable</v>
      </c>
      <c r="H330" s="6" t="s">
        <v>161</v>
      </c>
      <c r="I330" s="6" t="s">
        <v>191</v>
      </c>
      <c r="J330" s="6" t="n">
        <f aca="false">SUMIFS(Kits!$C$5:$C$163,Kits!$A$5:$A$163,$D330,Kits!$B$5:$B$163,$E330)</f>
        <v>2</v>
      </c>
      <c r="K330" s="6" t="n">
        <f aca="false">INDEX(Services!$F$5:$F$85,MATCH($A330,Services!$A$5:$A$85,0))</f>
        <v>1</v>
      </c>
      <c r="L330" s="6" t="n">
        <f aca="false">IF($H330="Auto-deduct",IF($G330="Countable",ROUNDUP($J330*IF($I330="Y",$K330,1),0),ROUND($J330*IF($I330="Y",$K330,1),1)),$J330)</f>
        <v>2</v>
      </c>
      <c r="M330" s="6" t="str">
        <f aca="false">INDEX(Items!$E$5:$E$62,MATCH($E330,Items!$A$5:$A$62,0))</f>
        <v>pc</v>
      </c>
      <c r="N330" s="6" t="n">
        <f aca="false">ROUND($L330/INDEX(Items!$F$5:$F$62,MATCH($E330,Items!$A$5:$A$62,0)),4)</f>
        <v>2</v>
      </c>
      <c r="O330" s="6"/>
    </row>
    <row r="331" customFormat="false" ht="15" hidden="false" customHeight="false" outlineLevel="0" collapsed="false">
      <c r="A331" s="6" t="n">
        <v>36</v>
      </c>
      <c r="B331" s="6" t="s">
        <v>283</v>
      </c>
      <c r="C331" s="6" t="s">
        <v>324</v>
      </c>
      <c r="D331" s="6" t="s">
        <v>241</v>
      </c>
      <c r="E331" s="6" t="s">
        <v>37</v>
      </c>
      <c r="F331" s="6" t="str">
        <f aca="false">INDEX(Items!$B$5:$B$62,MATCH($E331,Items!$A$5:$A$62,0))</f>
        <v>MEDICAL / INJECTION SUPPLIES</v>
      </c>
      <c r="G331" s="6" t="str">
        <f aca="false">INDEX(Items!$C$5:$C$62,MATCH($E331,Items!$A$5:$A$62,0))</f>
        <v>Countable</v>
      </c>
      <c r="H331" s="6" t="s">
        <v>161</v>
      </c>
      <c r="I331" s="6" t="s">
        <v>191</v>
      </c>
      <c r="J331" s="6" t="n">
        <f aca="false">SUMIFS(Kits!$C$5:$C$163,Kits!$A$5:$A$163,$D331,Kits!$B$5:$B$163,$E331)</f>
        <v>2</v>
      </c>
      <c r="K331" s="6" t="n">
        <f aca="false">INDEX(Services!$F$5:$F$85,MATCH($A331,Services!$A$5:$A$85,0))</f>
        <v>1</v>
      </c>
      <c r="L331" s="6" t="n">
        <f aca="false">IF($H331="Auto-deduct",IF($G331="Countable",ROUNDUP($J331*IF($I331="Y",$K331,1),0),ROUND($J331*IF($I331="Y",$K331,1),1)),$J331)</f>
        <v>2</v>
      </c>
      <c r="M331" s="6" t="str">
        <f aca="false">INDEX(Items!$E$5:$E$62,MATCH($E331,Items!$A$5:$A$62,0))</f>
        <v>pc</v>
      </c>
      <c r="N331" s="6" t="n">
        <f aca="false">ROUND($L331/INDEX(Items!$F$5:$F$62,MATCH($E331,Items!$A$5:$A$62,0)),4)</f>
        <v>2</v>
      </c>
      <c r="O331" s="6"/>
    </row>
    <row r="332" customFormat="false" ht="15" hidden="false" customHeight="false" outlineLevel="0" collapsed="false">
      <c r="A332" s="6" t="n">
        <v>36</v>
      </c>
      <c r="B332" s="6" t="s">
        <v>283</v>
      </c>
      <c r="C332" s="6" t="s">
        <v>324</v>
      </c>
      <c r="D332" s="6" t="s">
        <v>241</v>
      </c>
      <c r="E332" s="6" t="s">
        <v>84</v>
      </c>
      <c r="F332" s="6" t="str">
        <f aca="false">INDEX(Items!$B$5:$B$62,MATCH($E332,Items!$A$5:$A$62,0))</f>
        <v>DISPOSABLES &amp; CLINIC CONSUMABLES</v>
      </c>
      <c r="G332" s="6" t="str">
        <f aca="false">INDEX(Items!$C$5:$C$62,MATCH($E332,Items!$A$5:$A$62,0))</f>
        <v>Countable</v>
      </c>
      <c r="H332" s="6" t="s">
        <v>161</v>
      </c>
      <c r="I332" s="6" t="s">
        <v>191</v>
      </c>
      <c r="J332" s="6" t="n">
        <f aca="false">SUMIFS(Kits!$C$5:$C$163,Kits!$A$5:$A$163,$D332,Kits!$B$5:$B$163,$E332)</f>
        <v>3</v>
      </c>
      <c r="K332" s="6" t="n">
        <f aca="false">INDEX(Services!$F$5:$F$85,MATCH($A332,Services!$A$5:$A$85,0))</f>
        <v>1</v>
      </c>
      <c r="L332" s="6" t="n">
        <f aca="false">IF($H332="Auto-deduct",IF($G332="Countable",ROUNDUP($J332*IF($I332="Y",$K332,1),0),ROUND($J332*IF($I332="Y",$K332,1),1)),$J332)</f>
        <v>3</v>
      </c>
      <c r="M332" s="6" t="str">
        <f aca="false">INDEX(Items!$E$5:$E$62,MATCH($E332,Items!$A$5:$A$62,0))</f>
        <v>pc</v>
      </c>
      <c r="N332" s="6" t="n">
        <f aca="false">ROUND($L332/INDEX(Items!$F$5:$F$62,MATCH($E332,Items!$A$5:$A$62,0)),4)</f>
        <v>3</v>
      </c>
      <c r="O332" s="6"/>
    </row>
    <row r="333" customFormat="false" ht="15" hidden="false" customHeight="false" outlineLevel="0" collapsed="false">
      <c r="A333" s="6" t="n">
        <v>36</v>
      </c>
      <c r="B333" s="6" t="s">
        <v>283</v>
      </c>
      <c r="C333" s="6" t="s">
        <v>324</v>
      </c>
      <c r="D333" s="6" t="s">
        <v>241</v>
      </c>
      <c r="E333" s="6" t="s">
        <v>44</v>
      </c>
      <c r="F333" s="6" t="str">
        <f aca="false">INDEX(Items!$B$5:$B$62,MATCH($E333,Items!$A$5:$A$62,0))</f>
        <v>MEDICAL / INJECTION SUPPLIES</v>
      </c>
      <c r="G333" s="6" t="str">
        <f aca="false">INDEX(Items!$C$5:$C$62,MATCH($E333,Items!$A$5:$A$62,0))</f>
        <v>Countable</v>
      </c>
      <c r="H333" s="6" t="s">
        <v>161</v>
      </c>
      <c r="I333" s="6" t="s">
        <v>160</v>
      </c>
      <c r="J333" s="6" t="n">
        <f aca="false">SUMIFS(Kits!$C$5:$C$163,Kits!$A$5:$A$163,$D333,Kits!$B$5:$B$163,$E333)</f>
        <v>1</v>
      </c>
      <c r="K333" s="6" t="n">
        <f aca="false">INDEX(Services!$F$5:$F$85,MATCH($A333,Services!$A$5:$A$85,0))</f>
        <v>1</v>
      </c>
      <c r="L333" s="6" t="n">
        <f aca="false">IF($H333="Auto-deduct",IF($G333="Countable",ROUNDUP($J333*IF($I333="Y",$K333,1),0),ROUND($J333*IF($I333="Y",$K333,1),1)),$J333)</f>
        <v>1</v>
      </c>
      <c r="M333" s="6" t="str">
        <f aca="false">INDEX(Items!$E$5:$E$62,MATCH($E333,Items!$A$5:$A$62,0))</f>
        <v>pc</v>
      </c>
      <c r="N333" s="6" t="n">
        <f aca="false">ROUND($L333/INDEX(Items!$F$5:$F$62,MATCH($E333,Items!$A$5:$A$62,0)),4)</f>
        <v>1</v>
      </c>
      <c r="O333" s="6"/>
    </row>
    <row r="334" customFormat="false" ht="15" hidden="false" customHeight="false" outlineLevel="0" collapsed="false">
      <c r="A334" s="6" t="n">
        <v>36</v>
      </c>
      <c r="B334" s="6" t="s">
        <v>283</v>
      </c>
      <c r="C334" s="6" t="s">
        <v>324</v>
      </c>
      <c r="D334" s="6" t="s">
        <v>241</v>
      </c>
      <c r="E334" s="6" t="s">
        <v>150</v>
      </c>
      <c r="F334" s="6" t="str">
        <f aca="false">INDEX(Items!$B$5:$B$62,MATCH($E334,Items!$A$5:$A$62,0))</f>
        <v>TOOLS / EQUIPMENT / MISC</v>
      </c>
      <c r="G334" s="6" t="str">
        <f aca="false">INDEX(Items!$C$5:$C$62,MATCH($E334,Items!$A$5:$A$62,0))</f>
        <v>Bulk</v>
      </c>
      <c r="H334" s="6" t="s">
        <v>161</v>
      </c>
      <c r="I334" s="6" t="s">
        <v>191</v>
      </c>
      <c r="J334" s="6" t="n">
        <f aca="false">SUMIFS(Kits!$C$5:$C$163,Kits!$A$5:$A$163,$D334,Kits!$B$5:$B$163,$E334)</f>
        <v>3</v>
      </c>
      <c r="K334" s="6" t="n">
        <f aca="false">INDEX(Services!$F$5:$F$85,MATCH($A334,Services!$A$5:$A$85,0))</f>
        <v>1</v>
      </c>
      <c r="L334" s="6" t="n">
        <f aca="false">IF($H334="Auto-deduct",IF($G334="Countable",ROUNDUP($J334*IF($I334="Y",$K334,1),0),ROUND($J334*IF($I334="Y",$K334,1),1)),$J334)</f>
        <v>3</v>
      </c>
      <c r="M334" s="6" t="str">
        <f aca="false">INDEX(Items!$E$5:$E$62,MATCH($E334,Items!$A$5:$A$62,0))</f>
        <v>g</v>
      </c>
      <c r="N334" s="6" t="n">
        <f aca="false">ROUND($L334/INDEX(Items!$F$5:$F$62,MATCH($E334,Items!$A$5:$A$62,0)),4)</f>
        <v>0.1</v>
      </c>
      <c r="O334" s="6"/>
    </row>
    <row r="335" customFormat="false" ht="15" hidden="false" customHeight="false" outlineLevel="0" collapsed="false">
      <c r="A335" s="6" t="n">
        <v>36</v>
      </c>
      <c r="B335" s="6" t="s">
        <v>283</v>
      </c>
      <c r="C335" s="6" t="s">
        <v>324</v>
      </c>
      <c r="D335" s="6" t="s">
        <v>241</v>
      </c>
      <c r="E335" s="6" t="s">
        <v>79</v>
      </c>
      <c r="F335" s="6" t="str">
        <f aca="false">INDEX(Items!$B$5:$B$62,MATCH($E335,Items!$A$5:$A$62,0))</f>
        <v>DISPOSABLES &amp; CLINIC CONSUMABLES</v>
      </c>
      <c r="G335" s="6" t="str">
        <f aca="false">INDEX(Items!$C$5:$C$62,MATCH($E335,Items!$A$5:$A$62,0))</f>
        <v>Bulk</v>
      </c>
      <c r="H335" s="6" t="s">
        <v>161</v>
      </c>
      <c r="I335" s="6" t="s">
        <v>191</v>
      </c>
      <c r="J335" s="6" t="n">
        <f aca="false">SUMIFS(Kits!$C$5:$C$163,Kits!$A$5:$A$163,$D335,Kits!$B$5:$B$163,$E335)</f>
        <v>20</v>
      </c>
      <c r="K335" s="6" t="n">
        <f aca="false">INDEX(Services!$F$5:$F$85,MATCH($A335,Services!$A$5:$A$85,0))</f>
        <v>1</v>
      </c>
      <c r="L335" s="6" t="n">
        <f aca="false">IF($H335="Auto-deduct",IF($G335="Countable",ROUNDUP($J335*IF($I335="Y",$K335,1),0),ROUND($J335*IF($I335="Y",$K335,1),1)),$J335)</f>
        <v>20</v>
      </c>
      <c r="M335" s="6" t="str">
        <f aca="false">INDEX(Items!$E$5:$E$62,MATCH($E335,Items!$A$5:$A$62,0))</f>
        <v>cm</v>
      </c>
      <c r="N335" s="6" t="n">
        <f aca="false">ROUND($L335/INDEX(Items!$F$5:$F$62,MATCH($E335,Items!$A$5:$A$62,0)),4)</f>
        <v>0.0067</v>
      </c>
      <c r="O335" s="6"/>
    </row>
    <row r="336" customFormat="false" ht="15" hidden="false" customHeight="false" outlineLevel="0" collapsed="false">
      <c r="A336" s="6" t="n">
        <v>37</v>
      </c>
      <c r="B336" s="6" t="s">
        <v>326</v>
      </c>
      <c r="C336" s="6" t="s">
        <v>324</v>
      </c>
      <c r="D336" s="6" t="s">
        <v>159</v>
      </c>
      <c r="E336" s="6" t="s">
        <v>52</v>
      </c>
      <c r="F336" s="6" t="str">
        <f aca="false">INDEX(Items!$B$5:$B$62,MATCH($E336,Items!$A$5:$A$62,0))</f>
        <v>DISPOSABLES &amp; CLINIC CONSUMABLES</v>
      </c>
      <c r="G336" s="6" t="str">
        <f aca="false">INDEX(Items!$C$5:$C$62,MATCH($E336,Items!$A$5:$A$62,0))</f>
        <v>Countable</v>
      </c>
      <c r="H336" s="6" t="s">
        <v>161</v>
      </c>
      <c r="I336" s="6" t="s">
        <v>160</v>
      </c>
      <c r="J336" s="6" t="n">
        <f aca="false">SUMIFS(Kits!$C$5:$C$163,Kits!$A$5:$A$163,$D336,Kits!$B$5:$B$163,$E336)</f>
        <v>1</v>
      </c>
      <c r="K336" s="6" t="n">
        <f aca="false">INDEX(Services!$F$5:$F$85,MATCH($A336,Services!$A$5:$A$85,0))</f>
        <v>1</v>
      </c>
      <c r="L336" s="6" t="n">
        <f aca="false">IF($H336="Auto-deduct",IF($G336="Countable",ROUNDUP($J336*IF($I336="Y",$K336,1),0),ROUND($J336*IF($I336="Y",$K336,1),1)),$J336)</f>
        <v>1</v>
      </c>
      <c r="M336" s="6" t="str">
        <f aca="false">INDEX(Items!$E$5:$E$62,MATCH($E336,Items!$A$5:$A$62,0))</f>
        <v>pc</v>
      </c>
      <c r="N336" s="6" t="n">
        <f aca="false">ROUND($L336/INDEX(Items!$F$5:$F$62,MATCH($E336,Items!$A$5:$A$62,0)),4)</f>
        <v>1</v>
      </c>
      <c r="O336" s="6"/>
    </row>
    <row r="337" customFormat="false" ht="15" hidden="false" customHeight="false" outlineLevel="0" collapsed="false">
      <c r="A337" s="6" t="n">
        <v>37</v>
      </c>
      <c r="B337" s="6" t="s">
        <v>326</v>
      </c>
      <c r="C337" s="6" t="s">
        <v>324</v>
      </c>
      <c r="D337" s="6" t="s">
        <v>159</v>
      </c>
      <c r="E337" s="6" t="s">
        <v>53</v>
      </c>
      <c r="F337" s="6" t="str">
        <f aca="false">INDEX(Items!$B$5:$B$62,MATCH($E337,Items!$A$5:$A$62,0))</f>
        <v>DISPOSABLES &amp; CLINIC CONSUMABLES</v>
      </c>
      <c r="G337" s="6" t="str">
        <f aca="false">INDEX(Items!$C$5:$C$62,MATCH($E337,Items!$A$5:$A$62,0))</f>
        <v>Countable</v>
      </c>
      <c r="H337" s="6" t="s">
        <v>161</v>
      </c>
      <c r="I337" s="6" t="s">
        <v>160</v>
      </c>
      <c r="J337" s="6" t="n">
        <f aca="false">SUMIFS(Kits!$C$5:$C$163,Kits!$A$5:$A$163,$D337,Kits!$B$5:$B$163,$E337)</f>
        <v>1</v>
      </c>
      <c r="K337" s="6" t="n">
        <f aca="false">INDEX(Services!$F$5:$F$85,MATCH($A337,Services!$A$5:$A$85,0))</f>
        <v>1</v>
      </c>
      <c r="L337" s="6" t="n">
        <f aca="false">IF($H337="Auto-deduct",IF($G337="Countable",ROUNDUP($J337*IF($I337="Y",$K337,1),0),ROUND($J337*IF($I337="Y",$K337,1),1)),$J337)</f>
        <v>1</v>
      </c>
      <c r="M337" s="6" t="str">
        <f aca="false">INDEX(Items!$E$5:$E$62,MATCH($E337,Items!$A$5:$A$62,0))</f>
        <v>pair</v>
      </c>
      <c r="N337" s="6" t="n">
        <f aca="false">ROUND($L337/INDEX(Items!$F$5:$F$62,MATCH($E337,Items!$A$5:$A$62,0)),4)</f>
        <v>1</v>
      </c>
      <c r="O337" s="6"/>
    </row>
    <row r="338" customFormat="false" ht="15" hidden="false" customHeight="false" outlineLevel="0" collapsed="false">
      <c r="A338" s="6" t="n">
        <v>37</v>
      </c>
      <c r="B338" s="6" t="s">
        <v>326</v>
      </c>
      <c r="C338" s="6" t="s">
        <v>324</v>
      </c>
      <c r="D338" s="6" t="s">
        <v>159</v>
      </c>
      <c r="E338" s="6" t="s">
        <v>88</v>
      </c>
      <c r="F338" s="6" t="str">
        <f aca="false">INDEX(Items!$B$5:$B$62,MATCH($E338,Items!$A$5:$A$62,0))</f>
        <v>DISPOSABLES &amp; CLINIC CONSUMABLES</v>
      </c>
      <c r="G338" s="6" t="str">
        <f aca="false">INDEX(Items!$C$5:$C$62,MATCH($E338,Items!$A$5:$A$62,0))</f>
        <v>Bulk</v>
      </c>
      <c r="H338" s="6" t="s">
        <v>161</v>
      </c>
      <c r="I338" s="6" t="s">
        <v>160</v>
      </c>
      <c r="J338" s="6" t="n">
        <f aca="false">SUMIFS(Kits!$C$5:$C$163,Kits!$A$5:$A$163,$D338,Kits!$B$5:$B$163,$E338)</f>
        <v>5</v>
      </c>
      <c r="K338" s="6" t="n">
        <f aca="false">INDEX(Services!$F$5:$F$85,MATCH($A338,Services!$A$5:$A$85,0))</f>
        <v>1</v>
      </c>
      <c r="L338" s="6" t="n">
        <f aca="false">IF($H338="Auto-deduct",IF($G338="Countable",ROUNDUP($J338*IF($I338="Y",$K338,1),0),ROUND($J338*IF($I338="Y",$K338,1),1)),$J338)</f>
        <v>5</v>
      </c>
      <c r="M338" s="6" t="str">
        <f aca="false">INDEX(Items!$E$5:$E$62,MATCH($E338,Items!$A$5:$A$62,0))</f>
        <v>mL</v>
      </c>
      <c r="N338" s="6" t="n">
        <f aca="false">ROUND($L338/INDEX(Items!$F$5:$F$62,MATCH($E338,Items!$A$5:$A$62,0)),4)</f>
        <v>0.01</v>
      </c>
      <c r="O338" s="6"/>
    </row>
    <row r="339" customFormat="false" ht="15" hidden="false" customHeight="false" outlineLevel="0" collapsed="false">
      <c r="A339" s="6" t="n">
        <v>37</v>
      </c>
      <c r="B339" s="6" t="s">
        <v>326</v>
      </c>
      <c r="C339" s="6" t="s">
        <v>324</v>
      </c>
      <c r="D339" s="6" t="s">
        <v>165</v>
      </c>
      <c r="E339" s="6" t="s">
        <v>50</v>
      </c>
      <c r="F339" s="6" t="str">
        <f aca="false">INDEX(Items!$B$5:$B$62,MATCH($E339,Items!$A$5:$A$62,0))</f>
        <v>DISPOSABLES &amp; CLINIC CONSUMABLES</v>
      </c>
      <c r="G339" s="6" t="str">
        <f aca="false">INDEX(Items!$C$5:$C$62,MATCH($E339,Items!$A$5:$A$62,0))</f>
        <v>Countable</v>
      </c>
      <c r="H339" s="6" t="s">
        <v>161</v>
      </c>
      <c r="I339" s="6" t="s">
        <v>160</v>
      </c>
      <c r="J339" s="6" t="n">
        <f aca="false">SUMIFS(Kits!$C$5:$C$163,Kits!$A$5:$A$163,$D339,Kits!$B$5:$B$163,$E339)</f>
        <v>1</v>
      </c>
      <c r="K339" s="6" t="n">
        <f aca="false">INDEX(Services!$F$5:$F$85,MATCH($A339,Services!$A$5:$A$85,0))</f>
        <v>1</v>
      </c>
      <c r="L339" s="6" t="n">
        <f aca="false">IF($H339="Auto-deduct",IF($G339="Countable",ROUNDUP($J339*IF($I339="Y",$K339,1),0),ROUND($J339*IF($I339="Y",$K339,1),1)),$J339)</f>
        <v>1</v>
      </c>
      <c r="M339" s="6" t="str">
        <f aca="false">INDEX(Items!$E$5:$E$62,MATCH($E339,Items!$A$5:$A$62,0))</f>
        <v>pc</v>
      </c>
      <c r="N339" s="6" t="n">
        <f aca="false">ROUND($L339/INDEX(Items!$F$5:$F$62,MATCH($E339,Items!$A$5:$A$62,0)),4)</f>
        <v>1</v>
      </c>
      <c r="O339" s="6"/>
    </row>
    <row r="340" customFormat="false" ht="15" hidden="false" customHeight="false" outlineLevel="0" collapsed="false">
      <c r="A340" s="6" t="n">
        <v>37</v>
      </c>
      <c r="B340" s="6" t="s">
        <v>326</v>
      </c>
      <c r="C340" s="6" t="s">
        <v>324</v>
      </c>
      <c r="D340" s="6" t="s">
        <v>165</v>
      </c>
      <c r="E340" s="6" t="s">
        <v>98</v>
      </c>
      <c r="F340" s="6" t="str">
        <f aca="false">INDEX(Items!$B$5:$B$62,MATCH($E340,Items!$A$5:$A$62,0))</f>
        <v>FACIAL / TREATMENT PREP PRODUCTS</v>
      </c>
      <c r="G340" s="6" t="str">
        <f aca="false">INDEX(Items!$C$5:$C$62,MATCH($E340,Items!$A$5:$A$62,0))</f>
        <v>Bulk</v>
      </c>
      <c r="H340" s="6" t="s">
        <v>161</v>
      </c>
      <c r="I340" s="6" t="s">
        <v>160</v>
      </c>
      <c r="J340" s="6" t="n">
        <f aca="false">SUMIFS(Kits!$C$5:$C$163,Kits!$A$5:$A$163,$D340,Kits!$B$5:$B$163,$E340)</f>
        <v>5</v>
      </c>
      <c r="K340" s="6" t="n">
        <f aca="false">INDEX(Services!$F$5:$F$85,MATCH($A340,Services!$A$5:$A$85,0))</f>
        <v>1</v>
      </c>
      <c r="L340" s="6" t="n">
        <f aca="false">IF($H340="Auto-deduct",IF($G340="Countable",ROUNDUP($J340*IF($I340="Y",$K340,1),0),ROUND($J340*IF($I340="Y",$K340,1),1)),$J340)</f>
        <v>5</v>
      </c>
      <c r="M340" s="6" t="str">
        <f aca="false">INDEX(Items!$E$5:$E$62,MATCH($E340,Items!$A$5:$A$62,0))</f>
        <v>mL</v>
      </c>
      <c r="N340" s="6" t="n">
        <f aca="false">ROUND($L340/INDEX(Items!$F$5:$F$62,MATCH($E340,Items!$A$5:$A$62,0)),4)</f>
        <v>0.01</v>
      </c>
      <c r="O340" s="6"/>
    </row>
    <row r="341" customFormat="false" ht="15" hidden="false" customHeight="false" outlineLevel="0" collapsed="false">
      <c r="A341" s="6" t="n">
        <v>37</v>
      </c>
      <c r="B341" s="6" t="s">
        <v>326</v>
      </c>
      <c r="C341" s="6" t="s">
        <v>324</v>
      </c>
      <c r="D341" s="6" t="s">
        <v>165</v>
      </c>
      <c r="E341" s="6" t="s">
        <v>92</v>
      </c>
      <c r="F341" s="6" t="str">
        <f aca="false">INDEX(Items!$B$5:$B$62,MATCH($E341,Items!$A$5:$A$62,0))</f>
        <v>FACIAL / TREATMENT PREP PRODUCTS</v>
      </c>
      <c r="G341" s="6" t="str">
        <f aca="false">INDEX(Items!$C$5:$C$62,MATCH($E341,Items!$A$5:$A$62,0))</f>
        <v>Bulk</v>
      </c>
      <c r="H341" s="6" t="s">
        <v>161</v>
      </c>
      <c r="I341" s="6" t="s">
        <v>160</v>
      </c>
      <c r="J341" s="6" t="n">
        <f aca="false">SUMIFS(Kits!$C$5:$C$163,Kits!$A$5:$A$163,$D341,Kits!$B$5:$B$163,$E341)</f>
        <v>10</v>
      </c>
      <c r="K341" s="6" t="n">
        <f aca="false">INDEX(Services!$F$5:$F$85,MATCH($A341,Services!$A$5:$A$85,0))</f>
        <v>1</v>
      </c>
      <c r="L341" s="6" t="n">
        <f aca="false">IF($H341="Auto-deduct",IF($G341="Countable",ROUNDUP($J341*IF($I341="Y",$K341,1),0),ROUND($J341*IF($I341="Y",$K341,1),1)),$J341)</f>
        <v>10</v>
      </c>
      <c r="M341" s="6" t="str">
        <f aca="false">INDEX(Items!$E$5:$E$62,MATCH($E341,Items!$A$5:$A$62,0))</f>
        <v>mL</v>
      </c>
      <c r="N341" s="6" t="n">
        <f aca="false">ROUND($L341/INDEX(Items!$F$5:$F$62,MATCH($E341,Items!$A$5:$A$62,0)),4)</f>
        <v>0.02</v>
      </c>
      <c r="O341" s="6"/>
    </row>
    <row r="342" customFormat="false" ht="15" hidden="false" customHeight="false" outlineLevel="0" collapsed="false">
      <c r="A342" s="6" t="n">
        <v>37</v>
      </c>
      <c r="B342" s="6" t="s">
        <v>326</v>
      </c>
      <c r="C342" s="6" t="s">
        <v>324</v>
      </c>
      <c r="D342" s="6" t="s">
        <v>165</v>
      </c>
      <c r="E342" s="6" t="s">
        <v>69</v>
      </c>
      <c r="F342" s="6" t="str">
        <f aca="false">INDEX(Items!$B$5:$B$62,MATCH($E342,Items!$A$5:$A$62,0))</f>
        <v>DISPOSABLES &amp; CLINIC CONSUMABLES</v>
      </c>
      <c r="G342" s="6" t="str">
        <f aca="false">INDEX(Items!$C$5:$C$62,MATCH($E342,Items!$A$5:$A$62,0))</f>
        <v>Bulk</v>
      </c>
      <c r="H342" s="6" t="s">
        <v>161</v>
      </c>
      <c r="I342" s="6" t="s">
        <v>160</v>
      </c>
      <c r="J342" s="6" t="n">
        <f aca="false">SUMIFS(Kits!$C$5:$C$163,Kits!$A$5:$A$163,$D342,Kits!$B$5:$B$163,$E342)</f>
        <v>5</v>
      </c>
      <c r="K342" s="6" t="n">
        <f aca="false">INDEX(Services!$F$5:$F$85,MATCH($A342,Services!$A$5:$A$85,0))</f>
        <v>1</v>
      </c>
      <c r="L342" s="6" t="n">
        <f aca="false">IF($H342="Auto-deduct",IF($G342="Countable",ROUNDUP($J342*IF($I342="Y",$K342,1),0),ROUND($J342*IF($I342="Y",$K342,1),1)),$J342)</f>
        <v>5</v>
      </c>
      <c r="M342" s="6" t="str">
        <f aca="false">INDEX(Items!$E$5:$E$62,MATCH($E342,Items!$A$5:$A$62,0))</f>
        <v>g</v>
      </c>
      <c r="N342" s="6" t="n">
        <f aca="false">ROUND($L342/INDEX(Items!$F$5:$F$62,MATCH($E342,Items!$A$5:$A$62,0)),4)</f>
        <v>0.0125</v>
      </c>
      <c r="O342" s="6"/>
    </row>
    <row r="343" customFormat="false" ht="15" hidden="false" customHeight="false" outlineLevel="0" collapsed="false">
      <c r="A343" s="6" t="n">
        <v>37</v>
      </c>
      <c r="B343" s="6" t="s">
        <v>326</v>
      </c>
      <c r="C343" s="6" t="s">
        <v>324</v>
      </c>
      <c r="D343" s="6" t="s">
        <v>165</v>
      </c>
      <c r="E343" s="6" t="s">
        <v>58</v>
      </c>
      <c r="F343" s="6" t="str">
        <f aca="false">INDEX(Items!$B$5:$B$62,MATCH($E343,Items!$A$5:$A$62,0))</f>
        <v>DISPOSABLES &amp; CLINIC CONSUMABLES</v>
      </c>
      <c r="G343" s="6" t="str">
        <f aca="false">INDEX(Items!$C$5:$C$62,MATCH($E343,Items!$A$5:$A$62,0))</f>
        <v>Bulk</v>
      </c>
      <c r="H343" s="6" t="s">
        <v>161</v>
      </c>
      <c r="I343" s="6" t="s">
        <v>160</v>
      </c>
      <c r="J343" s="6" t="n">
        <f aca="false">SUMIFS(Kits!$C$5:$C$163,Kits!$A$5:$A$163,$D343,Kits!$B$5:$B$163,$E343)</f>
        <v>6</v>
      </c>
      <c r="K343" s="6" t="n">
        <f aca="false">INDEX(Services!$F$5:$F$85,MATCH($A343,Services!$A$5:$A$85,0))</f>
        <v>1</v>
      </c>
      <c r="L343" s="6" t="n">
        <f aca="false">IF($H343="Auto-deduct",IF($G343="Countable",ROUNDUP($J343*IF($I343="Y",$K343,1),0),ROUND($J343*IF($I343="Y",$K343,1),1)),$J343)</f>
        <v>6</v>
      </c>
      <c r="M343" s="6" t="str">
        <f aca="false">INDEX(Items!$E$5:$E$62,MATCH($E343,Items!$A$5:$A$62,0))</f>
        <v>sheet</v>
      </c>
      <c r="N343" s="6" t="n">
        <f aca="false">ROUND($L343/INDEX(Items!$F$5:$F$62,MATCH($E343,Items!$A$5:$A$62,0)),4)</f>
        <v>0.03</v>
      </c>
      <c r="O343" s="6"/>
    </row>
    <row r="344" customFormat="false" ht="15" hidden="false" customHeight="false" outlineLevel="0" collapsed="false">
      <c r="A344" s="6" t="n">
        <v>37</v>
      </c>
      <c r="B344" s="6" t="s">
        <v>326</v>
      </c>
      <c r="C344" s="6" t="s">
        <v>324</v>
      </c>
      <c r="D344" s="6" t="s">
        <v>241</v>
      </c>
      <c r="E344" s="6" t="s">
        <v>34</v>
      </c>
      <c r="F344" s="6" t="str">
        <f aca="false">INDEX(Items!$B$5:$B$62,MATCH($E344,Items!$A$5:$A$62,0))</f>
        <v>MEDICAL / INJECTION SUPPLIES</v>
      </c>
      <c r="G344" s="6" t="str">
        <f aca="false">INDEX(Items!$C$5:$C$62,MATCH($E344,Items!$A$5:$A$62,0))</f>
        <v>Countable</v>
      </c>
      <c r="H344" s="6" t="s">
        <v>161</v>
      </c>
      <c r="I344" s="6" t="s">
        <v>191</v>
      </c>
      <c r="J344" s="6" t="n">
        <f aca="false">SUMIFS(Kits!$C$5:$C$163,Kits!$A$5:$A$163,$D344,Kits!$B$5:$B$163,$E344)</f>
        <v>2</v>
      </c>
      <c r="K344" s="6" t="n">
        <f aca="false">INDEX(Services!$F$5:$F$85,MATCH($A344,Services!$A$5:$A$85,0))</f>
        <v>1</v>
      </c>
      <c r="L344" s="6" t="n">
        <f aca="false">IF($H344="Auto-deduct",IF($G344="Countable",ROUNDUP($J344*IF($I344="Y",$K344,1),0),ROUND($J344*IF($I344="Y",$K344,1),1)),$J344)</f>
        <v>2</v>
      </c>
      <c r="M344" s="6" t="str">
        <f aca="false">INDEX(Items!$E$5:$E$62,MATCH($E344,Items!$A$5:$A$62,0))</f>
        <v>pc</v>
      </c>
      <c r="N344" s="6" t="n">
        <f aca="false">ROUND($L344/INDEX(Items!$F$5:$F$62,MATCH($E344,Items!$A$5:$A$62,0)),4)</f>
        <v>2</v>
      </c>
      <c r="O344" s="6"/>
    </row>
    <row r="345" customFormat="false" ht="15" hidden="false" customHeight="false" outlineLevel="0" collapsed="false">
      <c r="A345" s="6" t="n">
        <v>37</v>
      </c>
      <c r="B345" s="6" t="s">
        <v>326</v>
      </c>
      <c r="C345" s="6" t="s">
        <v>324</v>
      </c>
      <c r="D345" s="6" t="s">
        <v>241</v>
      </c>
      <c r="E345" s="6" t="s">
        <v>39</v>
      </c>
      <c r="F345" s="6" t="str">
        <f aca="false">INDEX(Items!$B$5:$B$62,MATCH($E345,Items!$A$5:$A$62,0))</f>
        <v>MEDICAL / INJECTION SUPPLIES</v>
      </c>
      <c r="G345" s="6" t="str">
        <f aca="false">INDEX(Items!$C$5:$C$62,MATCH($E345,Items!$A$5:$A$62,0))</f>
        <v>Countable</v>
      </c>
      <c r="H345" s="6" t="s">
        <v>161</v>
      </c>
      <c r="I345" s="6" t="s">
        <v>191</v>
      </c>
      <c r="J345" s="6" t="n">
        <f aca="false">SUMIFS(Kits!$C$5:$C$163,Kits!$A$5:$A$163,$D345,Kits!$B$5:$B$163,$E345)</f>
        <v>2</v>
      </c>
      <c r="K345" s="6" t="n">
        <f aca="false">INDEX(Services!$F$5:$F$85,MATCH($A345,Services!$A$5:$A$85,0))</f>
        <v>1</v>
      </c>
      <c r="L345" s="6" t="n">
        <f aca="false">IF($H345="Auto-deduct",IF($G345="Countable",ROUNDUP($J345*IF($I345="Y",$K345,1),0),ROUND($J345*IF($I345="Y",$K345,1),1)),$J345)</f>
        <v>2</v>
      </c>
      <c r="M345" s="6" t="str">
        <f aca="false">INDEX(Items!$E$5:$E$62,MATCH($E345,Items!$A$5:$A$62,0))</f>
        <v>pc</v>
      </c>
      <c r="N345" s="6" t="n">
        <f aca="false">ROUND($L345/INDEX(Items!$F$5:$F$62,MATCH($E345,Items!$A$5:$A$62,0)),4)</f>
        <v>2</v>
      </c>
      <c r="O345" s="6"/>
    </row>
    <row r="346" customFormat="false" ht="15" hidden="false" customHeight="false" outlineLevel="0" collapsed="false">
      <c r="A346" s="6" t="n">
        <v>37</v>
      </c>
      <c r="B346" s="6" t="s">
        <v>326</v>
      </c>
      <c r="C346" s="6" t="s">
        <v>324</v>
      </c>
      <c r="D346" s="6" t="s">
        <v>241</v>
      </c>
      <c r="E346" s="6" t="s">
        <v>37</v>
      </c>
      <c r="F346" s="6" t="str">
        <f aca="false">INDEX(Items!$B$5:$B$62,MATCH($E346,Items!$A$5:$A$62,0))</f>
        <v>MEDICAL / INJECTION SUPPLIES</v>
      </c>
      <c r="G346" s="6" t="str">
        <f aca="false">INDEX(Items!$C$5:$C$62,MATCH($E346,Items!$A$5:$A$62,0))</f>
        <v>Countable</v>
      </c>
      <c r="H346" s="6" t="s">
        <v>161</v>
      </c>
      <c r="I346" s="6" t="s">
        <v>191</v>
      </c>
      <c r="J346" s="6" t="n">
        <f aca="false">SUMIFS(Kits!$C$5:$C$163,Kits!$A$5:$A$163,$D346,Kits!$B$5:$B$163,$E346)</f>
        <v>2</v>
      </c>
      <c r="K346" s="6" t="n">
        <f aca="false">INDEX(Services!$F$5:$F$85,MATCH($A346,Services!$A$5:$A$85,0))</f>
        <v>1</v>
      </c>
      <c r="L346" s="6" t="n">
        <f aca="false">IF($H346="Auto-deduct",IF($G346="Countable",ROUNDUP($J346*IF($I346="Y",$K346,1),0),ROUND($J346*IF($I346="Y",$K346,1),1)),$J346)</f>
        <v>2</v>
      </c>
      <c r="M346" s="6" t="str">
        <f aca="false">INDEX(Items!$E$5:$E$62,MATCH($E346,Items!$A$5:$A$62,0))</f>
        <v>pc</v>
      </c>
      <c r="N346" s="6" t="n">
        <f aca="false">ROUND($L346/INDEX(Items!$F$5:$F$62,MATCH($E346,Items!$A$5:$A$62,0)),4)</f>
        <v>2</v>
      </c>
      <c r="O346" s="6"/>
    </row>
    <row r="347" customFormat="false" ht="15" hidden="false" customHeight="false" outlineLevel="0" collapsed="false">
      <c r="A347" s="6" t="n">
        <v>37</v>
      </c>
      <c r="B347" s="6" t="s">
        <v>326</v>
      </c>
      <c r="C347" s="6" t="s">
        <v>324</v>
      </c>
      <c r="D347" s="6" t="s">
        <v>241</v>
      </c>
      <c r="E347" s="6" t="s">
        <v>84</v>
      </c>
      <c r="F347" s="6" t="str">
        <f aca="false">INDEX(Items!$B$5:$B$62,MATCH($E347,Items!$A$5:$A$62,0))</f>
        <v>DISPOSABLES &amp; CLINIC CONSUMABLES</v>
      </c>
      <c r="G347" s="6" t="str">
        <f aca="false">INDEX(Items!$C$5:$C$62,MATCH($E347,Items!$A$5:$A$62,0))</f>
        <v>Countable</v>
      </c>
      <c r="H347" s="6" t="s">
        <v>161</v>
      </c>
      <c r="I347" s="6" t="s">
        <v>191</v>
      </c>
      <c r="J347" s="6" t="n">
        <f aca="false">SUMIFS(Kits!$C$5:$C$163,Kits!$A$5:$A$163,$D347,Kits!$B$5:$B$163,$E347)</f>
        <v>3</v>
      </c>
      <c r="K347" s="6" t="n">
        <f aca="false">INDEX(Services!$F$5:$F$85,MATCH($A347,Services!$A$5:$A$85,0))</f>
        <v>1</v>
      </c>
      <c r="L347" s="6" t="n">
        <f aca="false">IF($H347="Auto-deduct",IF($G347="Countable",ROUNDUP($J347*IF($I347="Y",$K347,1),0),ROUND($J347*IF($I347="Y",$K347,1),1)),$J347)</f>
        <v>3</v>
      </c>
      <c r="M347" s="6" t="str">
        <f aca="false">INDEX(Items!$E$5:$E$62,MATCH($E347,Items!$A$5:$A$62,0))</f>
        <v>pc</v>
      </c>
      <c r="N347" s="6" t="n">
        <f aca="false">ROUND($L347/INDEX(Items!$F$5:$F$62,MATCH($E347,Items!$A$5:$A$62,0)),4)</f>
        <v>3</v>
      </c>
      <c r="O347" s="6"/>
    </row>
    <row r="348" customFormat="false" ht="15" hidden="false" customHeight="false" outlineLevel="0" collapsed="false">
      <c r="A348" s="6" t="n">
        <v>37</v>
      </c>
      <c r="B348" s="6" t="s">
        <v>326</v>
      </c>
      <c r="C348" s="6" t="s">
        <v>324</v>
      </c>
      <c r="D348" s="6" t="s">
        <v>241</v>
      </c>
      <c r="E348" s="6" t="s">
        <v>44</v>
      </c>
      <c r="F348" s="6" t="str">
        <f aca="false">INDEX(Items!$B$5:$B$62,MATCH($E348,Items!$A$5:$A$62,0))</f>
        <v>MEDICAL / INJECTION SUPPLIES</v>
      </c>
      <c r="G348" s="6" t="str">
        <f aca="false">INDEX(Items!$C$5:$C$62,MATCH($E348,Items!$A$5:$A$62,0))</f>
        <v>Countable</v>
      </c>
      <c r="H348" s="6" t="s">
        <v>161</v>
      </c>
      <c r="I348" s="6" t="s">
        <v>160</v>
      </c>
      <c r="J348" s="6" t="n">
        <f aca="false">SUMIFS(Kits!$C$5:$C$163,Kits!$A$5:$A$163,$D348,Kits!$B$5:$B$163,$E348)</f>
        <v>1</v>
      </c>
      <c r="K348" s="6" t="n">
        <f aca="false">INDEX(Services!$F$5:$F$85,MATCH($A348,Services!$A$5:$A$85,0))</f>
        <v>1</v>
      </c>
      <c r="L348" s="6" t="n">
        <f aca="false">IF($H348="Auto-deduct",IF($G348="Countable",ROUNDUP($J348*IF($I348="Y",$K348,1),0),ROUND($J348*IF($I348="Y",$K348,1),1)),$J348)</f>
        <v>1</v>
      </c>
      <c r="M348" s="6" t="str">
        <f aca="false">INDEX(Items!$E$5:$E$62,MATCH($E348,Items!$A$5:$A$62,0))</f>
        <v>pc</v>
      </c>
      <c r="N348" s="6" t="n">
        <f aca="false">ROUND($L348/INDEX(Items!$F$5:$F$62,MATCH($E348,Items!$A$5:$A$62,0)),4)</f>
        <v>1</v>
      </c>
      <c r="O348" s="6"/>
    </row>
    <row r="349" customFormat="false" ht="15" hidden="false" customHeight="false" outlineLevel="0" collapsed="false">
      <c r="A349" s="6" t="n">
        <v>37</v>
      </c>
      <c r="B349" s="6" t="s">
        <v>326</v>
      </c>
      <c r="C349" s="6" t="s">
        <v>324</v>
      </c>
      <c r="D349" s="6" t="s">
        <v>241</v>
      </c>
      <c r="E349" s="6" t="s">
        <v>150</v>
      </c>
      <c r="F349" s="6" t="str">
        <f aca="false">INDEX(Items!$B$5:$B$62,MATCH($E349,Items!$A$5:$A$62,0))</f>
        <v>TOOLS / EQUIPMENT / MISC</v>
      </c>
      <c r="G349" s="6" t="str">
        <f aca="false">INDEX(Items!$C$5:$C$62,MATCH($E349,Items!$A$5:$A$62,0))</f>
        <v>Bulk</v>
      </c>
      <c r="H349" s="6" t="s">
        <v>161</v>
      </c>
      <c r="I349" s="6" t="s">
        <v>191</v>
      </c>
      <c r="J349" s="6" t="n">
        <f aca="false">SUMIFS(Kits!$C$5:$C$163,Kits!$A$5:$A$163,$D349,Kits!$B$5:$B$163,$E349)</f>
        <v>3</v>
      </c>
      <c r="K349" s="6" t="n">
        <f aca="false">INDEX(Services!$F$5:$F$85,MATCH($A349,Services!$A$5:$A$85,0))</f>
        <v>1</v>
      </c>
      <c r="L349" s="6" t="n">
        <f aca="false">IF($H349="Auto-deduct",IF($G349="Countable",ROUNDUP($J349*IF($I349="Y",$K349,1),0),ROUND($J349*IF($I349="Y",$K349,1),1)),$J349)</f>
        <v>3</v>
      </c>
      <c r="M349" s="6" t="str">
        <f aca="false">INDEX(Items!$E$5:$E$62,MATCH($E349,Items!$A$5:$A$62,0))</f>
        <v>g</v>
      </c>
      <c r="N349" s="6" t="n">
        <f aca="false">ROUND($L349/INDEX(Items!$F$5:$F$62,MATCH($E349,Items!$A$5:$A$62,0)),4)</f>
        <v>0.1</v>
      </c>
      <c r="O349" s="6"/>
    </row>
    <row r="350" customFormat="false" ht="15" hidden="false" customHeight="false" outlineLevel="0" collapsed="false">
      <c r="A350" s="6" t="n">
        <v>37</v>
      </c>
      <c r="B350" s="6" t="s">
        <v>326</v>
      </c>
      <c r="C350" s="6" t="s">
        <v>324</v>
      </c>
      <c r="D350" s="6" t="s">
        <v>241</v>
      </c>
      <c r="E350" s="6" t="s">
        <v>79</v>
      </c>
      <c r="F350" s="6" t="str">
        <f aca="false">INDEX(Items!$B$5:$B$62,MATCH($E350,Items!$A$5:$A$62,0))</f>
        <v>DISPOSABLES &amp; CLINIC CONSUMABLES</v>
      </c>
      <c r="G350" s="6" t="str">
        <f aca="false">INDEX(Items!$C$5:$C$62,MATCH($E350,Items!$A$5:$A$62,0))</f>
        <v>Bulk</v>
      </c>
      <c r="H350" s="6" t="s">
        <v>161</v>
      </c>
      <c r="I350" s="6" t="s">
        <v>191</v>
      </c>
      <c r="J350" s="6" t="n">
        <f aca="false">SUMIFS(Kits!$C$5:$C$163,Kits!$A$5:$A$163,$D350,Kits!$B$5:$B$163,$E350)</f>
        <v>20</v>
      </c>
      <c r="K350" s="6" t="n">
        <f aca="false">INDEX(Services!$F$5:$F$85,MATCH($A350,Services!$A$5:$A$85,0))</f>
        <v>1</v>
      </c>
      <c r="L350" s="6" t="n">
        <f aca="false">IF($H350="Auto-deduct",IF($G350="Countable",ROUNDUP($J350*IF($I350="Y",$K350,1),0),ROUND($J350*IF($I350="Y",$K350,1),1)),$J350)</f>
        <v>20</v>
      </c>
      <c r="M350" s="6" t="str">
        <f aca="false">INDEX(Items!$E$5:$E$62,MATCH($E350,Items!$A$5:$A$62,0))</f>
        <v>cm</v>
      </c>
      <c r="N350" s="6" t="n">
        <f aca="false">ROUND($L350/INDEX(Items!$F$5:$F$62,MATCH($E350,Items!$A$5:$A$62,0)),4)</f>
        <v>0.0067</v>
      </c>
      <c r="O350" s="6"/>
    </row>
    <row r="351" customFormat="false" ht="15" hidden="false" customHeight="false" outlineLevel="0" collapsed="false">
      <c r="A351" s="6" t="n">
        <v>37</v>
      </c>
      <c r="B351" s="6" t="s">
        <v>326</v>
      </c>
      <c r="C351" s="6" t="s">
        <v>324</v>
      </c>
      <c r="D351" s="6" t="s">
        <v>179</v>
      </c>
      <c r="E351" s="6" t="s">
        <v>112</v>
      </c>
      <c r="F351" s="6" t="str">
        <f aca="false">INDEX(Items!$B$5:$B$62,MATCH($E351,Items!$A$5:$A$62,0))</f>
        <v>FACIAL TREATMENT PRODUCTS (PROFESSIONAL USE)</v>
      </c>
      <c r="G351" s="6" t="str">
        <f aca="false">INDEX(Items!$C$5:$C$62,MATCH($E351,Items!$A$5:$A$62,0))</f>
        <v>Bulk</v>
      </c>
      <c r="H351" s="6" t="s">
        <v>161</v>
      </c>
      <c r="I351" s="6" t="s">
        <v>160</v>
      </c>
      <c r="J351" s="6" t="n">
        <f aca="false">SUMIFS(Kits!$C$5:$C$163,Kits!$A$5:$A$163,$D351,Kits!$B$5:$B$163,$E351)</f>
        <v>8</v>
      </c>
      <c r="K351" s="6" t="n">
        <f aca="false">INDEX(Services!$F$5:$F$85,MATCH($A351,Services!$A$5:$A$85,0))</f>
        <v>1</v>
      </c>
      <c r="L351" s="6" t="n">
        <f aca="false">IF($H351="Auto-deduct",IF($G351="Countable",ROUNDUP($J351*IF($I351="Y",$K351,1),0),ROUND($J351*IF($I351="Y",$K351,1),1)),$J351)</f>
        <v>8</v>
      </c>
      <c r="M351" s="6" t="str">
        <f aca="false">INDEX(Items!$E$5:$E$62,MATCH($E351,Items!$A$5:$A$62,0))</f>
        <v>g</v>
      </c>
      <c r="N351" s="6" t="n">
        <f aca="false">ROUND($L351/INDEX(Items!$F$5:$F$62,MATCH($E351,Items!$A$5:$A$62,0)),4)</f>
        <v>0.016</v>
      </c>
      <c r="O351" s="6"/>
    </row>
    <row r="352" customFormat="false" ht="15" hidden="false" customHeight="false" outlineLevel="0" collapsed="false">
      <c r="A352" s="6" t="n">
        <v>37</v>
      </c>
      <c r="B352" s="6" t="s">
        <v>326</v>
      </c>
      <c r="C352" s="6" t="s">
        <v>324</v>
      </c>
      <c r="D352" s="6" t="s">
        <v>179</v>
      </c>
      <c r="E352" s="6" t="s">
        <v>114</v>
      </c>
      <c r="F352" s="6" t="str">
        <f aca="false">INDEX(Items!$B$5:$B$62,MATCH($E352,Items!$A$5:$A$62,0))</f>
        <v>FACIAL TREATMENT PRODUCTS (PROFESSIONAL USE)</v>
      </c>
      <c r="G352" s="6" t="str">
        <f aca="false">INDEX(Items!$C$5:$C$62,MATCH($E352,Items!$A$5:$A$62,0))</f>
        <v>Bulk</v>
      </c>
      <c r="H352" s="6" t="s">
        <v>161</v>
      </c>
      <c r="I352" s="6" t="s">
        <v>160</v>
      </c>
      <c r="J352" s="6" t="n">
        <f aca="false">SUMIFS(Kits!$C$5:$C$163,Kits!$A$5:$A$163,$D352,Kits!$B$5:$B$163,$E352)</f>
        <v>10</v>
      </c>
      <c r="K352" s="6" t="n">
        <f aca="false">INDEX(Services!$F$5:$F$85,MATCH($A352,Services!$A$5:$A$85,0))</f>
        <v>1</v>
      </c>
      <c r="L352" s="6" t="n">
        <f aca="false">IF($H352="Auto-deduct",IF($G352="Countable",ROUNDUP($J352*IF($I352="Y",$K352,1),0),ROUND($J352*IF($I352="Y",$K352,1),1)),$J352)</f>
        <v>10</v>
      </c>
      <c r="M352" s="6" t="str">
        <f aca="false">INDEX(Items!$E$5:$E$62,MATCH($E352,Items!$A$5:$A$62,0))</f>
        <v>mL</v>
      </c>
      <c r="N352" s="6" t="n">
        <f aca="false">ROUND($L352/INDEX(Items!$F$5:$F$62,MATCH($E352,Items!$A$5:$A$62,0)),4)</f>
        <v>0.01</v>
      </c>
      <c r="O352" s="6"/>
    </row>
    <row r="353" customFormat="false" ht="15" hidden="false" customHeight="false" outlineLevel="0" collapsed="false">
      <c r="A353" s="6" t="n">
        <v>37</v>
      </c>
      <c r="B353" s="6" t="s">
        <v>326</v>
      </c>
      <c r="C353" s="6" t="s">
        <v>324</v>
      </c>
      <c r="D353" s="6" t="s">
        <v>179</v>
      </c>
      <c r="E353" s="6" t="s">
        <v>67</v>
      </c>
      <c r="F353" s="6" t="str">
        <f aca="false">INDEX(Items!$B$5:$B$62,MATCH($E353,Items!$A$5:$A$62,0))</f>
        <v>DISPOSABLES &amp; CLINIC CONSUMABLES</v>
      </c>
      <c r="G353" s="6" t="str">
        <f aca="false">INDEX(Items!$C$5:$C$62,MATCH($E353,Items!$A$5:$A$62,0))</f>
        <v>Bulk</v>
      </c>
      <c r="H353" s="6" t="s">
        <v>161</v>
      </c>
      <c r="I353" s="6" t="s">
        <v>160</v>
      </c>
      <c r="J353" s="6" t="n">
        <f aca="false">SUMIFS(Kits!$C$5:$C$163,Kits!$A$5:$A$163,$D353,Kits!$B$5:$B$163,$E353)</f>
        <v>6</v>
      </c>
      <c r="K353" s="6" t="n">
        <f aca="false">INDEX(Services!$F$5:$F$85,MATCH($A353,Services!$A$5:$A$85,0))</f>
        <v>1</v>
      </c>
      <c r="L353" s="6" t="n">
        <f aca="false">IF($H353="Auto-deduct",IF($G353="Countable",ROUNDUP($J353*IF($I353="Y",$K353,1),0),ROUND($J353*IF($I353="Y",$K353,1),1)),$J353)</f>
        <v>6</v>
      </c>
      <c r="M353" s="6" t="str">
        <f aca="false">INDEX(Items!$E$5:$E$62,MATCH($E353,Items!$A$5:$A$62,0))</f>
        <v>sheet</v>
      </c>
      <c r="N353" s="6" t="n">
        <f aca="false">ROUND($L353/INDEX(Items!$F$5:$F$62,MATCH($E353,Items!$A$5:$A$62,0)),4)</f>
        <v>0.06</v>
      </c>
      <c r="O353" s="6"/>
    </row>
    <row r="354" customFormat="false" ht="15" hidden="false" customHeight="false" outlineLevel="0" collapsed="false">
      <c r="A354" s="6" t="n">
        <v>38</v>
      </c>
      <c r="B354" s="6" t="s">
        <v>328</v>
      </c>
      <c r="C354" s="6" t="s">
        <v>324</v>
      </c>
      <c r="D354" s="6" t="s">
        <v>159</v>
      </c>
      <c r="E354" s="6" t="s">
        <v>52</v>
      </c>
      <c r="F354" s="6" t="str">
        <f aca="false">INDEX(Items!$B$5:$B$62,MATCH($E354,Items!$A$5:$A$62,0))</f>
        <v>DISPOSABLES &amp; CLINIC CONSUMABLES</v>
      </c>
      <c r="G354" s="6" t="str">
        <f aca="false">INDEX(Items!$C$5:$C$62,MATCH($E354,Items!$A$5:$A$62,0))</f>
        <v>Countable</v>
      </c>
      <c r="H354" s="6" t="s">
        <v>161</v>
      </c>
      <c r="I354" s="6" t="s">
        <v>160</v>
      </c>
      <c r="J354" s="6" t="n">
        <f aca="false">SUMIFS(Kits!$C$5:$C$163,Kits!$A$5:$A$163,$D354,Kits!$B$5:$B$163,$E354)</f>
        <v>1</v>
      </c>
      <c r="K354" s="6" t="n">
        <f aca="false">INDEX(Services!$F$5:$F$85,MATCH($A354,Services!$A$5:$A$85,0))</f>
        <v>1.5</v>
      </c>
      <c r="L354" s="6" t="n">
        <f aca="false">IF($H354="Auto-deduct",IF($G354="Countable",ROUNDUP($J354*IF($I354="Y",$K354,1),0),ROUND($J354*IF($I354="Y",$K354,1),1)),$J354)</f>
        <v>1</v>
      </c>
      <c r="M354" s="6" t="str">
        <f aca="false">INDEX(Items!$E$5:$E$62,MATCH($E354,Items!$A$5:$A$62,0))</f>
        <v>pc</v>
      </c>
      <c r="N354" s="6" t="n">
        <f aca="false">ROUND($L354/INDEX(Items!$F$5:$F$62,MATCH($E354,Items!$A$5:$A$62,0)),4)</f>
        <v>1</v>
      </c>
      <c r="O354" s="6"/>
    </row>
    <row r="355" customFormat="false" ht="15" hidden="false" customHeight="false" outlineLevel="0" collapsed="false">
      <c r="A355" s="6" t="n">
        <v>38</v>
      </c>
      <c r="B355" s="6" t="s">
        <v>328</v>
      </c>
      <c r="C355" s="6" t="s">
        <v>324</v>
      </c>
      <c r="D355" s="6" t="s">
        <v>159</v>
      </c>
      <c r="E355" s="6" t="s">
        <v>53</v>
      </c>
      <c r="F355" s="6" t="str">
        <f aca="false">INDEX(Items!$B$5:$B$62,MATCH($E355,Items!$A$5:$A$62,0))</f>
        <v>DISPOSABLES &amp; CLINIC CONSUMABLES</v>
      </c>
      <c r="G355" s="6" t="str">
        <f aca="false">INDEX(Items!$C$5:$C$62,MATCH($E355,Items!$A$5:$A$62,0))</f>
        <v>Countable</v>
      </c>
      <c r="H355" s="6" t="s">
        <v>161</v>
      </c>
      <c r="I355" s="6" t="s">
        <v>160</v>
      </c>
      <c r="J355" s="6" t="n">
        <f aca="false">SUMIFS(Kits!$C$5:$C$163,Kits!$A$5:$A$163,$D355,Kits!$B$5:$B$163,$E355)</f>
        <v>1</v>
      </c>
      <c r="K355" s="6" t="n">
        <f aca="false">INDEX(Services!$F$5:$F$85,MATCH($A355,Services!$A$5:$A$85,0))</f>
        <v>1.5</v>
      </c>
      <c r="L355" s="6" t="n">
        <f aca="false">IF($H355="Auto-deduct",IF($G355="Countable",ROUNDUP($J355*IF($I355="Y",$K355,1),0),ROUND($J355*IF($I355="Y",$K355,1),1)),$J355)</f>
        <v>1</v>
      </c>
      <c r="M355" s="6" t="str">
        <f aca="false">INDEX(Items!$E$5:$E$62,MATCH($E355,Items!$A$5:$A$62,0))</f>
        <v>pair</v>
      </c>
      <c r="N355" s="6" t="n">
        <f aca="false">ROUND($L355/INDEX(Items!$F$5:$F$62,MATCH($E355,Items!$A$5:$A$62,0)),4)</f>
        <v>1</v>
      </c>
      <c r="O355" s="6"/>
    </row>
    <row r="356" customFormat="false" ht="15" hidden="false" customHeight="false" outlineLevel="0" collapsed="false">
      <c r="A356" s="6" t="n">
        <v>38</v>
      </c>
      <c r="B356" s="6" t="s">
        <v>328</v>
      </c>
      <c r="C356" s="6" t="s">
        <v>324</v>
      </c>
      <c r="D356" s="6" t="s">
        <v>159</v>
      </c>
      <c r="E356" s="6" t="s">
        <v>88</v>
      </c>
      <c r="F356" s="6" t="str">
        <f aca="false">INDEX(Items!$B$5:$B$62,MATCH($E356,Items!$A$5:$A$62,0))</f>
        <v>DISPOSABLES &amp; CLINIC CONSUMABLES</v>
      </c>
      <c r="G356" s="6" t="str">
        <f aca="false">INDEX(Items!$C$5:$C$62,MATCH($E356,Items!$A$5:$A$62,0))</f>
        <v>Bulk</v>
      </c>
      <c r="H356" s="6" t="s">
        <v>161</v>
      </c>
      <c r="I356" s="6" t="s">
        <v>160</v>
      </c>
      <c r="J356" s="6" t="n">
        <f aca="false">SUMIFS(Kits!$C$5:$C$163,Kits!$A$5:$A$163,$D356,Kits!$B$5:$B$163,$E356)</f>
        <v>5</v>
      </c>
      <c r="K356" s="6" t="n">
        <f aca="false">INDEX(Services!$F$5:$F$85,MATCH($A356,Services!$A$5:$A$85,0))</f>
        <v>1.5</v>
      </c>
      <c r="L356" s="6" t="n">
        <f aca="false">IF($H356="Auto-deduct",IF($G356="Countable",ROUNDUP($J356*IF($I356="Y",$K356,1),0),ROUND($J356*IF($I356="Y",$K356,1),1)),$J356)</f>
        <v>5</v>
      </c>
      <c r="M356" s="6" t="str">
        <f aca="false">INDEX(Items!$E$5:$E$62,MATCH($E356,Items!$A$5:$A$62,0))</f>
        <v>mL</v>
      </c>
      <c r="N356" s="6" t="n">
        <f aca="false">ROUND($L356/INDEX(Items!$F$5:$F$62,MATCH($E356,Items!$A$5:$A$62,0)),4)</f>
        <v>0.01</v>
      </c>
      <c r="O356" s="6"/>
    </row>
    <row r="357" customFormat="false" ht="15" hidden="false" customHeight="false" outlineLevel="0" collapsed="false">
      <c r="A357" s="6" t="n">
        <v>38</v>
      </c>
      <c r="B357" s="6" t="s">
        <v>328</v>
      </c>
      <c r="C357" s="6" t="s">
        <v>324</v>
      </c>
      <c r="D357" s="6" t="s">
        <v>243</v>
      </c>
      <c r="E357" s="6" t="s">
        <v>86</v>
      </c>
      <c r="F357" s="6" t="str">
        <f aca="false">INDEX(Items!$B$5:$B$62,MATCH($E357,Items!$A$5:$A$62,0))</f>
        <v>DISPOSABLES &amp; CLINIC CONSUMABLES</v>
      </c>
      <c r="G357" s="6" t="str">
        <f aca="false">INDEX(Items!$C$5:$C$62,MATCH($E357,Items!$A$5:$A$62,0))</f>
        <v>Bulk</v>
      </c>
      <c r="H357" s="6" t="s">
        <v>161</v>
      </c>
      <c r="I357" s="6" t="s">
        <v>191</v>
      </c>
      <c r="J357" s="6" t="n">
        <f aca="false">SUMIFS(Kits!$C$5:$C$163,Kits!$A$5:$A$163,$D357,Kits!$B$5:$B$163,$E357)</f>
        <v>3</v>
      </c>
      <c r="K357" s="6" t="n">
        <f aca="false">INDEX(Services!$F$5:$F$85,MATCH($A357,Services!$A$5:$A$85,0))</f>
        <v>1.5</v>
      </c>
      <c r="L357" s="6" t="n">
        <f aca="false">IF($H357="Auto-deduct",IF($G357="Countable",ROUNDUP($J357*IF($I357="Y",$K357,1),0),ROUND($J357*IF($I357="Y",$K357,1),1)),$J357)</f>
        <v>4.5</v>
      </c>
      <c r="M357" s="6" t="str">
        <f aca="false">INDEX(Items!$E$5:$E$62,MATCH($E357,Items!$A$5:$A$62,0))</f>
        <v>pc</v>
      </c>
      <c r="N357" s="6" t="n">
        <f aca="false">ROUND($L357/INDEX(Items!$F$5:$F$62,MATCH($E357,Items!$A$5:$A$62,0)),4)</f>
        <v>0.0563</v>
      </c>
      <c r="O357" s="6"/>
    </row>
    <row r="358" customFormat="false" ht="15" hidden="false" customHeight="false" outlineLevel="0" collapsed="false">
      <c r="A358" s="6" t="n">
        <v>38</v>
      </c>
      <c r="B358" s="6" t="s">
        <v>328</v>
      </c>
      <c r="C358" s="6" t="s">
        <v>324</v>
      </c>
      <c r="D358" s="6" t="s">
        <v>243</v>
      </c>
      <c r="E358" s="6" t="s">
        <v>88</v>
      </c>
      <c r="F358" s="6" t="str">
        <f aca="false">INDEX(Items!$B$5:$B$62,MATCH($E358,Items!$A$5:$A$62,0))</f>
        <v>DISPOSABLES &amp; CLINIC CONSUMABLES</v>
      </c>
      <c r="G358" s="6" t="str">
        <f aca="false">INDEX(Items!$C$5:$C$62,MATCH($E358,Items!$A$5:$A$62,0))</f>
        <v>Bulk</v>
      </c>
      <c r="H358" s="6" t="s">
        <v>161</v>
      </c>
      <c r="I358" s="6" t="s">
        <v>191</v>
      </c>
      <c r="J358" s="6" t="n">
        <f aca="false">SUMIFS(Kits!$C$5:$C$163,Kits!$A$5:$A$163,$D358,Kits!$B$5:$B$163,$E358)</f>
        <v>10</v>
      </c>
      <c r="K358" s="6" t="n">
        <f aca="false">INDEX(Services!$F$5:$F$85,MATCH($A358,Services!$A$5:$A$85,0))</f>
        <v>1.5</v>
      </c>
      <c r="L358" s="6" t="n">
        <f aca="false">IF($H358="Auto-deduct",IF($G358="Countable",ROUNDUP($J358*IF($I358="Y",$K358,1),0),ROUND($J358*IF($I358="Y",$K358,1),1)),$J358)</f>
        <v>15</v>
      </c>
      <c r="M358" s="6" t="str">
        <f aca="false">INDEX(Items!$E$5:$E$62,MATCH($E358,Items!$A$5:$A$62,0))</f>
        <v>mL</v>
      </c>
      <c r="N358" s="6" t="n">
        <f aca="false">ROUND($L358/INDEX(Items!$F$5:$F$62,MATCH($E358,Items!$A$5:$A$62,0)),4)</f>
        <v>0.03</v>
      </c>
      <c r="O358" s="6"/>
    </row>
    <row r="359" customFormat="false" ht="15" hidden="false" customHeight="false" outlineLevel="0" collapsed="false">
      <c r="A359" s="6" t="n">
        <v>38</v>
      </c>
      <c r="B359" s="6" t="s">
        <v>328</v>
      </c>
      <c r="C359" s="6" t="s">
        <v>324</v>
      </c>
      <c r="D359" s="6" t="s">
        <v>241</v>
      </c>
      <c r="E359" s="6" t="s">
        <v>34</v>
      </c>
      <c r="F359" s="6" t="str">
        <f aca="false">INDEX(Items!$B$5:$B$62,MATCH($E359,Items!$A$5:$A$62,0))</f>
        <v>MEDICAL / INJECTION SUPPLIES</v>
      </c>
      <c r="G359" s="6" t="str">
        <f aca="false">INDEX(Items!$C$5:$C$62,MATCH($E359,Items!$A$5:$A$62,0))</f>
        <v>Countable</v>
      </c>
      <c r="H359" s="6" t="s">
        <v>161</v>
      </c>
      <c r="I359" s="6" t="s">
        <v>191</v>
      </c>
      <c r="J359" s="6" t="n">
        <f aca="false">SUMIFS(Kits!$C$5:$C$163,Kits!$A$5:$A$163,$D359,Kits!$B$5:$B$163,$E359)</f>
        <v>2</v>
      </c>
      <c r="K359" s="6" t="n">
        <f aca="false">INDEX(Services!$F$5:$F$85,MATCH($A359,Services!$A$5:$A$85,0))</f>
        <v>1.5</v>
      </c>
      <c r="L359" s="6" t="n">
        <f aca="false">IF($H359="Auto-deduct",IF($G359="Countable",ROUNDUP($J359*IF($I359="Y",$K359,1),0),ROUND($J359*IF($I359="Y",$K359,1),1)),$J359)</f>
        <v>3</v>
      </c>
      <c r="M359" s="6" t="str">
        <f aca="false">INDEX(Items!$E$5:$E$62,MATCH($E359,Items!$A$5:$A$62,0))</f>
        <v>pc</v>
      </c>
      <c r="N359" s="6" t="n">
        <f aca="false">ROUND($L359/INDEX(Items!$F$5:$F$62,MATCH($E359,Items!$A$5:$A$62,0)),4)</f>
        <v>3</v>
      </c>
      <c r="O359" s="6"/>
    </row>
    <row r="360" customFormat="false" ht="15" hidden="false" customHeight="false" outlineLevel="0" collapsed="false">
      <c r="A360" s="6" t="n">
        <v>38</v>
      </c>
      <c r="B360" s="6" t="s">
        <v>328</v>
      </c>
      <c r="C360" s="6" t="s">
        <v>324</v>
      </c>
      <c r="D360" s="6" t="s">
        <v>241</v>
      </c>
      <c r="E360" s="6" t="s">
        <v>39</v>
      </c>
      <c r="F360" s="6" t="str">
        <f aca="false">INDEX(Items!$B$5:$B$62,MATCH($E360,Items!$A$5:$A$62,0))</f>
        <v>MEDICAL / INJECTION SUPPLIES</v>
      </c>
      <c r="G360" s="6" t="str">
        <f aca="false">INDEX(Items!$C$5:$C$62,MATCH($E360,Items!$A$5:$A$62,0))</f>
        <v>Countable</v>
      </c>
      <c r="H360" s="6" t="s">
        <v>161</v>
      </c>
      <c r="I360" s="6" t="s">
        <v>191</v>
      </c>
      <c r="J360" s="6" t="n">
        <f aca="false">SUMIFS(Kits!$C$5:$C$163,Kits!$A$5:$A$163,$D360,Kits!$B$5:$B$163,$E360)</f>
        <v>2</v>
      </c>
      <c r="K360" s="6" t="n">
        <f aca="false">INDEX(Services!$F$5:$F$85,MATCH($A360,Services!$A$5:$A$85,0))</f>
        <v>1.5</v>
      </c>
      <c r="L360" s="6" t="n">
        <f aca="false">IF($H360="Auto-deduct",IF($G360="Countable",ROUNDUP($J360*IF($I360="Y",$K360,1),0),ROUND($J360*IF($I360="Y",$K360,1),1)),$J360)</f>
        <v>3</v>
      </c>
      <c r="M360" s="6" t="str">
        <f aca="false">INDEX(Items!$E$5:$E$62,MATCH($E360,Items!$A$5:$A$62,0))</f>
        <v>pc</v>
      </c>
      <c r="N360" s="6" t="n">
        <f aca="false">ROUND($L360/INDEX(Items!$F$5:$F$62,MATCH($E360,Items!$A$5:$A$62,0)),4)</f>
        <v>3</v>
      </c>
      <c r="O360" s="6"/>
    </row>
    <row r="361" customFormat="false" ht="15" hidden="false" customHeight="false" outlineLevel="0" collapsed="false">
      <c r="A361" s="6" t="n">
        <v>38</v>
      </c>
      <c r="B361" s="6" t="s">
        <v>328</v>
      </c>
      <c r="C361" s="6" t="s">
        <v>324</v>
      </c>
      <c r="D361" s="6" t="s">
        <v>241</v>
      </c>
      <c r="E361" s="6" t="s">
        <v>37</v>
      </c>
      <c r="F361" s="6" t="str">
        <f aca="false">INDEX(Items!$B$5:$B$62,MATCH($E361,Items!$A$5:$A$62,0))</f>
        <v>MEDICAL / INJECTION SUPPLIES</v>
      </c>
      <c r="G361" s="6" t="str">
        <f aca="false">INDEX(Items!$C$5:$C$62,MATCH($E361,Items!$A$5:$A$62,0))</f>
        <v>Countable</v>
      </c>
      <c r="H361" s="6" t="s">
        <v>161</v>
      </c>
      <c r="I361" s="6" t="s">
        <v>191</v>
      </c>
      <c r="J361" s="6" t="n">
        <f aca="false">SUMIFS(Kits!$C$5:$C$163,Kits!$A$5:$A$163,$D361,Kits!$B$5:$B$163,$E361)</f>
        <v>2</v>
      </c>
      <c r="K361" s="6" t="n">
        <f aca="false">INDEX(Services!$F$5:$F$85,MATCH($A361,Services!$A$5:$A$85,0))</f>
        <v>1.5</v>
      </c>
      <c r="L361" s="6" t="n">
        <f aca="false">IF($H361="Auto-deduct",IF($G361="Countable",ROUNDUP($J361*IF($I361="Y",$K361,1),0),ROUND($J361*IF($I361="Y",$K361,1),1)),$J361)</f>
        <v>3</v>
      </c>
      <c r="M361" s="6" t="str">
        <f aca="false">INDEX(Items!$E$5:$E$62,MATCH($E361,Items!$A$5:$A$62,0))</f>
        <v>pc</v>
      </c>
      <c r="N361" s="6" t="n">
        <f aca="false">ROUND($L361/INDEX(Items!$F$5:$F$62,MATCH($E361,Items!$A$5:$A$62,0)),4)</f>
        <v>3</v>
      </c>
      <c r="O361" s="6"/>
    </row>
    <row r="362" customFormat="false" ht="15" hidden="false" customHeight="false" outlineLevel="0" collapsed="false">
      <c r="A362" s="6" t="n">
        <v>38</v>
      </c>
      <c r="B362" s="6" t="s">
        <v>328</v>
      </c>
      <c r="C362" s="6" t="s">
        <v>324</v>
      </c>
      <c r="D362" s="6" t="s">
        <v>241</v>
      </c>
      <c r="E362" s="6" t="s">
        <v>84</v>
      </c>
      <c r="F362" s="6" t="str">
        <f aca="false">INDEX(Items!$B$5:$B$62,MATCH($E362,Items!$A$5:$A$62,0))</f>
        <v>DISPOSABLES &amp; CLINIC CONSUMABLES</v>
      </c>
      <c r="G362" s="6" t="str">
        <f aca="false">INDEX(Items!$C$5:$C$62,MATCH($E362,Items!$A$5:$A$62,0))</f>
        <v>Countable</v>
      </c>
      <c r="H362" s="6" t="s">
        <v>161</v>
      </c>
      <c r="I362" s="6" t="s">
        <v>191</v>
      </c>
      <c r="J362" s="6" t="n">
        <f aca="false">SUMIFS(Kits!$C$5:$C$163,Kits!$A$5:$A$163,$D362,Kits!$B$5:$B$163,$E362)</f>
        <v>3</v>
      </c>
      <c r="K362" s="6" t="n">
        <f aca="false">INDEX(Services!$F$5:$F$85,MATCH($A362,Services!$A$5:$A$85,0))</f>
        <v>1.5</v>
      </c>
      <c r="L362" s="6" t="n">
        <f aca="false">IF($H362="Auto-deduct",IF($G362="Countable",ROUNDUP($J362*IF($I362="Y",$K362,1),0),ROUND($J362*IF($I362="Y",$K362,1),1)),$J362)</f>
        <v>5</v>
      </c>
      <c r="M362" s="6" t="str">
        <f aca="false">INDEX(Items!$E$5:$E$62,MATCH($E362,Items!$A$5:$A$62,0))</f>
        <v>pc</v>
      </c>
      <c r="N362" s="6" t="n">
        <f aca="false">ROUND($L362/INDEX(Items!$F$5:$F$62,MATCH($E362,Items!$A$5:$A$62,0)),4)</f>
        <v>5</v>
      </c>
      <c r="O362" s="6"/>
    </row>
    <row r="363" customFormat="false" ht="15" hidden="false" customHeight="false" outlineLevel="0" collapsed="false">
      <c r="A363" s="6" t="n">
        <v>38</v>
      </c>
      <c r="B363" s="6" t="s">
        <v>328</v>
      </c>
      <c r="C363" s="6" t="s">
        <v>324</v>
      </c>
      <c r="D363" s="6" t="s">
        <v>241</v>
      </c>
      <c r="E363" s="6" t="s">
        <v>44</v>
      </c>
      <c r="F363" s="6" t="str">
        <f aca="false">INDEX(Items!$B$5:$B$62,MATCH($E363,Items!$A$5:$A$62,0))</f>
        <v>MEDICAL / INJECTION SUPPLIES</v>
      </c>
      <c r="G363" s="6" t="str">
        <f aca="false">INDEX(Items!$C$5:$C$62,MATCH($E363,Items!$A$5:$A$62,0))</f>
        <v>Countable</v>
      </c>
      <c r="H363" s="6" t="s">
        <v>161</v>
      </c>
      <c r="I363" s="6" t="s">
        <v>160</v>
      </c>
      <c r="J363" s="6" t="n">
        <f aca="false">SUMIFS(Kits!$C$5:$C$163,Kits!$A$5:$A$163,$D363,Kits!$B$5:$B$163,$E363)</f>
        <v>1</v>
      </c>
      <c r="K363" s="6" t="n">
        <f aca="false">INDEX(Services!$F$5:$F$85,MATCH($A363,Services!$A$5:$A$85,0))</f>
        <v>1.5</v>
      </c>
      <c r="L363" s="6" t="n">
        <f aca="false">IF($H363="Auto-deduct",IF($G363="Countable",ROUNDUP($J363*IF($I363="Y",$K363,1),0),ROUND($J363*IF($I363="Y",$K363,1),1)),$J363)</f>
        <v>1</v>
      </c>
      <c r="M363" s="6" t="str">
        <f aca="false">INDEX(Items!$E$5:$E$62,MATCH($E363,Items!$A$5:$A$62,0))</f>
        <v>pc</v>
      </c>
      <c r="N363" s="6" t="n">
        <f aca="false">ROUND($L363/INDEX(Items!$F$5:$F$62,MATCH($E363,Items!$A$5:$A$62,0)),4)</f>
        <v>1</v>
      </c>
      <c r="O363" s="6"/>
    </row>
    <row r="364" customFormat="false" ht="15" hidden="false" customHeight="false" outlineLevel="0" collapsed="false">
      <c r="A364" s="6" t="n">
        <v>38</v>
      </c>
      <c r="B364" s="6" t="s">
        <v>328</v>
      </c>
      <c r="C364" s="6" t="s">
        <v>324</v>
      </c>
      <c r="D364" s="6" t="s">
        <v>241</v>
      </c>
      <c r="E364" s="6" t="s">
        <v>150</v>
      </c>
      <c r="F364" s="6" t="str">
        <f aca="false">INDEX(Items!$B$5:$B$62,MATCH($E364,Items!$A$5:$A$62,0))</f>
        <v>TOOLS / EQUIPMENT / MISC</v>
      </c>
      <c r="G364" s="6" t="str">
        <f aca="false">INDEX(Items!$C$5:$C$62,MATCH($E364,Items!$A$5:$A$62,0))</f>
        <v>Bulk</v>
      </c>
      <c r="H364" s="6" t="s">
        <v>161</v>
      </c>
      <c r="I364" s="6" t="s">
        <v>191</v>
      </c>
      <c r="J364" s="6" t="n">
        <f aca="false">SUMIFS(Kits!$C$5:$C$163,Kits!$A$5:$A$163,$D364,Kits!$B$5:$B$163,$E364)</f>
        <v>3</v>
      </c>
      <c r="K364" s="6" t="n">
        <f aca="false">INDEX(Services!$F$5:$F$85,MATCH($A364,Services!$A$5:$A$85,0))</f>
        <v>1.5</v>
      </c>
      <c r="L364" s="6" t="n">
        <f aca="false">IF($H364="Auto-deduct",IF($G364="Countable",ROUNDUP($J364*IF($I364="Y",$K364,1),0),ROUND($J364*IF($I364="Y",$K364,1),1)),$J364)</f>
        <v>4.5</v>
      </c>
      <c r="M364" s="6" t="str">
        <f aca="false">INDEX(Items!$E$5:$E$62,MATCH($E364,Items!$A$5:$A$62,0))</f>
        <v>g</v>
      </c>
      <c r="N364" s="6" t="n">
        <f aca="false">ROUND($L364/INDEX(Items!$F$5:$F$62,MATCH($E364,Items!$A$5:$A$62,0)),4)</f>
        <v>0.15</v>
      </c>
      <c r="O364" s="6"/>
    </row>
    <row r="365" customFormat="false" ht="15" hidden="false" customHeight="false" outlineLevel="0" collapsed="false">
      <c r="A365" s="6" t="n">
        <v>38</v>
      </c>
      <c r="B365" s="6" t="s">
        <v>328</v>
      </c>
      <c r="C365" s="6" t="s">
        <v>324</v>
      </c>
      <c r="D365" s="6" t="s">
        <v>241</v>
      </c>
      <c r="E365" s="6" t="s">
        <v>79</v>
      </c>
      <c r="F365" s="6" t="str">
        <f aca="false">INDEX(Items!$B$5:$B$62,MATCH($E365,Items!$A$5:$A$62,0))</f>
        <v>DISPOSABLES &amp; CLINIC CONSUMABLES</v>
      </c>
      <c r="G365" s="6" t="str">
        <f aca="false">INDEX(Items!$C$5:$C$62,MATCH($E365,Items!$A$5:$A$62,0))</f>
        <v>Bulk</v>
      </c>
      <c r="H365" s="6" t="s">
        <v>161</v>
      </c>
      <c r="I365" s="6" t="s">
        <v>191</v>
      </c>
      <c r="J365" s="6" t="n">
        <f aca="false">SUMIFS(Kits!$C$5:$C$163,Kits!$A$5:$A$163,$D365,Kits!$B$5:$B$163,$E365)</f>
        <v>20</v>
      </c>
      <c r="K365" s="6" t="n">
        <f aca="false">INDEX(Services!$F$5:$F$85,MATCH($A365,Services!$A$5:$A$85,0))</f>
        <v>1.5</v>
      </c>
      <c r="L365" s="6" t="n">
        <f aca="false">IF($H365="Auto-deduct",IF($G365="Countable",ROUNDUP($J365*IF($I365="Y",$K365,1),0),ROUND($J365*IF($I365="Y",$K365,1),1)),$J365)</f>
        <v>30</v>
      </c>
      <c r="M365" s="6" t="str">
        <f aca="false">INDEX(Items!$E$5:$E$62,MATCH($E365,Items!$A$5:$A$62,0))</f>
        <v>cm</v>
      </c>
      <c r="N365" s="6" t="n">
        <f aca="false">ROUND($L365/INDEX(Items!$F$5:$F$62,MATCH($E365,Items!$A$5:$A$62,0)),4)</f>
        <v>0.01</v>
      </c>
      <c r="O365" s="6"/>
    </row>
    <row r="366" customFormat="false" ht="15" hidden="false" customHeight="false" outlineLevel="0" collapsed="false">
      <c r="A366" s="6" t="n">
        <v>39</v>
      </c>
      <c r="B366" s="6" t="s">
        <v>330</v>
      </c>
      <c r="C366" s="6" t="s">
        <v>324</v>
      </c>
      <c r="D366" s="6" t="s">
        <v>159</v>
      </c>
      <c r="E366" s="6" t="s">
        <v>52</v>
      </c>
      <c r="F366" s="6" t="str">
        <f aca="false">INDEX(Items!$B$5:$B$62,MATCH($E366,Items!$A$5:$A$62,0))</f>
        <v>DISPOSABLES &amp; CLINIC CONSUMABLES</v>
      </c>
      <c r="G366" s="6" t="str">
        <f aca="false">INDEX(Items!$C$5:$C$62,MATCH($E366,Items!$A$5:$A$62,0))</f>
        <v>Countable</v>
      </c>
      <c r="H366" s="6" t="s">
        <v>161</v>
      </c>
      <c r="I366" s="6" t="s">
        <v>160</v>
      </c>
      <c r="J366" s="6" t="n">
        <f aca="false">SUMIFS(Kits!$C$5:$C$163,Kits!$A$5:$A$163,$D366,Kits!$B$5:$B$163,$E366)</f>
        <v>1</v>
      </c>
      <c r="K366" s="6" t="n">
        <f aca="false">INDEX(Services!$F$5:$F$85,MATCH($A366,Services!$A$5:$A$85,0))</f>
        <v>1.5</v>
      </c>
      <c r="L366" s="6" t="n">
        <f aca="false">IF($H366="Auto-deduct",IF($G366="Countable",ROUNDUP($J366*IF($I366="Y",$K366,1),0),ROUND($J366*IF($I366="Y",$K366,1),1)),$J366)</f>
        <v>1</v>
      </c>
      <c r="M366" s="6" t="str">
        <f aca="false">INDEX(Items!$E$5:$E$62,MATCH($E366,Items!$A$5:$A$62,0))</f>
        <v>pc</v>
      </c>
      <c r="N366" s="6" t="n">
        <f aca="false">ROUND($L366/INDEX(Items!$F$5:$F$62,MATCH($E366,Items!$A$5:$A$62,0)),4)</f>
        <v>1</v>
      </c>
      <c r="O366" s="6"/>
    </row>
    <row r="367" customFormat="false" ht="15" hidden="false" customHeight="false" outlineLevel="0" collapsed="false">
      <c r="A367" s="6" t="n">
        <v>39</v>
      </c>
      <c r="B367" s="6" t="s">
        <v>330</v>
      </c>
      <c r="C367" s="6" t="s">
        <v>324</v>
      </c>
      <c r="D367" s="6" t="s">
        <v>159</v>
      </c>
      <c r="E367" s="6" t="s">
        <v>53</v>
      </c>
      <c r="F367" s="6" t="str">
        <f aca="false">INDEX(Items!$B$5:$B$62,MATCH($E367,Items!$A$5:$A$62,0))</f>
        <v>DISPOSABLES &amp; CLINIC CONSUMABLES</v>
      </c>
      <c r="G367" s="6" t="str">
        <f aca="false">INDEX(Items!$C$5:$C$62,MATCH($E367,Items!$A$5:$A$62,0))</f>
        <v>Countable</v>
      </c>
      <c r="H367" s="6" t="s">
        <v>161</v>
      </c>
      <c r="I367" s="6" t="s">
        <v>160</v>
      </c>
      <c r="J367" s="6" t="n">
        <f aca="false">SUMIFS(Kits!$C$5:$C$163,Kits!$A$5:$A$163,$D367,Kits!$B$5:$B$163,$E367)</f>
        <v>1</v>
      </c>
      <c r="K367" s="6" t="n">
        <f aca="false">INDEX(Services!$F$5:$F$85,MATCH($A367,Services!$A$5:$A$85,0))</f>
        <v>1.5</v>
      </c>
      <c r="L367" s="6" t="n">
        <f aca="false">IF($H367="Auto-deduct",IF($G367="Countable",ROUNDUP($J367*IF($I367="Y",$K367,1),0),ROUND($J367*IF($I367="Y",$K367,1),1)),$J367)</f>
        <v>1</v>
      </c>
      <c r="M367" s="6" t="str">
        <f aca="false">INDEX(Items!$E$5:$E$62,MATCH($E367,Items!$A$5:$A$62,0))</f>
        <v>pair</v>
      </c>
      <c r="N367" s="6" t="n">
        <f aca="false">ROUND($L367/INDEX(Items!$F$5:$F$62,MATCH($E367,Items!$A$5:$A$62,0)),4)</f>
        <v>1</v>
      </c>
      <c r="O367" s="6"/>
    </row>
    <row r="368" customFormat="false" ht="15" hidden="false" customHeight="false" outlineLevel="0" collapsed="false">
      <c r="A368" s="6" t="n">
        <v>39</v>
      </c>
      <c r="B368" s="6" t="s">
        <v>330</v>
      </c>
      <c r="C368" s="6" t="s">
        <v>324</v>
      </c>
      <c r="D368" s="6" t="s">
        <v>159</v>
      </c>
      <c r="E368" s="6" t="s">
        <v>88</v>
      </c>
      <c r="F368" s="6" t="str">
        <f aca="false">INDEX(Items!$B$5:$B$62,MATCH($E368,Items!$A$5:$A$62,0))</f>
        <v>DISPOSABLES &amp; CLINIC CONSUMABLES</v>
      </c>
      <c r="G368" s="6" t="str">
        <f aca="false">INDEX(Items!$C$5:$C$62,MATCH($E368,Items!$A$5:$A$62,0))</f>
        <v>Bulk</v>
      </c>
      <c r="H368" s="6" t="s">
        <v>161</v>
      </c>
      <c r="I368" s="6" t="s">
        <v>160</v>
      </c>
      <c r="J368" s="6" t="n">
        <f aca="false">SUMIFS(Kits!$C$5:$C$163,Kits!$A$5:$A$163,$D368,Kits!$B$5:$B$163,$E368)</f>
        <v>5</v>
      </c>
      <c r="K368" s="6" t="n">
        <f aca="false">INDEX(Services!$F$5:$F$85,MATCH($A368,Services!$A$5:$A$85,0))</f>
        <v>1.5</v>
      </c>
      <c r="L368" s="6" t="n">
        <f aca="false">IF($H368="Auto-deduct",IF($G368="Countable",ROUNDUP($J368*IF($I368="Y",$K368,1),0),ROUND($J368*IF($I368="Y",$K368,1),1)),$J368)</f>
        <v>5</v>
      </c>
      <c r="M368" s="6" t="str">
        <f aca="false">INDEX(Items!$E$5:$E$62,MATCH($E368,Items!$A$5:$A$62,0))</f>
        <v>mL</v>
      </c>
      <c r="N368" s="6" t="n">
        <f aca="false">ROUND($L368/INDEX(Items!$F$5:$F$62,MATCH($E368,Items!$A$5:$A$62,0)),4)</f>
        <v>0.01</v>
      </c>
      <c r="O368" s="6"/>
    </row>
    <row r="369" customFormat="false" ht="15" hidden="false" customHeight="false" outlineLevel="0" collapsed="false">
      <c r="A369" s="6" t="n">
        <v>39</v>
      </c>
      <c r="B369" s="6" t="s">
        <v>330</v>
      </c>
      <c r="C369" s="6" t="s">
        <v>324</v>
      </c>
      <c r="D369" s="6" t="s">
        <v>243</v>
      </c>
      <c r="E369" s="6" t="s">
        <v>86</v>
      </c>
      <c r="F369" s="6" t="str">
        <f aca="false">INDEX(Items!$B$5:$B$62,MATCH($E369,Items!$A$5:$A$62,0))</f>
        <v>DISPOSABLES &amp; CLINIC CONSUMABLES</v>
      </c>
      <c r="G369" s="6" t="str">
        <f aca="false">INDEX(Items!$C$5:$C$62,MATCH($E369,Items!$A$5:$A$62,0))</f>
        <v>Bulk</v>
      </c>
      <c r="H369" s="6" t="s">
        <v>161</v>
      </c>
      <c r="I369" s="6" t="s">
        <v>191</v>
      </c>
      <c r="J369" s="6" t="n">
        <f aca="false">SUMIFS(Kits!$C$5:$C$163,Kits!$A$5:$A$163,$D369,Kits!$B$5:$B$163,$E369)</f>
        <v>3</v>
      </c>
      <c r="K369" s="6" t="n">
        <f aca="false">INDEX(Services!$F$5:$F$85,MATCH($A369,Services!$A$5:$A$85,0))</f>
        <v>1.5</v>
      </c>
      <c r="L369" s="6" t="n">
        <f aca="false">IF($H369="Auto-deduct",IF($G369="Countable",ROUNDUP($J369*IF($I369="Y",$K369,1),0),ROUND($J369*IF($I369="Y",$K369,1),1)),$J369)</f>
        <v>4.5</v>
      </c>
      <c r="M369" s="6" t="str">
        <f aca="false">INDEX(Items!$E$5:$E$62,MATCH($E369,Items!$A$5:$A$62,0))</f>
        <v>pc</v>
      </c>
      <c r="N369" s="6" t="n">
        <f aca="false">ROUND($L369/INDEX(Items!$F$5:$F$62,MATCH($E369,Items!$A$5:$A$62,0)),4)</f>
        <v>0.0563</v>
      </c>
      <c r="O369" s="6"/>
    </row>
    <row r="370" customFormat="false" ht="15" hidden="false" customHeight="false" outlineLevel="0" collapsed="false">
      <c r="A370" s="6" t="n">
        <v>39</v>
      </c>
      <c r="B370" s="6" t="s">
        <v>330</v>
      </c>
      <c r="C370" s="6" t="s">
        <v>324</v>
      </c>
      <c r="D370" s="6" t="s">
        <v>243</v>
      </c>
      <c r="E370" s="6" t="s">
        <v>88</v>
      </c>
      <c r="F370" s="6" t="str">
        <f aca="false">INDEX(Items!$B$5:$B$62,MATCH($E370,Items!$A$5:$A$62,0))</f>
        <v>DISPOSABLES &amp; CLINIC CONSUMABLES</v>
      </c>
      <c r="G370" s="6" t="str">
        <f aca="false">INDEX(Items!$C$5:$C$62,MATCH($E370,Items!$A$5:$A$62,0))</f>
        <v>Bulk</v>
      </c>
      <c r="H370" s="6" t="s">
        <v>161</v>
      </c>
      <c r="I370" s="6" t="s">
        <v>191</v>
      </c>
      <c r="J370" s="6" t="n">
        <f aca="false">SUMIFS(Kits!$C$5:$C$163,Kits!$A$5:$A$163,$D370,Kits!$B$5:$B$163,$E370)</f>
        <v>10</v>
      </c>
      <c r="K370" s="6" t="n">
        <f aca="false">INDEX(Services!$F$5:$F$85,MATCH($A370,Services!$A$5:$A$85,0))</f>
        <v>1.5</v>
      </c>
      <c r="L370" s="6" t="n">
        <f aca="false">IF($H370="Auto-deduct",IF($G370="Countable",ROUNDUP($J370*IF($I370="Y",$K370,1),0),ROUND($J370*IF($I370="Y",$K370,1),1)),$J370)</f>
        <v>15</v>
      </c>
      <c r="M370" s="6" t="str">
        <f aca="false">INDEX(Items!$E$5:$E$62,MATCH($E370,Items!$A$5:$A$62,0))</f>
        <v>mL</v>
      </c>
      <c r="N370" s="6" t="n">
        <f aca="false">ROUND($L370/INDEX(Items!$F$5:$F$62,MATCH($E370,Items!$A$5:$A$62,0)),4)</f>
        <v>0.03</v>
      </c>
      <c r="O370" s="6"/>
    </row>
    <row r="371" customFormat="false" ht="15" hidden="false" customHeight="false" outlineLevel="0" collapsed="false">
      <c r="A371" s="6" t="n">
        <v>39</v>
      </c>
      <c r="B371" s="6" t="s">
        <v>330</v>
      </c>
      <c r="C371" s="6" t="s">
        <v>324</v>
      </c>
      <c r="D371" s="6" t="s">
        <v>241</v>
      </c>
      <c r="E371" s="6" t="s">
        <v>34</v>
      </c>
      <c r="F371" s="6" t="str">
        <f aca="false">INDEX(Items!$B$5:$B$62,MATCH($E371,Items!$A$5:$A$62,0))</f>
        <v>MEDICAL / INJECTION SUPPLIES</v>
      </c>
      <c r="G371" s="6" t="str">
        <f aca="false">INDEX(Items!$C$5:$C$62,MATCH($E371,Items!$A$5:$A$62,0))</f>
        <v>Countable</v>
      </c>
      <c r="H371" s="6" t="s">
        <v>161</v>
      </c>
      <c r="I371" s="6" t="s">
        <v>191</v>
      </c>
      <c r="J371" s="6" t="n">
        <f aca="false">SUMIFS(Kits!$C$5:$C$163,Kits!$A$5:$A$163,$D371,Kits!$B$5:$B$163,$E371)</f>
        <v>2</v>
      </c>
      <c r="K371" s="6" t="n">
        <f aca="false">INDEX(Services!$F$5:$F$85,MATCH($A371,Services!$A$5:$A$85,0))</f>
        <v>1.5</v>
      </c>
      <c r="L371" s="6" t="n">
        <f aca="false">IF($H371="Auto-deduct",IF($G371="Countable",ROUNDUP($J371*IF($I371="Y",$K371,1),0),ROUND($J371*IF($I371="Y",$K371,1),1)),$J371)</f>
        <v>3</v>
      </c>
      <c r="M371" s="6" t="str">
        <f aca="false">INDEX(Items!$E$5:$E$62,MATCH($E371,Items!$A$5:$A$62,0))</f>
        <v>pc</v>
      </c>
      <c r="N371" s="6" t="n">
        <f aca="false">ROUND($L371/INDEX(Items!$F$5:$F$62,MATCH($E371,Items!$A$5:$A$62,0)),4)</f>
        <v>3</v>
      </c>
      <c r="O371" s="6"/>
    </row>
    <row r="372" customFormat="false" ht="15" hidden="false" customHeight="false" outlineLevel="0" collapsed="false">
      <c r="A372" s="6" t="n">
        <v>39</v>
      </c>
      <c r="B372" s="6" t="s">
        <v>330</v>
      </c>
      <c r="C372" s="6" t="s">
        <v>324</v>
      </c>
      <c r="D372" s="6" t="s">
        <v>241</v>
      </c>
      <c r="E372" s="6" t="s">
        <v>39</v>
      </c>
      <c r="F372" s="6" t="str">
        <f aca="false">INDEX(Items!$B$5:$B$62,MATCH($E372,Items!$A$5:$A$62,0))</f>
        <v>MEDICAL / INJECTION SUPPLIES</v>
      </c>
      <c r="G372" s="6" t="str">
        <f aca="false">INDEX(Items!$C$5:$C$62,MATCH($E372,Items!$A$5:$A$62,0))</f>
        <v>Countable</v>
      </c>
      <c r="H372" s="6" t="s">
        <v>161</v>
      </c>
      <c r="I372" s="6" t="s">
        <v>191</v>
      </c>
      <c r="J372" s="6" t="n">
        <f aca="false">SUMIFS(Kits!$C$5:$C$163,Kits!$A$5:$A$163,$D372,Kits!$B$5:$B$163,$E372)</f>
        <v>2</v>
      </c>
      <c r="K372" s="6" t="n">
        <f aca="false">INDEX(Services!$F$5:$F$85,MATCH($A372,Services!$A$5:$A$85,0))</f>
        <v>1.5</v>
      </c>
      <c r="L372" s="6" t="n">
        <f aca="false">IF($H372="Auto-deduct",IF($G372="Countable",ROUNDUP($J372*IF($I372="Y",$K372,1),0),ROUND($J372*IF($I372="Y",$K372,1),1)),$J372)</f>
        <v>3</v>
      </c>
      <c r="M372" s="6" t="str">
        <f aca="false">INDEX(Items!$E$5:$E$62,MATCH($E372,Items!$A$5:$A$62,0))</f>
        <v>pc</v>
      </c>
      <c r="N372" s="6" t="n">
        <f aca="false">ROUND($L372/INDEX(Items!$F$5:$F$62,MATCH($E372,Items!$A$5:$A$62,0)),4)</f>
        <v>3</v>
      </c>
      <c r="O372" s="6"/>
    </row>
    <row r="373" customFormat="false" ht="15" hidden="false" customHeight="false" outlineLevel="0" collapsed="false">
      <c r="A373" s="6" t="n">
        <v>39</v>
      </c>
      <c r="B373" s="6" t="s">
        <v>330</v>
      </c>
      <c r="C373" s="6" t="s">
        <v>324</v>
      </c>
      <c r="D373" s="6" t="s">
        <v>241</v>
      </c>
      <c r="E373" s="6" t="s">
        <v>37</v>
      </c>
      <c r="F373" s="6" t="str">
        <f aca="false">INDEX(Items!$B$5:$B$62,MATCH($E373,Items!$A$5:$A$62,0))</f>
        <v>MEDICAL / INJECTION SUPPLIES</v>
      </c>
      <c r="G373" s="6" t="str">
        <f aca="false">INDEX(Items!$C$5:$C$62,MATCH($E373,Items!$A$5:$A$62,0))</f>
        <v>Countable</v>
      </c>
      <c r="H373" s="6" t="s">
        <v>161</v>
      </c>
      <c r="I373" s="6" t="s">
        <v>191</v>
      </c>
      <c r="J373" s="6" t="n">
        <f aca="false">SUMIFS(Kits!$C$5:$C$163,Kits!$A$5:$A$163,$D373,Kits!$B$5:$B$163,$E373)</f>
        <v>2</v>
      </c>
      <c r="K373" s="6" t="n">
        <f aca="false">INDEX(Services!$F$5:$F$85,MATCH($A373,Services!$A$5:$A$85,0))</f>
        <v>1.5</v>
      </c>
      <c r="L373" s="6" t="n">
        <f aca="false">IF($H373="Auto-deduct",IF($G373="Countable",ROUNDUP($J373*IF($I373="Y",$K373,1),0),ROUND($J373*IF($I373="Y",$K373,1),1)),$J373)</f>
        <v>3</v>
      </c>
      <c r="M373" s="6" t="str">
        <f aca="false">INDEX(Items!$E$5:$E$62,MATCH($E373,Items!$A$5:$A$62,0))</f>
        <v>pc</v>
      </c>
      <c r="N373" s="6" t="n">
        <f aca="false">ROUND($L373/INDEX(Items!$F$5:$F$62,MATCH($E373,Items!$A$5:$A$62,0)),4)</f>
        <v>3</v>
      </c>
      <c r="O373" s="6"/>
    </row>
    <row r="374" customFormat="false" ht="15" hidden="false" customHeight="false" outlineLevel="0" collapsed="false">
      <c r="A374" s="6" t="n">
        <v>39</v>
      </c>
      <c r="B374" s="6" t="s">
        <v>330</v>
      </c>
      <c r="C374" s="6" t="s">
        <v>324</v>
      </c>
      <c r="D374" s="6" t="s">
        <v>241</v>
      </c>
      <c r="E374" s="6" t="s">
        <v>84</v>
      </c>
      <c r="F374" s="6" t="str">
        <f aca="false">INDEX(Items!$B$5:$B$62,MATCH($E374,Items!$A$5:$A$62,0))</f>
        <v>DISPOSABLES &amp; CLINIC CONSUMABLES</v>
      </c>
      <c r="G374" s="6" t="str">
        <f aca="false">INDEX(Items!$C$5:$C$62,MATCH($E374,Items!$A$5:$A$62,0))</f>
        <v>Countable</v>
      </c>
      <c r="H374" s="6" t="s">
        <v>161</v>
      </c>
      <c r="I374" s="6" t="s">
        <v>191</v>
      </c>
      <c r="J374" s="6" t="n">
        <f aca="false">SUMIFS(Kits!$C$5:$C$163,Kits!$A$5:$A$163,$D374,Kits!$B$5:$B$163,$E374)</f>
        <v>3</v>
      </c>
      <c r="K374" s="6" t="n">
        <f aca="false">INDEX(Services!$F$5:$F$85,MATCH($A374,Services!$A$5:$A$85,0))</f>
        <v>1.5</v>
      </c>
      <c r="L374" s="6" t="n">
        <f aca="false">IF($H374="Auto-deduct",IF($G374="Countable",ROUNDUP($J374*IF($I374="Y",$K374,1),0),ROUND($J374*IF($I374="Y",$K374,1),1)),$J374)</f>
        <v>5</v>
      </c>
      <c r="M374" s="6" t="str">
        <f aca="false">INDEX(Items!$E$5:$E$62,MATCH($E374,Items!$A$5:$A$62,0))</f>
        <v>pc</v>
      </c>
      <c r="N374" s="6" t="n">
        <f aca="false">ROUND($L374/INDEX(Items!$F$5:$F$62,MATCH($E374,Items!$A$5:$A$62,0)),4)</f>
        <v>5</v>
      </c>
      <c r="O374" s="6"/>
    </row>
    <row r="375" customFormat="false" ht="15" hidden="false" customHeight="false" outlineLevel="0" collapsed="false">
      <c r="A375" s="6" t="n">
        <v>39</v>
      </c>
      <c r="B375" s="6" t="s">
        <v>330</v>
      </c>
      <c r="C375" s="6" t="s">
        <v>324</v>
      </c>
      <c r="D375" s="6" t="s">
        <v>241</v>
      </c>
      <c r="E375" s="6" t="s">
        <v>44</v>
      </c>
      <c r="F375" s="6" t="str">
        <f aca="false">INDEX(Items!$B$5:$B$62,MATCH($E375,Items!$A$5:$A$62,0))</f>
        <v>MEDICAL / INJECTION SUPPLIES</v>
      </c>
      <c r="G375" s="6" t="str">
        <f aca="false">INDEX(Items!$C$5:$C$62,MATCH($E375,Items!$A$5:$A$62,0))</f>
        <v>Countable</v>
      </c>
      <c r="H375" s="6" t="s">
        <v>161</v>
      </c>
      <c r="I375" s="6" t="s">
        <v>160</v>
      </c>
      <c r="J375" s="6" t="n">
        <f aca="false">SUMIFS(Kits!$C$5:$C$163,Kits!$A$5:$A$163,$D375,Kits!$B$5:$B$163,$E375)</f>
        <v>1</v>
      </c>
      <c r="K375" s="6" t="n">
        <f aca="false">INDEX(Services!$F$5:$F$85,MATCH($A375,Services!$A$5:$A$85,0))</f>
        <v>1.5</v>
      </c>
      <c r="L375" s="6" t="n">
        <f aca="false">IF($H375="Auto-deduct",IF($G375="Countable",ROUNDUP($J375*IF($I375="Y",$K375,1),0),ROUND($J375*IF($I375="Y",$K375,1),1)),$J375)</f>
        <v>1</v>
      </c>
      <c r="M375" s="6" t="str">
        <f aca="false">INDEX(Items!$E$5:$E$62,MATCH($E375,Items!$A$5:$A$62,0))</f>
        <v>pc</v>
      </c>
      <c r="N375" s="6" t="n">
        <f aca="false">ROUND($L375/INDEX(Items!$F$5:$F$62,MATCH($E375,Items!$A$5:$A$62,0)),4)</f>
        <v>1</v>
      </c>
      <c r="O375" s="6"/>
    </row>
    <row r="376" customFormat="false" ht="15" hidden="false" customHeight="false" outlineLevel="0" collapsed="false">
      <c r="A376" s="6" t="n">
        <v>39</v>
      </c>
      <c r="B376" s="6" t="s">
        <v>330</v>
      </c>
      <c r="C376" s="6" t="s">
        <v>324</v>
      </c>
      <c r="D376" s="6" t="s">
        <v>241</v>
      </c>
      <c r="E376" s="6" t="s">
        <v>150</v>
      </c>
      <c r="F376" s="6" t="str">
        <f aca="false">INDEX(Items!$B$5:$B$62,MATCH($E376,Items!$A$5:$A$62,0))</f>
        <v>TOOLS / EQUIPMENT / MISC</v>
      </c>
      <c r="G376" s="6" t="str">
        <f aca="false">INDEX(Items!$C$5:$C$62,MATCH($E376,Items!$A$5:$A$62,0))</f>
        <v>Bulk</v>
      </c>
      <c r="H376" s="6" t="s">
        <v>161</v>
      </c>
      <c r="I376" s="6" t="s">
        <v>191</v>
      </c>
      <c r="J376" s="6" t="n">
        <f aca="false">SUMIFS(Kits!$C$5:$C$163,Kits!$A$5:$A$163,$D376,Kits!$B$5:$B$163,$E376)</f>
        <v>3</v>
      </c>
      <c r="K376" s="6" t="n">
        <f aca="false">INDEX(Services!$F$5:$F$85,MATCH($A376,Services!$A$5:$A$85,0))</f>
        <v>1.5</v>
      </c>
      <c r="L376" s="6" t="n">
        <f aca="false">IF($H376="Auto-deduct",IF($G376="Countable",ROUNDUP($J376*IF($I376="Y",$K376,1),0),ROUND($J376*IF($I376="Y",$K376,1),1)),$J376)</f>
        <v>4.5</v>
      </c>
      <c r="M376" s="6" t="str">
        <f aca="false">INDEX(Items!$E$5:$E$62,MATCH($E376,Items!$A$5:$A$62,0))</f>
        <v>g</v>
      </c>
      <c r="N376" s="6" t="n">
        <f aca="false">ROUND($L376/INDEX(Items!$F$5:$F$62,MATCH($E376,Items!$A$5:$A$62,0)),4)</f>
        <v>0.15</v>
      </c>
      <c r="O376" s="6"/>
    </row>
    <row r="377" customFormat="false" ht="15" hidden="false" customHeight="false" outlineLevel="0" collapsed="false">
      <c r="A377" s="6" t="n">
        <v>39</v>
      </c>
      <c r="B377" s="6" t="s">
        <v>330</v>
      </c>
      <c r="C377" s="6" t="s">
        <v>324</v>
      </c>
      <c r="D377" s="6" t="s">
        <v>241</v>
      </c>
      <c r="E377" s="6" t="s">
        <v>79</v>
      </c>
      <c r="F377" s="6" t="str">
        <f aca="false">INDEX(Items!$B$5:$B$62,MATCH($E377,Items!$A$5:$A$62,0))</f>
        <v>DISPOSABLES &amp; CLINIC CONSUMABLES</v>
      </c>
      <c r="G377" s="6" t="str">
        <f aca="false">INDEX(Items!$C$5:$C$62,MATCH($E377,Items!$A$5:$A$62,0))</f>
        <v>Bulk</v>
      </c>
      <c r="H377" s="6" t="s">
        <v>161</v>
      </c>
      <c r="I377" s="6" t="s">
        <v>191</v>
      </c>
      <c r="J377" s="6" t="n">
        <f aca="false">SUMIFS(Kits!$C$5:$C$163,Kits!$A$5:$A$163,$D377,Kits!$B$5:$B$163,$E377)</f>
        <v>20</v>
      </c>
      <c r="K377" s="6" t="n">
        <f aca="false">INDEX(Services!$F$5:$F$85,MATCH($A377,Services!$A$5:$A$85,0))</f>
        <v>1.5</v>
      </c>
      <c r="L377" s="6" t="n">
        <f aca="false">IF($H377="Auto-deduct",IF($G377="Countable",ROUNDUP($J377*IF($I377="Y",$K377,1),0),ROUND($J377*IF($I377="Y",$K377,1),1)),$J377)</f>
        <v>30</v>
      </c>
      <c r="M377" s="6" t="str">
        <f aca="false">INDEX(Items!$E$5:$E$62,MATCH($E377,Items!$A$5:$A$62,0))</f>
        <v>cm</v>
      </c>
      <c r="N377" s="6" t="n">
        <f aca="false">ROUND($L377/INDEX(Items!$F$5:$F$62,MATCH($E377,Items!$A$5:$A$62,0)),4)</f>
        <v>0.01</v>
      </c>
      <c r="O377" s="6"/>
    </row>
    <row r="378" customFormat="false" ht="15" hidden="false" customHeight="false" outlineLevel="0" collapsed="false">
      <c r="A378" s="6" t="n">
        <v>40</v>
      </c>
      <c r="B378" s="6" t="s">
        <v>331</v>
      </c>
      <c r="C378" s="6" t="s">
        <v>324</v>
      </c>
      <c r="D378" s="6" t="s">
        <v>159</v>
      </c>
      <c r="E378" s="6" t="s">
        <v>52</v>
      </c>
      <c r="F378" s="6" t="str">
        <f aca="false">INDEX(Items!$B$5:$B$62,MATCH($E378,Items!$A$5:$A$62,0))</f>
        <v>DISPOSABLES &amp; CLINIC CONSUMABLES</v>
      </c>
      <c r="G378" s="6" t="str">
        <f aca="false">INDEX(Items!$C$5:$C$62,MATCH($E378,Items!$A$5:$A$62,0))</f>
        <v>Countable</v>
      </c>
      <c r="H378" s="6" t="s">
        <v>161</v>
      </c>
      <c r="I378" s="6" t="s">
        <v>160</v>
      </c>
      <c r="J378" s="6" t="n">
        <f aca="false">SUMIFS(Kits!$C$5:$C$163,Kits!$A$5:$A$163,$D378,Kits!$B$5:$B$163,$E378)</f>
        <v>1</v>
      </c>
      <c r="K378" s="6" t="n">
        <f aca="false">INDEX(Services!$F$5:$F$85,MATCH($A378,Services!$A$5:$A$85,0))</f>
        <v>1.5</v>
      </c>
      <c r="L378" s="6" t="n">
        <f aca="false">IF($H378="Auto-deduct",IF($G378="Countable",ROUNDUP($J378*IF($I378="Y",$K378,1),0),ROUND($J378*IF($I378="Y",$K378,1),1)),$J378)</f>
        <v>1</v>
      </c>
      <c r="M378" s="6" t="str">
        <f aca="false">INDEX(Items!$E$5:$E$62,MATCH($E378,Items!$A$5:$A$62,0))</f>
        <v>pc</v>
      </c>
      <c r="N378" s="6" t="n">
        <f aca="false">ROUND($L378/INDEX(Items!$F$5:$F$62,MATCH($E378,Items!$A$5:$A$62,0)),4)</f>
        <v>1</v>
      </c>
      <c r="O378" s="6"/>
    </row>
    <row r="379" customFormat="false" ht="15" hidden="false" customHeight="false" outlineLevel="0" collapsed="false">
      <c r="A379" s="6" t="n">
        <v>40</v>
      </c>
      <c r="B379" s="6" t="s">
        <v>331</v>
      </c>
      <c r="C379" s="6" t="s">
        <v>324</v>
      </c>
      <c r="D379" s="6" t="s">
        <v>159</v>
      </c>
      <c r="E379" s="6" t="s">
        <v>53</v>
      </c>
      <c r="F379" s="6" t="str">
        <f aca="false">INDEX(Items!$B$5:$B$62,MATCH($E379,Items!$A$5:$A$62,0))</f>
        <v>DISPOSABLES &amp; CLINIC CONSUMABLES</v>
      </c>
      <c r="G379" s="6" t="str">
        <f aca="false">INDEX(Items!$C$5:$C$62,MATCH($E379,Items!$A$5:$A$62,0))</f>
        <v>Countable</v>
      </c>
      <c r="H379" s="6" t="s">
        <v>161</v>
      </c>
      <c r="I379" s="6" t="s">
        <v>160</v>
      </c>
      <c r="J379" s="6" t="n">
        <f aca="false">SUMIFS(Kits!$C$5:$C$163,Kits!$A$5:$A$163,$D379,Kits!$B$5:$B$163,$E379)</f>
        <v>1</v>
      </c>
      <c r="K379" s="6" t="n">
        <f aca="false">INDEX(Services!$F$5:$F$85,MATCH($A379,Services!$A$5:$A$85,0))</f>
        <v>1.5</v>
      </c>
      <c r="L379" s="6" t="n">
        <f aca="false">IF($H379="Auto-deduct",IF($G379="Countable",ROUNDUP($J379*IF($I379="Y",$K379,1),0),ROUND($J379*IF($I379="Y",$K379,1),1)),$J379)</f>
        <v>1</v>
      </c>
      <c r="M379" s="6" t="str">
        <f aca="false">INDEX(Items!$E$5:$E$62,MATCH($E379,Items!$A$5:$A$62,0))</f>
        <v>pair</v>
      </c>
      <c r="N379" s="6" t="n">
        <f aca="false">ROUND($L379/INDEX(Items!$F$5:$F$62,MATCH($E379,Items!$A$5:$A$62,0)),4)</f>
        <v>1</v>
      </c>
      <c r="O379" s="6"/>
    </row>
    <row r="380" customFormat="false" ht="15" hidden="false" customHeight="false" outlineLevel="0" collapsed="false">
      <c r="A380" s="6" t="n">
        <v>40</v>
      </c>
      <c r="B380" s="6" t="s">
        <v>331</v>
      </c>
      <c r="C380" s="6" t="s">
        <v>324</v>
      </c>
      <c r="D380" s="6" t="s">
        <v>159</v>
      </c>
      <c r="E380" s="6" t="s">
        <v>88</v>
      </c>
      <c r="F380" s="6" t="str">
        <f aca="false">INDEX(Items!$B$5:$B$62,MATCH($E380,Items!$A$5:$A$62,0))</f>
        <v>DISPOSABLES &amp; CLINIC CONSUMABLES</v>
      </c>
      <c r="G380" s="6" t="str">
        <f aca="false">INDEX(Items!$C$5:$C$62,MATCH($E380,Items!$A$5:$A$62,0))</f>
        <v>Bulk</v>
      </c>
      <c r="H380" s="6" t="s">
        <v>161</v>
      </c>
      <c r="I380" s="6" t="s">
        <v>160</v>
      </c>
      <c r="J380" s="6" t="n">
        <f aca="false">SUMIFS(Kits!$C$5:$C$163,Kits!$A$5:$A$163,$D380,Kits!$B$5:$B$163,$E380)</f>
        <v>5</v>
      </c>
      <c r="K380" s="6" t="n">
        <f aca="false">INDEX(Services!$F$5:$F$85,MATCH($A380,Services!$A$5:$A$85,0))</f>
        <v>1.5</v>
      </c>
      <c r="L380" s="6" t="n">
        <f aca="false">IF($H380="Auto-deduct",IF($G380="Countable",ROUNDUP($J380*IF($I380="Y",$K380,1),0),ROUND($J380*IF($I380="Y",$K380,1),1)),$J380)</f>
        <v>5</v>
      </c>
      <c r="M380" s="6" t="str">
        <f aca="false">INDEX(Items!$E$5:$E$62,MATCH($E380,Items!$A$5:$A$62,0))</f>
        <v>mL</v>
      </c>
      <c r="N380" s="6" t="n">
        <f aca="false">ROUND($L380/INDEX(Items!$F$5:$F$62,MATCH($E380,Items!$A$5:$A$62,0)),4)</f>
        <v>0.01</v>
      </c>
      <c r="O380" s="6"/>
    </row>
    <row r="381" customFormat="false" ht="15" hidden="false" customHeight="false" outlineLevel="0" collapsed="false">
      <c r="A381" s="6" t="n">
        <v>40</v>
      </c>
      <c r="B381" s="6" t="s">
        <v>331</v>
      </c>
      <c r="C381" s="6" t="s">
        <v>324</v>
      </c>
      <c r="D381" s="6" t="s">
        <v>243</v>
      </c>
      <c r="E381" s="6" t="s">
        <v>86</v>
      </c>
      <c r="F381" s="6" t="str">
        <f aca="false">INDEX(Items!$B$5:$B$62,MATCH($E381,Items!$A$5:$A$62,0))</f>
        <v>DISPOSABLES &amp; CLINIC CONSUMABLES</v>
      </c>
      <c r="G381" s="6" t="str">
        <f aca="false">INDEX(Items!$C$5:$C$62,MATCH($E381,Items!$A$5:$A$62,0))</f>
        <v>Bulk</v>
      </c>
      <c r="H381" s="6" t="s">
        <v>161</v>
      </c>
      <c r="I381" s="6" t="s">
        <v>191</v>
      </c>
      <c r="J381" s="6" t="n">
        <f aca="false">SUMIFS(Kits!$C$5:$C$163,Kits!$A$5:$A$163,$D381,Kits!$B$5:$B$163,$E381)</f>
        <v>3</v>
      </c>
      <c r="K381" s="6" t="n">
        <f aca="false">INDEX(Services!$F$5:$F$85,MATCH($A381,Services!$A$5:$A$85,0))</f>
        <v>1.5</v>
      </c>
      <c r="L381" s="6" t="n">
        <f aca="false">IF($H381="Auto-deduct",IF($G381="Countable",ROUNDUP($J381*IF($I381="Y",$K381,1),0),ROUND($J381*IF($I381="Y",$K381,1),1)),$J381)</f>
        <v>4.5</v>
      </c>
      <c r="M381" s="6" t="str">
        <f aca="false">INDEX(Items!$E$5:$E$62,MATCH($E381,Items!$A$5:$A$62,0))</f>
        <v>pc</v>
      </c>
      <c r="N381" s="6" t="n">
        <f aca="false">ROUND($L381/INDEX(Items!$F$5:$F$62,MATCH($E381,Items!$A$5:$A$62,0)),4)</f>
        <v>0.0563</v>
      </c>
      <c r="O381" s="6"/>
    </row>
    <row r="382" customFormat="false" ht="15" hidden="false" customHeight="false" outlineLevel="0" collapsed="false">
      <c r="A382" s="6" t="n">
        <v>40</v>
      </c>
      <c r="B382" s="6" t="s">
        <v>331</v>
      </c>
      <c r="C382" s="6" t="s">
        <v>324</v>
      </c>
      <c r="D382" s="6" t="s">
        <v>243</v>
      </c>
      <c r="E382" s="6" t="s">
        <v>88</v>
      </c>
      <c r="F382" s="6" t="str">
        <f aca="false">INDEX(Items!$B$5:$B$62,MATCH($E382,Items!$A$5:$A$62,0))</f>
        <v>DISPOSABLES &amp; CLINIC CONSUMABLES</v>
      </c>
      <c r="G382" s="6" t="str">
        <f aca="false">INDEX(Items!$C$5:$C$62,MATCH($E382,Items!$A$5:$A$62,0))</f>
        <v>Bulk</v>
      </c>
      <c r="H382" s="6" t="s">
        <v>161</v>
      </c>
      <c r="I382" s="6" t="s">
        <v>191</v>
      </c>
      <c r="J382" s="6" t="n">
        <f aca="false">SUMIFS(Kits!$C$5:$C$163,Kits!$A$5:$A$163,$D382,Kits!$B$5:$B$163,$E382)</f>
        <v>10</v>
      </c>
      <c r="K382" s="6" t="n">
        <f aca="false">INDEX(Services!$F$5:$F$85,MATCH($A382,Services!$A$5:$A$85,0))</f>
        <v>1.5</v>
      </c>
      <c r="L382" s="6" t="n">
        <f aca="false">IF($H382="Auto-deduct",IF($G382="Countable",ROUNDUP($J382*IF($I382="Y",$K382,1),0),ROUND($J382*IF($I382="Y",$K382,1),1)),$J382)</f>
        <v>15</v>
      </c>
      <c r="M382" s="6" t="str">
        <f aca="false">INDEX(Items!$E$5:$E$62,MATCH($E382,Items!$A$5:$A$62,0))</f>
        <v>mL</v>
      </c>
      <c r="N382" s="6" t="n">
        <f aca="false">ROUND($L382/INDEX(Items!$F$5:$F$62,MATCH($E382,Items!$A$5:$A$62,0)),4)</f>
        <v>0.03</v>
      </c>
      <c r="O382" s="6"/>
    </row>
    <row r="383" customFormat="false" ht="15" hidden="false" customHeight="false" outlineLevel="0" collapsed="false">
      <c r="A383" s="6" t="n">
        <v>40</v>
      </c>
      <c r="B383" s="6" t="s">
        <v>331</v>
      </c>
      <c r="C383" s="6" t="s">
        <v>324</v>
      </c>
      <c r="D383" s="6" t="s">
        <v>241</v>
      </c>
      <c r="E383" s="6" t="s">
        <v>34</v>
      </c>
      <c r="F383" s="6" t="str">
        <f aca="false">INDEX(Items!$B$5:$B$62,MATCH($E383,Items!$A$5:$A$62,0))</f>
        <v>MEDICAL / INJECTION SUPPLIES</v>
      </c>
      <c r="G383" s="6" t="str">
        <f aca="false">INDEX(Items!$C$5:$C$62,MATCH($E383,Items!$A$5:$A$62,0))</f>
        <v>Countable</v>
      </c>
      <c r="H383" s="6" t="s">
        <v>161</v>
      </c>
      <c r="I383" s="6" t="s">
        <v>191</v>
      </c>
      <c r="J383" s="6" t="n">
        <f aca="false">SUMIFS(Kits!$C$5:$C$163,Kits!$A$5:$A$163,$D383,Kits!$B$5:$B$163,$E383)</f>
        <v>2</v>
      </c>
      <c r="K383" s="6" t="n">
        <f aca="false">INDEX(Services!$F$5:$F$85,MATCH($A383,Services!$A$5:$A$85,0))</f>
        <v>1.5</v>
      </c>
      <c r="L383" s="6" t="n">
        <f aca="false">IF($H383="Auto-deduct",IF($G383="Countable",ROUNDUP($J383*IF($I383="Y",$K383,1),0),ROUND($J383*IF($I383="Y",$K383,1),1)),$J383)</f>
        <v>3</v>
      </c>
      <c r="M383" s="6" t="str">
        <f aca="false">INDEX(Items!$E$5:$E$62,MATCH($E383,Items!$A$5:$A$62,0))</f>
        <v>pc</v>
      </c>
      <c r="N383" s="6" t="n">
        <f aca="false">ROUND($L383/INDEX(Items!$F$5:$F$62,MATCH($E383,Items!$A$5:$A$62,0)),4)</f>
        <v>3</v>
      </c>
      <c r="O383" s="6"/>
    </row>
    <row r="384" customFormat="false" ht="15" hidden="false" customHeight="false" outlineLevel="0" collapsed="false">
      <c r="A384" s="6" t="n">
        <v>40</v>
      </c>
      <c r="B384" s="6" t="s">
        <v>331</v>
      </c>
      <c r="C384" s="6" t="s">
        <v>324</v>
      </c>
      <c r="D384" s="6" t="s">
        <v>241</v>
      </c>
      <c r="E384" s="6" t="s">
        <v>39</v>
      </c>
      <c r="F384" s="6" t="str">
        <f aca="false">INDEX(Items!$B$5:$B$62,MATCH($E384,Items!$A$5:$A$62,0))</f>
        <v>MEDICAL / INJECTION SUPPLIES</v>
      </c>
      <c r="G384" s="6" t="str">
        <f aca="false">INDEX(Items!$C$5:$C$62,MATCH($E384,Items!$A$5:$A$62,0))</f>
        <v>Countable</v>
      </c>
      <c r="H384" s="6" t="s">
        <v>161</v>
      </c>
      <c r="I384" s="6" t="s">
        <v>191</v>
      </c>
      <c r="J384" s="6" t="n">
        <f aca="false">SUMIFS(Kits!$C$5:$C$163,Kits!$A$5:$A$163,$D384,Kits!$B$5:$B$163,$E384)</f>
        <v>2</v>
      </c>
      <c r="K384" s="6" t="n">
        <f aca="false">INDEX(Services!$F$5:$F$85,MATCH($A384,Services!$A$5:$A$85,0))</f>
        <v>1.5</v>
      </c>
      <c r="L384" s="6" t="n">
        <f aca="false">IF($H384="Auto-deduct",IF($G384="Countable",ROUNDUP($J384*IF($I384="Y",$K384,1),0),ROUND($J384*IF($I384="Y",$K384,1),1)),$J384)</f>
        <v>3</v>
      </c>
      <c r="M384" s="6" t="str">
        <f aca="false">INDEX(Items!$E$5:$E$62,MATCH($E384,Items!$A$5:$A$62,0))</f>
        <v>pc</v>
      </c>
      <c r="N384" s="6" t="n">
        <f aca="false">ROUND($L384/INDEX(Items!$F$5:$F$62,MATCH($E384,Items!$A$5:$A$62,0)),4)</f>
        <v>3</v>
      </c>
      <c r="O384" s="6"/>
    </row>
    <row r="385" customFormat="false" ht="15" hidden="false" customHeight="false" outlineLevel="0" collapsed="false">
      <c r="A385" s="6" t="n">
        <v>40</v>
      </c>
      <c r="B385" s="6" t="s">
        <v>331</v>
      </c>
      <c r="C385" s="6" t="s">
        <v>324</v>
      </c>
      <c r="D385" s="6" t="s">
        <v>241</v>
      </c>
      <c r="E385" s="6" t="s">
        <v>37</v>
      </c>
      <c r="F385" s="6" t="str">
        <f aca="false">INDEX(Items!$B$5:$B$62,MATCH($E385,Items!$A$5:$A$62,0))</f>
        <v>MEDICAL / INJECTION SUPPLIES</v>
      </c>
      <c r="G385" s="6" t="str">
        <f aca="false">INDEX(Items!$C$5:$C$62,MATCH($E385,Items!$A$5:$A$62,0))</f>
        <v>Countable</v>
      </c>
      <c r="H385" s="6" t="s">
        <v>161</v>
      </c>
      <c r="I385" s="6" t="s">
        <v>191</v>
      </c>
      <c r="J385" s="6" t="n">
        <f aca="false">SUMIFS(Kits!$C$5:$C$163,Kits!$A$5:$A$163,$D385,Kits!$B$5:$B$163,$E385)</f>
        <v>2</v>
      </c>
      <c r="K385" s="6" t="n">
        <f aca="false">INDEX(Services!$F$5:$F$85,MATCH($A385,Services!$A$5:$A$85,0))</f>
        <v>1.5</v>
      </c>
      <c r="L385" s="6" t="n">
        <f aca="false">IF($H385="Auto-deduct",IF($G385="Countable",ROUNDUP($J385*IF($I385="Y",$K385,1),0),ROUND($J385*IF($I385="Y",$K385,1),1)),$J385)</f>
        <v>3</v>
      </c>
      <c r="M385" s="6" t="str">
        <f aca="false">INDEX(Items!$E$5:$E$62,MATCH($E385,Items!$A$5:$A$62,0))</f>
        <v>pc</v>
      </c>
      <c r="N385" s="6" t="n">
        <f aca="false">ROUND($L385/INDEX(Items!$F$5:$F$62,MATCH($E385,Items!$A$5:$A$62,0)),4)</f>
        <v>3</v>
      </c>
      <c r="O385" s="6"/>
    </row>
    <row r="386" customFormat="false" ht="15" hidden="false" customHeight="false" outlineLevel="0" collapsed="false">
      <c r="A386" s="6" t="n">
        <v>40</v>
      </c>
      <c r="B386" s="6" t="s">
        <v>331</v>
      </c>
      <c r="C386" s="6" t="s">
        <v>324</v>
      </c>
      <c r="D386" s="6" t="s">
        <v>241</v>
      </c>
      <c r="E386" s="6" t="s">
        <v>84</v>
      </c>
      <c r="F386" s="6" t="str">
        <f aca="false">INDEX(Items!$B$5:$B$62,MATCH($E386,Items!$A$5:$A$62,0))</f>
        <v>DISPOSABLES &amp; CLINIC CONSUMABLES</v>
      </c>
      <c r="G386" s="6" t="str">
        <f aca="false">INDEX(Items!$C$5:$C$62,MATCH($E386,Items!$A$5:$A$62,0))</f>
        <v>Countable</v>
      </c>
      <c r="H386" s="6" t="s">
        <v>161</v>
      </c>
      <c r="I386" s="6" t="s">
        <v>191</v>
      </c>
      <c r="J386" s="6" t="n">
        <f aca="false">SUMIFS(Kits!$C$5:$C$163,Kits!$A$5:$A$163,$D386,Kits!$B$5:$B$163,$E386)</f>
        <v>3</v>
      </c>
      <c r="K386" s="6" t="n">
        <f aca="false">INDEX(Services!$F$5:$F$85,MATCH($A386,Services!$A$5:$A$85,0))</f>
        <v>1.5</v>
      </c>
      <c r="L386" s="6" t="n">
        <f aca="false">IF($H386="Auto-deduct",IF($G386="Countable",ROUNDUP($J386*IF($I386="Y",$K386,1),0),ROUND($J386*IF($I386="Y",$K386,1),1)),$J386)</f>
        <v>5</v>
      </c>
      <c r="M386" s="6" t="str">
        <f aca="false">INDEX(Items!$E$5:$E$62,MATCH($E386,Items!$A$5:$A$62,0))</f>
        <v>pc</v>
      </c>
      <c r="N386" s="6" t="n">
        <f aca="false">ROUND($L386/INDEX(Items!$F$5:$F$62,MATCH($E386,Items!$A$5:$A$62,0)),4)</f>
        <v>5</v>
      </c>
      <c r="O386" s="6"/>
    </row>
    <row r="387" customFormat="false" ht="15" hidden="false" customHeight="false" outlineLevel="0" collapsed="false">
      <c r="A387" s="6" t="n">
        <v>40</v>
      </c>
      <c r="B387" s="6" t="s">
        <v>331</v>
      </c>
      <c r="C387" s="6" t="s">
        <v>324</v>
      </c>
      <c r="D387" s="6" t="s">
        <v>241</v>
      </c>
      <c r="E387" s="6" t="s">
        <v>44</v>
      </c>
      <c r="F387" s="6" t="str">
        <f aca="false">INDEX(Items!$B$5:$B$62,MATCH($E387,Items!$A$5:$A$62,0))</f>
        <v>MEDICAL / INJECTION SUPPLIES</v>
      </c>
      <c r="G387" s="6" t="str">
        <f aca="false">INDEX(Items!$C$5:$C$62,MATCH($E387,Items!$A$5:$A$62,0))</f>
        <v>Countable</v>
      </c>
      <c r="H387" s="6" t="s">
        <v>161</v>
      </c>
      <c r="I387" s="6" t="s">
        <v>160</v>
      </c>
      <c r="J387" s="6" t="n">
        <f aca="false">SUMIFS(Kits!$C$5:$C$163,Kits!$A$5:$A$163,$D387,Kits!$B$5:$B$163,$E387)</f>
        <v>1</v>
      </c>
      <c r="K387" s="6" t="n">
        <f aca="false">INDEX(Services!$F$5:$F$85,MATCH($A387,Services!$A$5:$A$85,0))</f>
        <v>1.5</v>
      </c>
      <c r="L387" s="6" t="n">
        <f aca="false">IF($H387="Auto-deduct",IF($G387="Countable",ROUNDUP($J387*IF($I387="Y",$K387,1),0),ROUND($J387*IF($I387="Y",$K387,1),1)),$J387)</f>
        <v>1</v>
      </c>
      <c r="M387" s="6" t="str">
        <f aca="false">INDEX(Items!$E$5:$E$62,MATCH($E387,Items!$A$5:$A$62,0))</f>
        <v>pc</v>
      </c>
      <c r="N387" s="6" t="n">
        <f aca="false">ROUND($L387/INDEX(Items!$F$5:$F$62,MATCH($E387,Items!$A$5:$A$62,0)),4)</f>
        <v>1</v>
      </c>
      <c r="O387" s="6"/>
    </row>
    <row r="388" customFormat="false" ht="15" hidden="false" customHeight="false" outlineLevel="0" collapsed="false">
      <c r="A388" s="6" t="n">
        <v>40</v>
      </c>
      <c r="B388" s="6" t="s">
        <v>331</v>
      </c>
      <c r="C388" s="6" t="s">
        <v>324</v>
      </c>
      <c r="D388" s="6" t="s">
        <v>241</v>
      </c>
      <c r="E388" s="6" t="s">
        <v>150</v>
      </c>
      <c r="F388" s="6" t="str">
        <f aca="false">INDEX(Items!$B$5:$B$62,MATCH($E388,Items!$A$5:$A$62,0))</f>
        <v>TOOLS / EQUIPMENT / MISC</v>
      </c>
      <c r="G388" s="6" t="str">
        <f aca="false">INDEX(Items!$C$5:$C$62,MATCH($E388,Items!$A$5:$A$62,0))</f>
        <v>Bulk</v>
      </c>
      <c r="H388" s="6" t="s">
        <v>161</v>
      </c>
      <c r="I388" s="6" t="s">
        <v>191</v>
      </c>
      <c r="J388" s="6" t="n">
        <f aca="false">SUMIFS(Kits!$C$5:$C$163,Kits!$A$5:$A$163,$D388,Kits!$B$5:$B$163,$E388)</f>
        <v>3</v>
      </c>
      <c r="K388" s="6" t="n">
        <f aca="false">INDEX(Services!$F$5:$F$85,MATCH($A388,Services!$A$5:$A$85,0))</f>
        <v>1.5</v>
      </c>
      <c r="L388" s="6" t="n">
        <f aca="false">IF($H388="Auto-deduct",IF($G388="Countable",ROUNDUP($J388*IF($I388="Y",$K388,1),0),ROUND($J388*IF($I388="Y",$K388,1),1)),$J388)</f>
        <v>4.5</v>
      </c>
      <c r="M388" s="6" t="str">
        <f aca="false">INDEX(Items!$E$5:$E$62,MATCH($E388,Items!$A$5:$A$62,0))</f>
        <v>g</v>
      </c>
      <c r="N388" s="6" t="n">
        <f aca="false">ROUND($L388/INDEX(Items!$F$5:$F$62,MATCH($E388,Items!$A$5:$A$62,0)),4)</f>
        <v>0.15</v>
      </c>
      <c r="O388" s="6"/>
    </row>
    <row r="389" customFormat="false" ht="15" hidden="false" customHeight="false" outlineLevel="0" collapsed="false">
      <c r="A389" s="6" t="n">
        <v>40</v>
      </c>
      <c r="B389" s="6" t="s">
        <v>331</v>
      </c>
      <c r="C389" s="6" t="s">
        <v>324</v>
      </c>
      <c r="D389" s="6" t="s">
        <v>241</v>
      </c>
      <c r="E389" s="6" t="s">
        <v>79</v>
      </c>
      <c r="F389" s="6" t="str">
        <f aca="false">INDEX(Items!$B$5:$B$62,MATCH($E389,Items!$A$5:$A$62,0))</f>
        <v>DISPOSABLES &amp; CLINIC CONSUMABLES</v>
      </c>
      <c r="G389" s="6" t="str">
        <f aca="false">INDEX(Items!$C$5:$C$62,MATCH($E389,Items!$A$5:$A$62,0))</f>
        <v>Bulk</v>
      </c>
      <c r="H389" s="6" t="s">
        <v>161</v>
      </c>
      <c r="I389" s="6" t="s">
        <v>191</v>
      </c>
      <c r="J389" s="6" t="n">
        <f aca="false">SUMIFS(Kits!$C$5:$C$163,Kits!$A$5:$A$163,$D389,Kits!$B$5:$B$163,$E389)</f>
        <v>20</v>
      </c>
      <c r="K389" s="6" t="n">
        <f aca="false">INDEX(Services!$F$5:$F$85,MATCH($A389,Services!$A$5:$A$85,0))</f>
        <v>1.5</v>
      </c>
      <c r="L389" s="6" t="n">
        <f aca="false">IF($H389="Auto-deduct",IF($G389="Countable",ROUNDUP($J389*IF($I389="Y",$K389,1),0),ROUND($J389*IF($I389="Y",$K389,1),1)),$J389)</f>
        <v>30</v>
      </c>
      <c r="M389" s="6" t="str">
        <f aca="false">INDEX(Items!$E$5:$E$62,MATCH($E389,Items!$A$5:$A$62,0))</f>
        <v>cm</v>
      </c>
      <c r="N389" s="6" t="n">
        <f aca="false">ROUND($L389/INDEX(Items!$F$5:$F$62,MATCH($E389,Items!$A$5:$A$62,0)),4)</f>
        <v>0.01</v>
      </c>
      <c r="O389" s="6"/>
    </row>
    <row r="390" customFormat="false" ht="15" hidden="false" customHeight="false" outlineLevel="0" collapsed="false">
      <c r="A390" s="6" t="n">
        <v>41</v>
      </c>
      <c r="B390" s="6" t="s">
        <v>332</v>
      </c>
      <c r="C390" s="6" t="s">
        <v>324</v>
      </c>
      <c r="D390" s="6" t="s">
        <v>159</v>
      </c>
      <c r="E390" s="6" t="s">
        <v>52</v>
      </c>
      <c r="F390" s="6" t="str">
        <f aca="false">INDEX(Items!$B$5:$B$62,MATCH($E390,Items!$A$5:$A$62,0))</f>
        <v>DISPOSABLES &amp; CLINIC CONSUMABLES</v>
      </c>
      <c r="G390" s="6" t="str">
        <f aca="false">INDEX(Items!$C$5:$C$62,MATCH($E390,Items!$A$5:$A$62,0))</f>
        <v>Countable</v>
      </c>
      <c r="H390" s="6" t="s">
        <v>161</v>
      </c>
      <c r="I390" s="6" t="s">
        <v>160</v>
      </c>
      <c r="J390" s="6" t="n">
        <f aca="false">SUMIFS(Kits!$C$5:$C$163,Kits!$A$5:$A$163,$D390,Kits!$B$5:$B$163,$E390)</f>
        <v>1</v>
      </c>
      <c r="K390" s="6" t="n">
        <f aca="false">INDEX(Services!$F$5:$F$85,MATCH($A390,Services!$A$5:$A$85,0))</f>
        <v>6</v>
      </c>
      <c r="L390" s="6" t="n">
        <f aca="false">IF($H390="Auto-deduct",IF($G390="Countable",ROUNDUP($J390*IF($I390="Y",$K390,1),0),ROUND($J390*IF($I390="Y",$K390,1),1)),$J390)</f>
        <v>1</v>
      </c>
      <c r="M390" s="6" t="str">
        <f aca="false">INDEX(Items!$E$5:$E$62,MATCH($E390,Items!$A$5:$A$62,0))</f>
        <v>pc</v>
      </c>
      <c r="N390" s="6" t="n">
        <f aca="false">ROUND($L390/INDEX(Items!$F$5:$F$62,MATCH($E390,Items!$A$5:$A$62,0)),4)</f>
        <v>1</v>
      </c>
      <c r="O390" s="6"/>
    </row>
    <row r="391" customFormat="false" ht="15" hidden="false" customHeight="false" outlineLevel="0" collapsed="false">
      <c r="A391" s="6" t="n">
        <v>41</v>
      </c>
      <c r="B391" s="6" t="s">
        <v>332</v>
      </c>
      <c r="C391" s="6" t="s">
        <v>324</v>
      </c>
      <c r="D391" s="6" t="s">
        <v>159</v>
      </c>
      <c r="E391" s="6" t="s">
        <v>53</v>
      </c>
      <c r="F391" s="6" t="str">
        <f aca="false">INDEX(Items!$B$5:$B$62,MATCH($E391,Items!$A$5:$A$62,0))</f>
        <v>DISPOSABLES &amp; CLINIC CONSUMABLES</v>
      </c>
      <c r="G391" s="6" t="str">
        <f aca="false">INDEX(Items!$C$5:$C$62,MATCH($E391,Items!$A$5:$A$62,0))</f>
        <v>Countable</v>
      </c>
      <c r="H391" s="6" t="s">
        <v>161</v>
      </c>
      <c r="I391" s="6" t="s">
        <v>160</v>
      </c>
      <c r="J391" s="6" t="n">
        <f aca="false">SUMIFS(Kits!$C$5:$C$163,Kits!$A$5:$A$163,$D391,Kits!$B$5:$B$163,$E391)</f>
        <v>1</v>
      </c>
      <c r="K391" s="6" t="n">
        <f aca="false">INDEX(Services!$F$5:$F$85,MATCH($A391,Services!$A$5:$A$85,0))</f>
        <v>6</v>
      </c>
      <c r="L391" s="6" t="n">
        <f aca="false">IF($H391="Auto-deduct",IF($G391="Countable",ROUNDUP($J391*IF($I391="Y",$K391,1),0),ROUND($J391*IF($I391="Y",$K391,1),1)),$J391)</f>
        <v>1</v>
      </c>
      <c r="M391" s="6" t="str">
        <f aca="false">INDEX(Items!$E$5:$E$62,MATCH($E391,Items!$A$5:$A$62,0))</f>
        <v>pair</v>
      </c>
      <c r="N391" s="6" t="n">
        <f aca="false">ROUND($L391/INDEX(Items!$F$5:$F$62,MATCH($E391,Items!$A$5:$A$62,0)),4)</f>
        <v>1</v>
      </c>
      <c r="O391" s="6"/>
    </row>
    <row r="392" customFormat="false" ht="15" hidden="false" customHeight="false" outlineLevel="0" collapsed="false">
      <c r="A392" s="6" t="n">
        <v>41</v>
      </c>
      <c r="B392" s="6" t="s">
        <v>332</v>
      </c>
      <c r="C392" s="6" t="s">
        <v>324</v>
      </c>
      <c r="D392" s="6" t="s">
        <v>159</v>
      </c>
      <c r="E392" s="6" t="s">
        <v>88</v>
      </c>
      <c r="F392" s="6" t="str">
        <f aca="false">INDEX(Items!$B$5:$B$62,MATCH($E392,Items!$A$5:$A$62,0))</f>
        <v>DISPOSABLES &amp; CLINIC CONSUMABLES</v>
      </c>
      <c r="G392" s="6" t="str">
        <f aca="false">INDEX(Items!$C$5:$C$62,MATCH($E392,Items!$A$5:$A$62,0))</f>
        <v>Bulk</v>
      </c>
      <c r="H392" s="6" t="s">
        <v>161</v>
      </c>
      <c r="I392" s="6" t="s">
        <v>160</v>
      </c>
      <c r="J392" s="6" t="n">
        <f aca="false">SUMIFS(Kits!$C$5:$C$163,Kits!$A$5:$A$163,$D392,Kits!$B$5:$B$163,$E392)</f>
        <v>5</v>
      </c>
      <c r="K392" s="6" t="n">
        <f aca="false">INDEX(Services!$F$5:$F$85,MATCH($A392,Services!$A$5:$A$85,0))</f>
        <v>6</v>
      </c>
      <c r="L392" s="6" t="n">
        <f aca="false">IF($H392="Auto-deduct",IF($G392="Countable",ROUNDUP($J392*IF($I392="Y",$K392,1),0),ROUND($J392*IF($I392="Y",$K392,1),1)),$J392)</f>
        <v>5</v>
      </c>
      <c r="M392" s="6" t="str">
        <f aca="false">INDEX(Items!$E$5:$E$62,MATCH($E392,Items!$A$5:$A$62,0))</f>
        <v>mL</v>
      </c>
      <c r="N392" s="6" t="n">
        <f aca="false">ROUND($L392/INDEX(Items!$F$5:$F$62,MATCH($E392,Items!$A$5:$A$62,0)),4)</f>
        <v>0.01</v>
      </c>
      <c r="O392" s="6"/>
    </row>
    <row r="393" customFormat="false" ht="15" hidden="false" customHeight="false" outlineLevel="0" collapsed="false">
      <c r="A393" s="6" t="n">
        <v>41</v>
      </c>
      <c r="B393" s="6" t="s">
        <v>332</v>
      </c>
      <c r="C393" s="6" t="s">
        <v>324</v>
      </c>
      <c r="D393" s="6" t="s">
        <v>243</v>
      </c>
      <c r="E393" s="6" t="s">
        <v>86</v>
      </c>
      <c r="F393" s="6" t="str">
        <f aca="false">INDEX(Items!$B$5:$B$62,MATCH($E393,Items!$A$5:$A$62,0))</f>
        <v>DISPOSABLES &amp; CLINIC CONSUMABLES</v>
      </c>
      <c r="G393" s="6" t="str">
        <f aca="false">INDEX(Items!$C$5:$C$62,MATCH($E393,Items!$A$5:$A$62,0))</f>
        <v>Bulk</v>
      </c>
      <c r="H393" s="6" t="s">
        <v>161</v>
      </c>
      <c r="I393" s="6" t="s">
        <v>191</v>
      </c>
      <c r="J393" s="6" t="n">
        <f aca="false">SUMIFS(Kits!$C$5:$C$163,Kits!$A$5:$A$163,$D393,Kits!$B$5:$B$163,$E393)</f>
        <v>3</v>
      </c>
      <c r="K393" s="6" t="n">
        <f aca="false">INDEX(Services!$F$5:$F$85,MATCH($A393,Services!$A$5:$A$85,0))</f>
        <v>6</v>
      </c>
      <c r="L393" s="6" t="n">
        <f aca="false">IF($H393="Auto-deduct",IF($G393="Countable",ROUNDUP($J393*IF($I393="Y",$K393,1),0),ROUND($J393*IF($I393="Y",$K393,1),1)),$J393)</f>
        <v>18</v>
      </c>
      <c r="M393" s="6" t="str">
        <f aca="false">INDEX(Items!$E$5:$E$62,MATCH($E393,Items!$A$5:$A$62,0))</f>
        <v>pc</v>
      </c>
      <c r="N393" s="6" t="n">
        <f aca="false">ROUND($L393/INDEX(Items!$F$5:$F$62,MATCH($E393,Items!$A$5:$A$62,0)),4)</f>
        <v>0.225</v>
      </c>
      <c r="O393" s="6"/>
    </row>
    <row r="394" customFormat="false" ht="15" hidden="false" customHeight="false" outlineLevel="0" collapsed="false">
      <c r="A394" s="6" t="n">
        <v>41</v>
      </c>
      <c r="B394" s="6" t="s">
        <v>332</v>
      </c>
      <c r="C394" s="6" t="s">
        <v>324</v>
      </c>
      <c r="D394" s="6" t="s">
        <v>243</v>
      </c>
      <c r="E394" s="6" t="s">
        <v>88</v>
      </c>
      <c r="F394" s="6" t="str">
        <f aca="false">INDEX(Items!$B$5:$B$62,MATCH($E394,Items!$A$5:$A$62,0))</f>
        <v>DISPOSABLES &amp; CLINIC CONSUMABLES</v>
      </c>
      <c r="G394" s="6" t="str">
        <f aca="false">INDEX(Items!$C$5:$C$62,MATCH($E394,Items!$A$5:$A$62,0))</f>
        <v>Bulk</v>
      </c>
      <c r="H394" s="6" t="s">
        <v>161</v>
      </c>
      <c r="I394" s="6" t="s">
        <v>191</v>
      </c>
      <c r="J394" s="6" t="n">
        <f aca="false">SUMIFS(Kits!$C$5:$C$163,Kits!$A$5:$A$163,$D394,Kits!$B$5:$B$163,$E394)</f>
        <v>10</v>
      </c>
      <c r="K394" s="6" t="n">
        <f aca="false">INDEX(Services!$F$5:$F$85,MATCH($A394,Services!$A$5:$A$85,0))</f>
        <v>6</v>
      </c>
      <c r="L394" s="6" t="n">
        <f aca="false">IF($H394="Auto-deduct",IF($G394="Countable",ROUNDUP($J394*IF($I394="Y",$K394,1),0),ROUND($J394*IF($I394="Y",$K394,1),1)),$J394)</f>
        <v>60</v>
      </c>
      <c r="M394" s="6" t="str">
        <f aca="false">INDEX(Items!$E$5:$E$62,MATCH($E394,Items!$A$5:$A$62,0))</f>
        <v>mL</v>
      </c>
      <c r="N394" s="6" t="n">
        <f aca="false">ROUND($L394/INDEX(Items!$F$5:$F$62,MATCH($E394,Items!$A$5:$A$62,0)),4)</f>
        <v>0.12</v>
      </c>
      <c r="O394" s="6"/>
    </row>
    <row r="395" customFormat="false" ht="15" hidden="false" customHeight="false" outlineLevel="0" collapsed="false">
      <c r="A395" s="6" t="n">
        <v>41</v>
      </c>
      <c r="B395" s="6" t="s">
        <v>332</v>
      </c>
      <c r="C395" s="6" t="s">
        <v>324</v>
      </c>
      <c r="D395" s="6" t="s">
        <v>241</v>
      </c>
      <c r="E395" s="6" t="s">
        <v>34</v>
      </c>
      <c r="F395" s="6" t="str">
        <f aca="false">INDEX(Items!$B$5:$B$62,MATCH($E395,Items!$A$5:$A$62,0))</f>
        <v>MEDICAL / INJECTION SUPPLIES</v>
      </c>
      <c r="G395" s="6" t="str">
        <f aca="false">INDEX(Items!$C$5:$C$62,MATCH($E395,Items!$A$5:$A$62,0))</f>
        <v>Countable</v>
      </c>
      <c r="H395" s="6" t="s">
        <v>161</v>
      </c>
      <c r="I395" s="6" t="s">
        <v>191</v>
      </c>
      <c r="J395" s="6" t="n">
        <f aca="false">SUMIFS(Kits!$C$5:$C$163,Kits!$A$5:$A$163,$D395,Kits!$B$5:$B$163,$E395)</f>
        <v>2</v>
      </c>
      <c r="K395" s="6" t="n">
        <f aca="false">INDEX(Services!$F$5:$F$85,MATCH($A395,Services!$A$5:$A$85,0))</f>
        <v>6</v>
      </c>
      <c r="L395" s="6" t="n">
        <f aca="false">IF($H395="Auto-deduct",IF($G395="Countable",ROUNDUP($J395*IF($I395="Y",$K395,1),0),ROUND($J395*IF($I395="Y",$K395,1),1)),$J395)</f>
        <v>12</v>
      </c>
      <c r="M395" s="6" t="str">
        <f aca="false">INDEX(Items!$E$5:$E$62,MATCH($E395,Items!$A$5:$A$62,0))</f>
        <v>pc</v>
      </c>
      <c r="N395" s="6" t="n">
        <f aca="false">ROUND($L395/INDEX(Items!$F$5:$F$62,MATCH($E395,Items!$A$5:$A$62,0)),4)</f>
        <v>12</v>
      </c>
      <c r="O395" s="6"/>
    </row>
    <row r="396" customFormat="false" ht="15" hidden="false" customHeight="false" outlineLevel="0" collapsed="false">
      <c r="A396" s="6" t="n">
        <v>41</v>
      </c>
      <c r="B396" s="6" t="s">
        <v>332</v>
      </c>
      <c r="C396" s="6" t="s">
        <v>324</v>
      </c>
      <c r="D396" s="6" t="s">
        <v>241</v>
      </c>
      <c r="E396" s="6" t="s">
        <v>39</v>
      </c>
      <c r="F396" s="6" t="str">
        <f aca="false">INDEX(Items!$B$5:$B$62,MATCH($E396,Items!$A$5:$A$62,0))</f>
        <v>MEDICAL / INJECTION SUPPLIES</v>
      </c>
      <c r="G396" s="6" t="str">
        <f aca="false">INDEX(Items!$C$5:$C$62,MATCH($E396,Items!$A$5:$A$62,0))</f>
        <v>Countable</v>
      </c>
      <c r="H396" s="6" t="s">
        <v>161</v>
      </c>
      <c r="I396" s="6" t="s">
        <v>191</v>
      </c>
      <c r="J396" s="6" t="n">
        <f aca="false">SUMIFS(Kits!$C$5:$C$163,Kits!$A$5:$A$163,$D396,Kits!$B$5:$B$163,$E396)</f>
        <v>2</v>
      </c>
      <c r="K396" s="6" t="n">
        <f aca="false">INDEX(Services!$F$5:$F$85,MATCH($A396,Services!$A$5:$A$85,0))</f>
        <v>6</v>
      </c>
      <c r="L396" s="6" t="n">
        <f aca="false">IF($H396="Auto-deduct",IF($G396="Countable",ROUNDUP($J396*IF($I396="Y",$K396,1),0),ROUND($J396*IF($I396="Y",$K396,1),1)),$J396)</f>
        <v>12</v>
      </c>
      <c r="M396" s="6" t="str">
        <f aca="false">INDEX(Items!$E$5:$E$62,MATCH($E396,Items!$A$5:$A$62,0))</f>
        <v>pc</v>
      </c>
      <c r="N396" s="6" t="n">
        <f aca="false">ROUND($L396/INDEX(Items!$F$5:$F$62,MATCH($E396,Items!$A$5:$A$62,0)),4)</f>
        <v>12</v>
      </c>
      <c r="O396" s="6"/>
    </row>
    <row r="397" customFormat="false" ht="15" hidden="false" customHeight="false" outlineLevel="0" collapsed="false">
      <c r="A397" s="6" t="n">
        <v>41</v>
      </c>
      <c r="B397" s="6" t="s">
        <v>332</v>
      </c>
      <c r="C397" s="6" t="s">
        <v>324</v>
      </c>
      <c r="D397" s="6" t="s">
        <v>241</v>
      </c>
      <c r="E397" s="6" t="s">
        <v>37</v>
      </c>
      <c r="F397" s="6" t="str">
        <f aca="false">INDEX(Items!$B$5:$B$62,MATCH($E397,Items!$A$5:$A$62,0))</f>
        <v>MEDICAL / INJECTION SUPPLIES</v>
      </c>
      <c r="G397" s="6" t="str">
        <f aca="false">INDEX(Items!$C$5:$C$62,MATCH($E397,Items!$A$5:$A$62,0))</f>
        <v>Countable</v>
      </c>
      <c r="H397" s="6" t="s">
        <v>161</v>
      </c>
      <c r="I397" s="6" t="s">
        <v>191</v>
      </c>
      <c r="J397" s="6" t="n">
        <f aca="false">SUMIFS(Kits!$C$5:$C$163,Kits!$A$5:$A$163,$D397,Kits!$B$5:$B$163,$E397)</f>
        <v>2</v>
      </c>
      <c r="K397" s="6" t="n">
        <f aca="false">INDEX(Services!$F$5:$F$85,MATCH($A397,Services!$A$5:$A$85,0))</f>
        <v>6</v>
      </c>
      <c r="L397" s="6" t="n">
        <f aca="false">IF($H397="Auto-deduct",IF($G397="Countable",ROUNDUP($J397*IF($I397="Y",$K397,1),0),ROUND($J397*IF($I397="Y",$K397,1),1)),$J397)</f>
        <v>12</v>
      </c>
      <c r="M397" s="6" t="str">
        <f aca="false">INDEX(Items!$E$5:$E$62,MATCH($E397,Items!$A$5:$A$62,0))</f>
        <v>pc</v>
      </c>
      <c r="N397" s="6" t="n">
        <f aca="false">ROUND($L397/INDEX(Items!$F$5:$F$62,MATCH($E397,Items!$A$5:$A$62,0)),4)</f>
        <v>12</v>
      </c>
      <c r="O397" s="6"/>
    </row>
    <row r="398" customFormat="false" ht="15" hidden="false" customHeight="false" outlineLevel="0" collapsed="false">
      <c r="A398" s="6" t="n">
        <v>41</v>
      </c>
      <c r="B398" s="6" t="s">
        <v>332</v>
      </c>
      <c r="C398" s="6" t="s">
        <v>324</v>
      </c>
      <c r="D398" s="6" t="s">
        <v>241</v>
      </c>
      <c r="E398" s="6" t="s">
        <v>84</v>
      </c>
      <c r="F398" s="6" t="str">
        <f aca="false">INDEX(Items!$B$5:$B$62,MATCH($E398,Items!$A$5:$A$62,0))</f>
        <v>DISPOSABLES &amp; CLINIC CONSUMABLES</v>
      </c>
      <c r="G398" s="6" t="str">
        <f aca="false">INDEX(Items!$C$5:$C$62,MATCH($E398,Items!$A$5:$A$62,0))</f>
        <v>Countable</v>
      </c>
      <c r="H398" s="6" t="s">
        <v>161</v>
      </c>
      <c r="I398" s="6" t="s">
        <v>191</v>
      </c>
      <c r="J398" s="6" t="n">
        <f aca="false">SUMIFS(Kits!$C$5:$C$163,Kits!$A$5:$A$163,$D398,Kits!$B$5:$B$163,$E398)</f>
        <v>3</v>
      </c>
      <c r="K398" s="6" t="n">
        <f aca="false">INDEX(Services!$F$5:$F$85,MATCH($A398,Services!$A$5:$A$85,0))</f>
        <v>6</v>
      </c>
      <c r="L398" s="6" t="n">
        <f aca="false">IF($H398="Auto-deduct",IF($G398="Countable",ROUNDUP($J398*IF($I398="Y",$K398,1),0),ROUND($J398*IF($I398="Y",$K398,1),1)),$J398)</f>
        <v>18</v>
      </c>
      <c r="M398" s="6" t="str">
        <f aca="false">INDEX(Items!$E$5:$E$62,MATCH($E398,Items!$A$5:$A$62,0))</f>
        <v>pc</v>
      </c>
      <c r="N398" s="6" t="n">
        <f aca="false">ROUND($L398/INDEX(Items!$F$5:$F$62,MATCH($E398,Items!$A$5:$A$62,0)),4)</f>
        <v>18</v>
      </c>
      <c r="O398" s="6"/>
    </row>
    <row r="399" customFormat="false" ht="15" hidden="false" customHeight="false" outlineLevel="0" collapsed="false">
      <c r="A399" s="6" t="n">
        <v>41</v>
      </c>
      <c r="B399" s="6" t="s">
        <v>332</v>
      </c>
      <c r="C399" s="6" t="s">
        <v>324</v>
      </c>
      <c r="D399" s="6" t="s">
        <v>241</v>
      </c>
      <c r="E399" s="6" t="s">
        <v>44</v>
      </c>
      <c r="F399" s="6" t="str">
        <f aca="false">INDEX(Items!$B$5:$B$62,MATCH($E399,Items!$A$5:$A$62,0))</f>
        <v>MEDICAL / INJECTION SUPPLIES</v>
      </c>
      <c r="G399" s="6" t="str">
        <f aca="false">INDEX(Items!$C$5:$C$62,MATCH($E399,Items!$A$5:$A$62,0))</f>
        <v>Countable</v>
      </c>
      <c r="H399" s="6" t="s">
        <v>161</v>
      </c>
      <c r="I399" s="6" t="s">
        <v>160</v>
      </c>
      <c r="J399" s="6" t="n">
        <f aca="false">SUMIFS(Kits!$C$5:$C$163,Kits!$A$5:$A$163,$D399,Kits!$B$5:$B$163,$E399)</f>
        <v>1</v>
      </c>
      <c r="K399" s="6" t="n">
        <f aca="false">INDEX(Services!$F$5:$F$85,MATCH($A399,Services!$A$5:$A$85,0))</f>
        <v>6</v>
      </c>
      <c r="L399" s="6" t="n">
        <f aca="false">IF($H399="Auto-deduct",IF($G399="Countable",ROUNDUP($J399*IF($I399="Y",$K399,1),0),ROUND($J399*IF($I399="Y",$K399,1),1)),$J399)</f>
        <v>1</v>
      </c>
      <c r="M399" s="6" t="str">
        <f aca="false">INDEX(Items!$E$5:$E$62,MATCH($E399,Items!$A$5:$A$62,0))</f>
        <v>pc</v>
      </c>
      <c r="N399" s="6" t="n">
        <f aca="false">ROUND($L399/INDEX(Items!$F$5:$F$62,MATCH($E399,Items!$A$5:$A$62,0)),4)</f>
        <v>1</v>
      </c>
      <c r="O399" s="6"/>
    </row>
    <row r="400" customFormat="false" ht="15" hidden="false" customHeight="false" outlineLevel="0" collapsed="false">
      <c r="A400" s="6" t="n">
        <v>41</v>
      </c>
      <c r="B400" s="6" t="s">
        <v>332</v>
      </c>
      <c r="C400" s="6" t="s">
        <v>324</v>
      </c>
      <c r="D400" s="6" t="s">
        <v>241</v>
      </c>
      <c r="E400" s="6" t="s">
        <v>150</v>
      </c>
      <c r="F400" s="6" t="str">
        <f aca="false">INDEX(Items!$B$5:$B$62,MATCH($E400,Items!$A$5:$A$62,0))</f>
        <v>TOOLS / EQUIPMENT / MISC</v>
      </c>
      <c r="G400" s="6" t="str">
        <f aca="false">INDEX(Items!$C$5:$C$62,MATCH($E400,Items!$A$5:$A$62,0))</f>
        <v>Bulk</v>
      </c>
      <c r="H400" s="6" t="s">
        <v>161</v>
      </c>
      <c r="I400" s="6" t="s">
        <v>191</v>
      </c>
      <c r="J400" s="6" t="n">
        <f aca="false">SUMIFS(Kits!$C$5:$C$163,Kits!$A$5:$A$163,$D400,Kits!$B$5:$B$163,$E400)</f>
        <v>3</v>
      </c>
      <c r="K400" s="6" t="n">
        <f aca="false">INDEX(Services!$F$5:$F$85,MATCH($A400,Services!$A$5:$A$85,0))</f>
        <v>6</v>
      </c>
      <c r="L400" s="6" t="n">
        <f aca="false">IF($H400="Auto-deduct",IF($G400="Countable",ROUNDUP($J400*IF($I400="Y",$K400,1),0),ROUND($J400*IF($I400="Y",$K400,1),1)),$J400)</f>
        <v>18</v>
      </c>
      <c r="M400" s="6" t="str">
        <f aca="false">INDEX(Items!$E$5:$E$62,MATCH($E400,Items!$A$5:$A$62,0))</f>
        <v>g</v>
      </c>
      <c r="N400" s="6" t="n">
        <f aca="false">ROUND($L400/INDEX(Items!$F$5:$F$62,MATCH($E400,Items!$A$5:$A$62,0)),4)</f>
        <v>0.6</v>
      </c>
      <c r="O400" s="6"/>
    </row>
    <row r="401" customFormat="false" ht="15" hidden="false" customHeight="false" outlineLevel="0" collapsed="false">
      <c r="A401" s="6" t="n">
        <v>41</v>
      </c>
      <c r="B401" s="6" t="s">
        <v>332</v>
      </c>
      <c r="C401" s="6" t="s">
        <v>324</v>
      </c>
      <c r="D401" s="6" t="s">
        <v>241</v>
      </c>
      <c r="E401" s="6" t="s">
        <v>79</v>
      </c>
      <c r="F401" s="6" t="str">
        <f aca="false">INDEX(Items!$B$5:$B$62,MATCH($E401,Items!$A$5:$A$62,0))</f>
        <v>DISPOSABLES &amp; CLINIC CONSUMABLES</v>
      </c>
      <c r="G401" s="6" t="str">
        <f aca="false">INDEX(Items!$C$5:$C$62,MATCH($E401,Items!$A$5:$A$62,0))</f>
        <v>Bulk</v>
      </c>
      <c r="H401" s="6" t="s">
        <v>161</v>
      </c>
      <c r="I401" s="6" t="s">
        <v>191</v>
      </c>
      <c r="J401" s="6" t="n">
        <f aca="false">SUMIFS(Kits!$C$5:$C$163,Kits!$A$5:$A$163,$D401,Kits!$B$5:$B$163,$E401)</f>
        <v>20</v>
      </c>
      <c r="K401" s="6" t="n">
        <f aca="false">INDEX(Services!$F$5:$F$85,MATCH($A401,Services!$A$5:$A$85,0))</f>
        <v>6</v>
      </c>
      <c r="L401" s="6" t="n">
        <f aca="false">IF($H401="Auto-deduct",IF($G401="Countable",ROUNDUP($J401*IF($I401="Y",$K401,1),0),ROUND($J401*IF($I401="Y",$K401,1),1)),$J401)</f>
        <v>120</v>
      </c>
      <c r="M401" s="6" t="str">
        <f aca="false">INDEX(Items!$E$5:$E$62,MATCH($E401,Items!$A$5:$A$62,0))</f>
        <v>cm</v>
      </c>
      <c r="N401" s="6" t="n">
        <f aca="false">ROUND($L401/INDEX(Items!$F$5:$F$62,MATCH($E401,Items!$A$5:$A$62,0)),4)</f>
        <v>0.04</v>
      </c>
      <c r="O401" s="6"/>
    </row>
    <row r="402" customFormat="false" ht="15" hidden="false" customHeight="false" outlineLevel="0" collapsed="false">
      <c r="A402" s="6" t="n">
        <v>41</v>
      </c>
      <c r="B402" s="6" t="s">
        <v>332</v>
      </c>
      <c r="C402" s="6" t="s">
        <v>324</v>
      </c>
      <c r="D402" s="6" t="s">
        <v>249</v>
      </c>
      <c r="E402" s="6" t="s">
        <v>112</v>
      </c>
      <c r="F402" s="6" t="str">
        <f aca="false">INDEX(Items!$B$5:$B$62,MATCH($E402,Items!$A$5:$A$62,0))</f>
        <v>FACIAL TREATMENT PRODUCTS (PROFESSIONAL USE)</v>
      </c>
      <c r="G402" s="6" t="str">
        <f aca="false">INDEX(Items!$C$5:$C$62,MATCH($E402,Items!$A$5:$A$62,0))</f>
        <v>Bulk</v>
      </c>
      <c r="H402" s="6" t="s">
        <v>161</v>
      </c>
      <c r="I402" s="6" t="s">
        <v>191</v>
      </c>
      <c r="J402" s="6" t="n">
        <f aca="false">SUMIFS(Kits!$C$5:$C$163,Kits!$A$5:$A$163,$D402,Kits!$B$5:$B$163,$E402)</f>
        <v>20</v>
      </c>
      <c r="K402" s="6" t="n">
        <f aca="false">INDEX(Services!$F$5:$F$85,MATCH($A402,Services!$A$5:$A$85,0))</f>
        <v>6</v>
      </c>
      <c r="L402" s="6" t="n">
        <f aca="false">IF($H402="Auto-deduct",IF($G402="Countable",ROUNDUP($J402*IF($I402="Y",$K402,1),0),ROUND($J402*IF($I402="Y",$K402,1),1)),$J402)</f>
        <v>120</v>
      </c>
      <c r="M402" s="6" t="str">
        <f aca="false">INDEX(Items!$E$5:$E$62,MATCH($E402,Items!$A$5:$A$62,0))</f>
        <v>g</v>
      </c>
      <c r="N402" s="6" t="n">
        <f aca="false">ROUND($L402/INDEX(Items!$F$5:$F$62,MATCH($E402,Items!$A$5:$A$62,0)),4)</f>
        <v>0.24</v>
      </c>
      <c r="O402" s="6"/>
    </row>
    <row r="403" customFormat="false" ht="15" hidden="false" customHeight="false" outlineLevel="0" collapsed="false">
      <c r="A403" s="6" t="n">
        <v>41</v>
      </c>
      <c r="B403" s="6" t="s">
        <v>332</v>
      </c>
      <c r="C403" s="6" t="s">
        <v>324</v>
      </c>
      <c r="D403" s="6" t="s">
        <v>249</v>
      </c>
      <c r="E403" s="6" t="s">
        <v>114</v>
      </c>
      <c r="F403" s="6" t="str">
        <f aca="false">INDEX(Items!$B$5:$B$62,MATCH($E403,Items!$A$5:$A$62,0))</f>
        <v>FACIAL TREATMENT PRODUCTS (PROFESSIONAL USE)</v>
      </c>
      <c r="G403" s="6" t="str">
        <f aca="false">INDEX(Items!$C$5:$C$62,MATCH($E403,Items!$A$5:$A$62,0))</f>
        <v>Bulk</v>
      </c>
      <c r="H403" s="6" t="s">
        <v>161</v>
      </c>
      <c r="I403" s="6" t="s">
        <v>191</v>
      </c>
      <c r="J403" s="6" t="n">
        <f aca="false">SUMIFS(Kits!$C$5:$C$163,Kits!$A$5:$A$163,$D403,Kits!$B$5:$B$163,$E403)</f>
        <v>30</v>
      </c>
      <c r="K403" s="6" t="n">
        <f aca="false">INDEX(Services!$F$5:$F$85,MATCH($A403,Services!$A$5:$A$85,0))</f>
        <v>6</v>
      </c>
      <c r="L403" s="6" t="n">
        <f aca="false">IF($H403="Auto-deduct",IF($G403="Countable",ROUNDUP($J403*IF($I403="Y",$K403,1),0),ROUND($J403*IF($I403="Y",$K403,1),1)),$J403)</f>
        <v>180</v>
      </c>
      <c r="M403" s="6" t="str">
        <f aca="false">INDEX(Items!$E$5:$E$62,MATCH($E403,Items!$A$5:$A$62,0))</f>
        <v>mL</v>
      </c>
      <c r="N403" s="6" t="n">
        <f aca="false">ROUND($L403/INDEX(Items!$F$5:$F$62,MATCH($E403,Items!$A$5:$A$62,0)),4)</f>
        <v>0.18</v>
      </c>
      <c r="O403" s="6"/>
    </row>
    <row r="404" customFormat="false" ht="15" hidden="false" customHeight="false" outlineLevel="0" collapsed="false">
      <c r="A404" s="6" t="n">
        <v>41</v>
      </c>
      <c r="B404" s="6" t="s">
        <v>332</v>
      </c>
      <c r="C404" s="6" t="s">
        <v>324</v>
      </c>
      <c r="D404" s="6" t="s">
        <v>249</v>
      </c>
      <c r="E404" s="6" t="s">
        <v>67</v>
      </c>
      <c r="F404" s="6" t="str">
        <f aca="false">INDEX(Items!$B$5:$B$62,MATCH($E404,Items!$A$5:$A$62,0))</f>
        <v>DISPOSABLES &amp; CLINIC CONSUMABLES</v>
      </c>
      <c r="G404" s="6" t="str">
        <f aca="false">INDEX(Items!$C$5:$C$62,MATCH($E404,Items!$A$5:$A$62,0))</f>
        <v>Bulk</v>
      </c>
      <c r="H404" s="6" t="s">
        <v>161</v>
      </c>
      <c r="I404" s="6" t="s">
        <v>191</v>
      </c>
      <c r="J404" s="6" t="n">
        <f aca="false">SUMIFS(Kits!$C$5:$C$163,Kits!$A$5:$A$163,$D404,Kits!$B$5:$B$163,$E404)</f>
        <v>12</v>
      </c>
      <c r="K404" s="6" t="n">
        <f aca="false">INDEX(Services!$F$5:$F$85,MATCH($A404,Services!$A$5:$A$85,0))</f>
        <v>6</v>
      </c>
      <c r="L404" s="6" t="n">
        <f aca="false">IF($H404="Auto-deduct",IF($G404="Countable",ROUNDUP($J404*IF($I404="Y",$K404,1),0),ROUND($J404*IF($I404="Y",$K404,1),1)),$J404)</f>
        <v>72</v>
      </c>
      <c r="M404" s="6" t="str">
        <f aca="false">INDEX(Items!$E$5:$E$62,MATCH($E404,Items!$A$5:$A$62,0))</f>
        <v>sheet</v>
      </c>
      <c r="N404" s="6" t="n">
        <f aca="false">ROUND($L404/INDEX(Items!$F$5:$F$62,MATCH($E404,Items!$A$5:$A$62,0)),4)</f>
        <v>0.72</v>
      </c>
      <c r="O404" s="6"/>
    </row>
    <row r="405" customFormat="false" ht="15" hidden="false" customHeight="false" outlineLevel="0" collapsed="false">
      <c r="A405" s="6" t="n">
        <v>41</v>
      </c>
      <c r="B405" s="6" t="s">
        <v>332</v>
      </c>
      <c r="C405" s="6" t="s">
        <v>324</v>
      </c>
      <c r="D405" s="6" t="s">
        <v>249</v>
      </c>
      <c r="E405" s="6" t="s">
        <v>86</v>
      </c>
      <c r="F405" s="6" t="str">
        <f aca="false">INDEX(Items!$B$5:$B$62,MATCH($E405,Items!$A$5:$A$62,0))</f>
        <v>DISPOSABLES &amp; CLINIC CONSUMABLES</v>
      </c>
      <c r="G405" s="6" t="str">
        <f aca="false">INDEX(Items!$C$5:$C$62,MATCH($E405,Items!$A$5:$A$62,0))</f>
        <v>Bulk</v>
      </c>
      <c r="H405" s="6" t="s">
        <v>161</v>
      </c>
      <c r="I405" s="6" t="s">
        <v>160</v>
      </c>
      <c r="J405" s="6" t="n">
        <f aca="false">SUMIFS(Kits!$C$5:$C$163,Kits!$A$5:$A$163,$D405,Kits!$B$5:$B$163,$E405)</f>
        <v>3</v>
      </c>
      <c r="K405" s="6" t="n">
        <f aca="false">INDEX(Services!$F$5:$F$85,MATCH($A405,Services!$A$5:$A$85,0))</f>
        <v>6</v>
      </c>
      <c r="L405" s="6" t="n">
        <f aca="false">IF($H405="Auto-deduct",IF($G405="Countable",ROUNDUP($J405*IF($I405="Y",$K405,1),0),ROUND($J405*IF($I405="Y",$K405,1),1)),$J405)</f>
        <v>3</v>
      </c>
      <c r="M405" s="6" t="str">
        <f aca="false">INDEX(Items!$E$5:$E$62,MATCH($E405,Items!$A$5:$A$62,0))</f>
        <v>pc</v>
      </c>
      <c r="N405" s="6" t="n">
        <f aca="false">ROUND($L405/INDEX(Items!$F$5:$F$62,MATCH($E405,Items!$A$5:$A$62,0)),4)</f>
        <v>0.0375</v>
      </c>
      <c r="O405" s="6"/>
    </row>
    <row r="406" customFormat="false" ht="15" hidden="false" customHeight="false" outlineLevel="0" collapsed="false">
      <c r="A406" s="6" t="n">
        <v>41</v>
      </c>
      <c r="B406" s="6" t="s">
        <v>332</v>
      </c>
      <c r="C406" s="6" t="s">
        <v>324</v>
      </c>
      <c r="D406" s="6" t="s">
        <v>249</v>
      </c>
      <c r="E406" s="6" t="s">
        <v>58</v>
      </c>
      <c r="F406" s="6" t="str">
        <f aca="false">INDEX(Items!$B$5:$B$62,MATCH($E406,Items!$A$5:$A$62,0))</f>
        <v>DISPOSABLES &amp; CLINIC CONSUMABLES</v>
      </c>
      <c r="G406" s="6" t="str">
        <f aca="false">INDEX(Items!$C$5:$C$62,MATCH($E406,Items!$A$5:$A$62,0))</f>
        <v>Bulk</v>
      </c>
      <c r="H406" s="6" t="s">
        <v>161</v>
      </c>
      <c r="I406" s="6" t="s">
        <v>160</v>
      </c>
      <c r="J406" s="6" t="n">
        <f aca="false">SUMIFS(Kits!$C$5:$C$163,Kits!$A$5:$A$163,$D406,Kits!$B$5:$B$163,$E406)</f>
        <v>4</v>
      </c>
      <c r="K406" s="6" t="n">
        <f aca="false">INDEX(Services!$F$5:$F$85,MATCH($A406,Services!$A$5:$A$85,0))</f>
        <v>6</v>
      </c>
      <c r="L406" s="6" t="n">
        <f aca="false">IF($H406="Auto-deduct",IF($G406="Countable",ROUNDUP($J406*IF($I406="Y",$K406,1),0),ROUND($J406*IF($I406="Y",$K406,1),1)),$J406)</f>
        <v>4</v>
      </c>
      <c r="M406" s="6" t="str">
        <f aca="false">INDEX(Items!$E$5:$E$62,MATCH($E406,Items!$A$5:$A$62,0))</f>
        <v>sheet</v>
      </c>
      <c r="N406" s="6" t="n">
        <f aca="false">ROUND($L406/INDEX(Items!$F$5:$F$62,MATCH($E406,Items!$A$5:$A$62,0)),4)</f>
        <v>0.02</v>
      </c>
      <c r="O406" s="6"/>
    </row>
    <row r="407" customFormat="false" ht="15" hidden="false" customHeight="false" outlineLevel="0" collapsed="false">
      <c r="A407" s="6" t="n">
        <v>42</v>
      </c>
      <c r="B407" s="6" t="s">
        <v>214</v>
      </c>
      <c r="C407" s="6" t="s">
        <v>334</v>
      </c>
      <c r="D407" s="6" t="s">
        <v>159</v>
      </c>
      <c r="E407" s="6" t="s">
        <v>52</v>
      </c>
      <c r="F407" s="6" t="str">
        <f aca="false">INDEX(Items!$B$5:$B$62,MATCH($E407,Items!$A$5:$A$62,0))</f>
        <v>DISPOSABLES &amp; CLINIC CONSUMABLES</v>
      </c>
      <c r="G407" s="6" t="str">
        <f aca="false">INDEX(Items!$C$5:$C$62,MATCH($E407,Items!$A$5:$A$62,0))</f>
        <v>Countable</v>
      </c>
      <c r="H407" s="6" t="s">
        <v>161</v>
      </c>
      <c r="I407" s="6" t="s">
        <v>160</v>
      </c>
      <c r="J407" s="6" t="n">
        <f aca="false">SUMIFS(Kits!$C$5:$C$163,Kits!$A$5:$A$163,$D407,Kits!$B$5:$B$163,$E407)</f>
        <v>1</v>
      </c>
      <c r="K407" s="6" t="n">
        <f aca="false">INDEX(Services!$F$5:$F$85,MATCH($A407,Services!$A$5:$A$85,0))</f>
        <v>1</v>
      </c>
      <c r="L407" s="6" t="n">
        <f aca="false">IF($H407="Auto-deduct",IF($G407="Countable",ROUNDUP($J407*IF($I407="Y",$K407,1),0),ROUND($J407*IF($I407="Y",$K407,1),1)),$J407)</f>
        <v>1</v>
      </c>
      <c r="M407" s="6" t="str">
        <f aca="false">INDEX(Items!$E$5:$E$62,MATCH($E407,Items!$A$5:$A$62,0))</f>
        <v>pc</v>
      </c>
      <c r="N407" s="6" t="n">
        <f aca="false">ROUND($L407/INDEX(Items!$F$5:$F$62,MATCH($E407,Items!$A$5:$A$62,0)),4)</f>
        <v>1</v>
      </c>
      <c r="O407" s="6"/>
    </row>
    <row r="408" customFormat="false" ht="15" hidden="false" customHeight="false" outlineLevel="0" collapsed="false">
      <c r="A408" s="6" t="n">
        <v>42</v>
      </c>
      <c r="B408" s="6" t="s">
        <v>214</v>
      </c>
      <c r="C408" s="6" t="s">
        <v>334</v>
      </c>
      <c r="D408" s="6" t="s">
        <v>159</v>
      </c>
      <c r="E408" s="6" t="s">
        <v>53</v>
      </c>
      <c r="F408" s="6" t="str">
        <f aca="false">INDEX(Items!$B$5:$B$62,MATCH($E408,Items!$A$5:$A$62,0))</f>
        <v>DISPOSABLES &amp; CLINIC CONSUMABLES</v>
      </c>
      <c r="G408" s="6" t="str">
        <f aca="false">INDEX(Items!$C$5:$C$62,MATCH($E408,Items!$A$5:$A$62,0))</f>
        <v>Countable</v>
      </c>
      <c r="H408" s="6" t="s">
        <v>161</v>
      </c>
      <c r="I408" s="6" t="s">
        <v>160</v>
      </c>
      <c r="J408" s="6" t="n">
        <f aca="false">SUMIFS(Kits!$C$5:$C$163,Kits!$A$5:$A$163,$D408,Kits!$B$5:$B$163,$E408)</f>
        <v>1</v>
      </c>
      <c r="K408" s="6" t="n">
        <f aca="false">INDEX(Services!$F$5:$F$85,MATCH($A408,Services!$A$5:$A$85,0))</f>
        <v>1</v>
      </c>
      <c r="L408" s="6" t="n">
        <f aca="false">IF($H408="Auto-deduct",IF($G408="Countable",ROUNDUP($J408*IF($I408="Y",$K408,1),0),ROUND($J408*IF($I408="Y",$K408,1),1)),$J408)</f>
        <v>1</v>
      </c>
      <c r="M408" s="6" t="str">
        <f aca="false">INDEX(Items!$E$5:$E$62,MATCH($E408,Items!$A$5:$A$62,0))</f>
        <v>pair</v>
      </c>
      <c r="N408" s="6" t="n">
        <f aca="false">ROUND($L408/INDEX(Items!$F$5:$F$62,MATCH($E408,Items!$A$5:$A$62,0)),4)</f>
        <v>1</v>
      </c>
      <c r="O408" s="6"/>
    </row>
    <row r="409" customFormat="false" ht="15" hidden="false" customHeight="false" outlineLevel="0" collapsed="false">
      <c r="A409" s="6" t="n">
        <v>42</v>
      </c>
      <c r="B409" s="6" t="s">
        <v>214</v>
      </c>
      <c r="C409" s="6" t="s">
        <v>334</v>
      </c>
      <c r="D409" s="6" t="s">
        <v>159</v>
      </c>
      <c r="E409" s="6" t="s">
        <v>88</v>
      </c>
      <c r="F409" s="6" t="str">
        <f aca="false">INDEX(Items!$B$5:$B$62,MATCH($E409,Items!$A$5:$A$62,0))</f>
        <v>DISPOSABLES &amp; CLINIC CONSUMABLES</v>
      </c>
      <c r="G409" s="6" t="str">
        <f aca="false">INDEX(Items!$C$5:$C$62,MATCH($E409,Items!$A$5:$A$62,0))</f>
        <v>Bulk</v>
      </c>
      <c r="H409" s="6" t="s">
        <v>161</v>
      </c>
      <c r="I409" s="6" t="s">
        <v>160</v>
      </c>
      <c r="J409" s="6" t="n">
        <f aca="false">SUMIFS(Kits!$C$5:$C$163,Kits!$A$5:$A$163,$D409,Kits!$B$5:$B$163,$E409)</f>
        <v>5</v>
      </c>
      <c r="K409" s="6" t="n">
        <f aca="false">INDEX(Services!$F$5:$F$85,MATCH($A409,Services!$A$5:$A$85,0))</f>
        <v>1</v>
      </c>
      <c r="L409" s="6" t="n">
        <f aca="false">IF($H409="Auto-deduct",IF($G409="Countable",ROUNDUP($J409*IF($I409="Y",$K409,1),0),ROUND($J409*IF($I409="Y",$K409,1),1)),$J409)</f>
        <v>5</v>
      </c>
      <c r="M409" s="6" t="str">
        <f aca="false">INDEX(Items!$E$5:$E$62,MATCH($E409,Items!$A$5:$A$62,0))</f>
        <v>mL</v>
      </c>
      <c r="N409" s="6" t="n">
        <f aca="false">ROUND($L409/INDEX(Items!$F$5:$F$62,MATCH($E409,Items!$A$5:$A$62,0)),4)</f>
        <v>0.01</v>
      </c>
      <c r="O409" s="6"/>
    </row>
    <row r="410" customFormat="false" ht="15" hidden="false" customHeight="false" outlineLevel="0" collapsed="false">
      <c r="A410" s="6" t="n">
        <v>42</v>
      </c>
      <c r="B410" s="6" t="s">
        <v>214</v>
      </c>
      <c r="C410" s="6" t="s">
        <v>334</v>
      </c>
      <c r="D410" s="6" t="s">
        <v>213</v>
      </c>
      <c r="E410" s="6" t="s">
        <v>69</v>
      </c>
      <c r="F410" s="6" t="str">
        <f aca="false">INDEX(Items!$B$5:$B$62,MATCH($E410,Items!$A$5:$A$62,0))</f>
        <v>DISPOSABLES &amp; CLINIC CONSUMABLES</v>
      </c>
      <c r="G410" s="6" t="str">
        <f aca="false">INDEX(Items!$C$5:$C$62,MATCH($E410,Items!$A$5:$A$62,0))</f>
        <v>Bulk</v>
      </c>
      <c r="H410" s="6" t="s">
        <v>161</v>
      </c>
      <c r="I410" s="6" t="s">
        <v>160</v>
      </c>
      <c r="J410" s="6" t="n">
        <f aca="false">SUMIFS(Kits!$C$5:$C$163,Kits!$A$5:$A$163,$D410,Kits!$B$5:$B$163,$E410)</f>
        <v>5</v>
      </c>
      <c r="K410" s="6" t="n">
        <f aca="false">INDEX(Services!$F$5:$F$85,MATCH($A410,Services!$A$5:$A$85,0))</f>
        <v>1</v>
      </c>
      <c r="L410" s="6" t="n">
        <f aca="false">IF($H410="Auto-deduct",IF($G410="Countable",ROUNDUP($J410*IF($I410="Y",$K410,1),0),ROUND($J410*IF($I410="Y",$K410,1),1)),$J410)</f>
        <v>5</v>
      </c>
      <c r="M410" s="6" t="str">
        <f aca="false">INDEX(Items!$E$5:$E$62,MATCH($E410,Items!$A$5:$A$62,0))</f>
        <v>g</v>
      </c>
      <c r="N410" s="6" t="n">
        <f aca="false">ROUND($L410/INDEX(Items!$F$5:$F$62,MATCH($E410,Items!$A$5:$A$62,0)),4)</f>
        <v>0.0125</v>
      </c>
      <c r="O410" s="6"/>
    </row>
    <row r="411" customFormat="false" ht="15" hidden="false" customHeight="false" outlineLevel="0" collapsed="false">
      <c r="A411" s="6" t="n">
        <v>42</v>
      </c>
      <c r="B411" s="6" t="s">
        <v>214</v>
      </c>
      <c r="C411" s="6" t="s">
        <v>334</v>
      </c>
      <c r="D411" s="6" t="s">
        <v>213</v>
      </c>
      <c r="E411" s="6" t="s">
        <v>72</v>
      </c>
      <c r="F411" s="6" t="str">
        <f aca="false">INDEX(Items!$B$5:$B$62,MATCH($E411,Items!$A$5:$A$62,0))</f>
        <v>DISPOSABLES &amp; CLINIC CONSUMABLES</v>
      </c>
      <c r="G411" s="6" t="str">
        <f aca="false">INDEX(Items!$C$5:$C$62,MATCH($E411,Items!$A$5:$A$62,0))</f>
        <v>Bulk</v>
      </c>
      <c r="H411" s="6" t="s">
        <v>161</v>
      </c>
      <c r="I411" s="6" t="s">
        <v>160</v>
      </c>
      <c r="J411" s="6" t="n">
        <f aca="false">SUMIFS(Kits!$C$5:$C$163,Kits!$A$5:$A$163,$D411,Kits!$B$5:$B$163,$E411)</f>
        <v>4</v>
      </c>
      <c r="K411" s="6" t="n">
        <f aca="false">INDEX(Services!$F$5:$F$85,MATCH($A411,Services!$A$5:$A$85,0))</f>
        <v>1</v>
      </c>
      <c r="L411" s="6" t="n">
        <f aca="false">IF($H411="Auto-deduct",IF($G411="Countable",ROUNDUP($J411*IF($I411="Y",$K411,1),0),ROUND($J411*IF($I411="Y",$K411,1),1)),$J411)</f>
        <v>4</v>
      </c>
      <c r="M411" s="6" t="str">
        <f aca="false">INDEX(Items!$E$5:$E$62,MATCH($E411,Items!$A$5:$A$62,0))</f>
        <v>pc</v>
      </c>
      <c r="N411" s="6" t="n">
        <f aca="false">ROUND($L411/INDEX(Items!$F$5:$F$62,MATCH($E411,Items!$A$5:$A$62,0)),4)</f>
        <v>0.04</v>
      </c>
      <c r="O411" s="6"/>
    </row>
    <row r="412" customFormat="false" ht="15" hidden="false" customHeight="false" outlineLevel="0" collapsed="false">
      <c r="A412" s="6" t="n">
        <v>42</v>
      </c>
      <c r="B412" s="6" t="s">
        <v>214</v>
      </c>
      <c r="C412" s="6" t="s">
        <v>334</v>
      </c>
      <c r="D412" s="6" t="s">
        <v>213</v>
      </c>
      <c r="E412" s="6" t="s">
        <v>86</v>
      </c>
      <c r="F412" s="6" t="str">
        <f aca="false">INDEX(Items!$B$5:$B$62,MATCH($E412,Items!$A$5:$A$62,0))</f>
        <v>DISPOSABLES &amp; CLINIC CONSUMABLES</v>
      </c>
      <c r="G412" s="6" t="str">
        <f aca="false">INDEX(Items!$C$5:$C$62,MATCH($E412,Items!$A$5:$A$62,0))</f>
        <v>Bulk</v>
      </c>
      <c r="H412" s="6" t="s">
        <v>161</v>
      </c>
      <c r="I412" s="6" t="s">
        <v>160</v>
      </c>
      <c r="J412" s="6" t="n">
        <f aca="false">SUMIFS(Kits!$C$5:$C$163,Kits!$A$5:$A$163,$D412,Kits!$B$5:$B$163,$E412)</f>
        <v>2</v>
      </c>
      <c r="K412" s="6" t="n">
        <f aca="false">INDEX(Services!$F$5:$F$85,MATCH($A412,Services!$A$5:$A$85,0))</f>
        <v>1</v>
      </c>
      <c r="L412" s="6" t="n">
        <f aca="false">IF($H412="Auto-deduct",IF($G412="Countable",ROUNDUP($J412*IF($I412="Y",$K412,1),0),ROUND($J412*IF($I412="Y",$K412,1),1)),$J412)</f>
        <v>2</v>
      </c>
      <c r="M412" s="6" t="str">
        <f aca="false">INDEX(Items!$E$5:$E$62,MATCH($E412,Items!$A$5:$A$62,0))</f>
        <v>pc</v>
      </c>
      <c r="N412" s="6" t="n">
        <f aca="false">ROUND($L412/INDEX(Items!$F$5:$F$62,MATCH($E412,Items!$A$5:$A$62,0)),4)</f>
        <v>0.025</v>
      </c>
      <c r="O412" s="6"/>
    </row>
    <row r="413" customFormat="false" ht="15" hidden="false" customHeight="false" outlineLevel="0" collapsed="false">
      <c r="A413" s="6" t="n">
        <v>42</v>
      </c>
      <c r="B413" s="6" t="s">
        <v>214</v>
      </c>
      <c r="C413" s="6" t="s">
        <v>334</v>
      </c>
      <c r="D413" s="6" t="s">
        <v>213</v>
      </c>
      <c r="E413" s="6" t="s">
        <v>58</v>
      </c>
      <c r="F413" s="6" t="str">
        <f aca="false">INDEX(Items!$B$5:$B$62,MATCH($E413,Items!$A$5:$A$62,0))</f>
        <v>DISPOSABLES &amp; CLINIC CONSUMABLES</v>
      </c>
      <c r="G413" s="6" t="str">
        <f aca="false">INDEX(Items!$C$5:$C$62,MATCH($E413,Items!$A$5:$A$62,0))</f>
        <v>Bulk</v>
      </c>
      <c r="H413" s="6" t="s">
        <v>161</v>
      </c>
      <c r="I413" s="6" t="s">
        <v>160</v>
      </c>
      <c r="J413" s="6" t="n">
        <f aca="false">SUMIFS(Kits!$C$5:$C$163,Kits!$A$5:$A$163,$D413,Kits!$B$5:$B$163,$E413)</f>
        <v>4</v>
      </c>
      <c r="K413" s="6" t="n">
        <f aca="false">INDEX(Services!$F$5:$F$85,MATCH($A413,Services!$A$5:$A$85,0))</f>
        <v>1</v>
      </c>
      <c r="L413" s="6" t="n">
        <f aca="false">IF($H413="Auto-deduct",IF($G413="Countable",ROUNDUP($J413*IF($I413="Y",$K413,1),0),ROUND($J413*IF($I413="Y",$K413,1),1)),$J413)</f>
        <v>4</v>
      </c>
      <c r="M413" s="6" t="str">
        <f aca="false">INDEX(Items!$E$5:$E$62,MATCH($E413,Items!$A$5:$A$62,0))</f>
        <v>sheet</v>
      </c>
      <c r="N413" s="6" t="n">
        <f aca="false">ROUND($L413/INDEX(Items!$F$5:$F$62,MATCH($E413,Items!$A$5:$A$62,0)),4)</f>
        <v>0.02</v>
      </c>
      <c r="O413" s="6"/>
    </row>
    <row r="414" customFormat="false" ht="15" hidden="false" customHeight="false" outlineLevel="0" collapsed="false">
      <c r="A414" s="6" t="n">
        <v>43</v>
      </c>
      <c r="B414" s="6" t="s">
        <v>336</v>
      </c>
      <c r="C414" s="6" t="s">
        <v>334</v>
      </c>
      <c r="D414" s="6" t="s">
        <v>159</v>
      </c>
      <c r="E414" s="6" t="s">
        <v>52</v>
      </c>
      <c r="F414" s="6" t="str">
        <f aca="false">INDEX(Items!$B$5:$B$62,MATCH($E414,Items!$A$5:$A$62,0))</f>
        <v>DISPOSABLES &amp; CLINIC CONSUMABLES</v>
      </c>
      <c r="G414" s="6" t="str">
        <f aca="false">INDEX(Items!$C$5:$C$62,MATCH($E414,Items!$A$5:$A$62,0))</f>
        <v>Countable</v>
      </c>
      <c r="H414" s="6" t="s">
        <v>161</v>
      </c>
      <c r="I414" s="6" t="s">
        <v>160</v>
      </c>
      <c r="J414" s="6" t="n">
        <f aca="false">SUMIFS(Kits!$C$5:$C$163,Kits!$A$5:$A$163,$D414,Kits!$B$5:$B$163,$E414)</f>
        <v>1</v>
      </c>
      <c r="K414" s="6" t="n">
        <f aca="false">INDEX(Services!$F$5:$F$85,MATCH($A414,Services!$A$5:$A$85,0))</f>
        <v>1</v>
      </c>
      <c r="L414" s="6" t="n">
        <f aca="false">IF($H414="Auto-deduct",IF($G414="Countable",ROUNDUP($J414*IF($I414="Y",$K414,1),0),ROUND($J414*IF($I414="Y",$K414,1),1)),$J414)</f>
        <v>1</v>
      </c>
      <c r="M414" s="6" t="str">
        <f aca="false">INDEX(Items!$E$5:$E$62,MATCH($E414,Items!$A$5:$A$62,0))</f>
        <v>pc</v>
      </c>
      <c r="N414" s="6" t="n">
        <f aca="false">ROUND($L414/INDEX(Items!$F$5:$F$62,MATCH($E414,Items!$A$5:$A$62,0)),4)</f>
        <v>1</v>
      </c>
      <c r="O414" s="6"/>
    </row>
    <row r="415" customFormat="false" ht="15" hidden="false" customHeight="false" outlineLevel="0" collapsed="false">
      <c r="A415" s="6" t="n">
        <v>43</v>
      </c>
      <c r="B415" s="6" t="s">
        <v>336</v>
      </c>
      <c r="C415" s="6" t="s">
        <v>334</v>
      </c>
      <c r="D415" s="6" t="s">
        <v>159</v>
      </c>
      <c r="E415" s="6" t="s">
        <v>53</v>
      </c>
      <c r="F415" s="6" t="str">
        <f aca="false">INDEX(Items!$B$5:$B$62,MATCH($E415,Items!$A$5:$A$62,0))</f>
        <v>DISPOSABLES &amp; CLINIC CONSUMABLES</v>
      </c>
      <c r="G415" s="6" t="str">
        <f aca="false">INDEX(Items!$C$5:$C$62,MATCH($E415,Items!$A$5:$A$62,0))</f>
        <v>Countable</v>
      </c>
      <c r="H415" s="6" t="s">
        <v>161</v>
      </c>
      <c r="I415" s="6" t="s">
        <v>160</v>
      </c>
      <c r="J415" s="6" t="n">
        <f aca="false">SUMIFS(Kits!$C$5:$C$163,Kits!$A$5:$A$163,$D415,Kits!$B$5:$B$163,$E415)</f>
        <v>1</v>
      </c>
      <c r="K415" s="6" t="n">
        <f aca="false">INDEX(Services!$F$5:$F$85,MATCH($A415,Services!$A$5:$A$85,0))</f>
        <v>1</v>
      </c>
      <c r="L415" s="6" t="n">
        <f aca="false">IF($H415="Auto-deduct",IF($G415="Countable",ROUNDUP($J415*IF($I415="Y",$K415,1),0),ROUND($J415*IF($I415="Y",$K415,1),1)),$J415)</f>
        <v>1</v>
      </c>
      <c r="M415" s="6" t="str">
        <f aca="false">INDEX(Items!$E$5:$E$62,MATCH($E415,Items!$A$5:$A$62,0))</f>
        <v>pair</v>
      </c>
      <c r="N415" s="6" t="n">
        <f aca="false">ROUND($L415/INDEX(Items!$F$5:$F$62,MATCH($E415,Items!$A$5:$A$62,0)),4)</f>
        <v>1</v>
      </c>
      <c r="O415" s="6"/>
    </row>
    <row r="416" customFormat="false" ht="15" hidden="false" customHeight="false" outlineLevel="0" collapsed="false">
      <c r="A416" s="6" t="n">
        <v>43</v>
      </c>
      <c r="B416" s="6" t="s">
        <v>336</v>
      </c>
      <c r="C416" s="6" t="s">
        <v>334</v>
      </c>
      <c r="D416" s="6" t="s">
        <v>159</v>
      </c>
      <c r="E416" s="6" t="s">
        <v>88</v>
      </c>
      <c r="F416" s="6" t="str">
        <f aca="false">INDEX(Items!$B$5:$B$62,MATCH($E416,Items!$A$5:$A$62,0))</f>
        <v>DISPOSABLES &amp; CLINIC CONSUMABLES</v>
      </c>
      <c r="G416" s="6" t="str">
        <f aca="false">INDEX(Items!$C$5:$C$62,MATCH($E416,Items!$A$5:$A$62,0))</f>
        <v>Bulk</v>
      </c>
      <c r="H416" s="6" t="s">
        <v>161</v>
      </c>
      <c r="I416" s="6" t="s">
        <v>160</v>
      </c>
      <c r="J416" s="6" t="n">
        <f aca="false">SUMIFS(Kits!$C$5:$C$163,Kits!$A$5:$A$163,$D416,Kits!$B$5:$B$163,$E416)</f>
        <v>5</v>
      </c>
      <c r="K416" s="6" t="n">
        <f aca="false">INDEX(Services!$F$5:$F$85,MATCH($A416,Services!$A$5:$A$85,0))</f>
        <v>1</v>
      </c>
      <c r="L416" s="6" t="n">
        <f aca="false">IF($H416="Auto-deduct",IF($G416="Countable",ROUNDUP($J416*IF($I416="Y",$K416,1),0),ROUND($J416*IF($I416="Y",$K416,1),1)),$J416)</f>
        <v>5</v>
      </c>
      <c r="M416" s="6" t="str">
        <f aca="false">INDEX(Items!$E$5:$E$62,MATCH($E416,Items!$A$5:$A$62,0))</f>
        <v>mL</v>
      </c>
      <c r="N416" s="6" t="n">
        <f aca="false">ROUND($L416/INDEX(Items!$F$5:$F$62,MATCH($E416,Items!$A$5:$A$62,0)),4)</f>
        <v>0.01</v>
      </c>
      <c r="O416" s="6"/>
    </row>
    <row r="417" customFormat="false" ht="15" hidden="false" customHeight="false" outlineLevel="0" collapsed="false">
      <c r="A417" s="6" t="n">
        <v>43</v>
      </c>
      <c r="B417" s="6" t="s">
        <v>336</v>
      </c>
      <c r="C417" s="6" t="s">
        <v>334</v>
      </c>
      <c r="D417" s="6" t="s">
        <v>213</v>
      </c>
      <c r="E417" s="6" t="s">
        <v>69</v>
      </c>
      <c r="F417" s="6" t="str">
        <f aca="false">INDEX(Items!$B$5:$B$62,MATCH($E417,Items!$A$5:$A$62,0))</f>
        <v>DISPOSABLES &amp; CLINIC CONSUMABLES</v>
      </c>
      <c r="G417" s="6" t="str">
        <f aca="false">INDEX(Items!$C$5:$C$62,MATCH($E417,Items!$A$5:$A$62,0))</f>
        <v>Bulk</v>
      </c>
      <c r="H417" s="6" t="s">
        <v>161</v>
      </c>
      <c r="I417" s="6" t="s">
        <v>160</v>
      </c>
      <c r="J417" s="6" t="n">
        <f aca="false">SUMIFS(Kits!$C$5:$C$163,Kits!$A$5:$A$163,$D417,Kits!$B$5:$B$163,$E417)</f>
        <v>5</v>
      </c>
      <c r="K417" s="6" t="n">
        <f aca="false">INDEX(Services!$F$5:$F$85,MATCH($A417,Services!$A$5:$A$85,0))</f>
        <v>1</v>
      </c>
      <c r="L417" s="6" t="n">
        <f aca="false">IF($H417="Auto-deduct",IF($G417="Countable",ROUNDUP($J417*IF($I417="Y",$K417,1),0),ROUND($J417*IF($I417="Y",$K417,1),1)),$J417)</f>
        <v>5</v>
      </c>
      <c r="M417" s="6" t="str">
        <f aca="false">INDEX(Items!$E$5:$E$62,MATCH($E417,Items!$A$5:$A$62,0))</f>
        <v>g</v>
      </c>
      <c r="N417" s="6" t="n">
        <f aca="false">ROUND($L417/INDEX(Items!$F$5:$F$62,MATCH($E417,Items!$A$5:$A$62,0)),4)</f>
        <v>0.0125</v>
      </c>
      <c r="O417" s="6"/>
    </row>
    <row r="418" customFormat="false" ht="15" hidden="false" customHeight="false" outlineLevel="0" collapsed="false">
      <c r="A418" s="6" t="n">
        <v>43</v>
      </c>
      <c r="B418" s="6" t="s">
        <v>336</v>
      </c>
      <c r="C418" s="6" t="s">
        <v>334</v>
      </c>
      <c r="D418" s="6" t="s">
        <v>213</v>
      </c>
      <c r="E418" s="6" t="s">
        <v>72</v>
      </c>
      <c r="F418" s="6" t="str">
        <f aca="false">INDEX(Items!$B$5:$B$62,MATCH($E418,Items!$A$5:$A$62,0))</f>
        <v>DISPOSABLES &amp; CLINIC CONSUMABLES</v>
      </c>
      <c r="G418" s="6" t="str">
        <f aca="false">INDEX(Items!$C$5:$C$62,MATCH($E418,Items!$A$5:$A$62,0))</f>
        <v>Bulk</v>
      </c>
      <c r="H418" s="6" t="s">
        <v>161</v>
      </c>
      <c r="I418" s="6" t="s">
        <v>160</v>
      </c>
      <c r="J418" s="6" t="n">
        <f aca="false">SUMIFS(Kits!$C$5:$C$163,Kits!$A$5:$A$163,$D418,Kits!$B$5:$B$163,$E418)</f>
        <v>4</v>
      </c>
      <c r="K418" s="6" t="n">
        <f aca="false">INDEX(Services!$F$5:$F$85,MATCH($A418,Services!$A$5:$A$85,0))</f>
        <v>1</v>
      </c>
      <c r="L418" s="6" t="n">
        <f aca="false">IF($H418="Auto-deduct",IF($G418="Countable",ROUNDUP($J418*IF($I418="Y",$K418,1),0),ROUND($J418*IF($I418="Y",$K418,1),1)),$J418)</f>
        <v>4</v>
      </c>
      <c r="M418" s="6" t="str">
        <f aca="false">INDEX(Items!$E$5:$E$62,MATCH($E418,Items!$A$5:$A$62,0))</f>
        <v>pc</v>
      </c>
      <c r="N418" s="6" t="n">
        <f aca="false">ROUND($L418/INDEX(Items!$F$5:$F$62,MATCH($E418,Items!$A$5:$A$62,0)),4)</f>
        <v>0.04</v>
      </c>
      <c r="O418" s="6"/>
    </row>
    <row r="419" customFormat="false" ht="15" hidden="false" customHeight="false" outlineLevel="0" collapsed="false">
      <c r="A419" s="6" t="n">
        <v>43</v>
      </c>
      <c r="B419" s="6" t="s">
        <v>336</v>
      </c>
      <c r="C419" s="6" t="s">
        <v>334</v>
      </c>
      <c r="D419" s="6" t="s">
        <v>213</v>
      </c>
      <c r="E419" s="6" t="s">
        <v>86</v>
      </c>
      <c r="F419" s="6" t="str">
        <f aca="false">INDEX(Items!$B$5:$B$62,MATCH($E419,Items!$A$5:$A$62,0))</f>
        <v>DISPOSABLES &amp; CLINIC CONSUMABLES</v>
      </c>
      <c r="G419" s="6" t="str">
        <f aca="false">INDEX(Items!$C$5:$C$62,MATCH($E419,Items!$A$5:$A$62,0))</f>
        <v>Bulk</v>
      </c>
      <c r="H419" s="6" t="s">
        <v>161</v>
      </c>
      <c r="I419" s="6" t="s">
        <v>160</v>
      </c>
      <c r="J419" s="6" t="n">
        <f aca="false">SUMIFS(Kits!$C$5:$C$163,Kits!$A$5:$A$163,$D419,Kits!$B$5:$B$163,$E419)</f>
        <v>2</v>
      </c>
      <c r="K419" s="6" t="n">
        <f aca="false">INDEX(Services!$F$5:$F$85,MATCH($A419,Services!$A$5:$A$85,0))</f>
        <v>1</v>
      </c>
      <c r="L419" s="6" t="n">
        <f aca="false">IF($H419="Auto-deduct",IF($G419="Countable",ROUNDUP($J419*IF($I419="Y",$K419,1),0),ROUND($J419*IF($I419="Y",$K419,1),1)),$J419)</f>
        <v>2</v>
      </c>
      <c r="M419" s="6" t="str">
        <f aca="false">INDEX(Items!$E$5:$E$62,MATCH($E419,Items!$A$5:$A$62,0))</f>
        <v>pc</v>
      </c>
      <c r="N419" s="6" t="n">
        <f aca="false">ROUND($L419/INDEX(Items!$F$5:$F$62,MATCH($E419,Items!$A$5:$A$62,0)),4)</f>
        <v>0.025</v>
      </c>
      <c r="O419" s="6"/>
    </row>
    <row r="420" customFormat="false" ht="15" hidden="false" customHeight="false" outlineLevel="0" collapsed="false">
      <c r="A420" s="6" t="n">
        <v>43</v>
      </c>
      <c r="B420" s="6" t="s">
        <v>336</v>
      </c>
      <c r="C420" s="6" t="s">
        <v>334</v>
      </c>
      <c r="D420" s="6" t="s">
        <v>213</v>
      </c>
      <c r="E420" s="6" t="s">
        <v>58</v>
      </c>
      <c r="F420" s="6" t="str">
        <f aca="false">INDEX(Items!$B$5:$B$62,MATCH($E420,Items!$A$5:$A$62,0))</f>
        <v>DISPOSABLES &amp; CLINIC CONSUMABLES</v>
      </c>
      <c r="G420" s="6" t="str">
        <f aca="false">INDEX(Items!$C$5:$C$62,MATCH($E420,Items!$A$5:$A$62,0))</f>
        <v>Bulk</v>
      </c>
      <c r="H420" s="6" t="s">
        <v>161</v>
      </c>
      <c r="I420" s="6" t="s">
        <v>160</v>
      </c>
      <c r="J420" s="6" t="n">
        <f aca="false">SUMIFS(Kits!$C$5:$C$163,Kits!$A$5:$A$163,$D420,Kits!$B$5:$B$163,$E420)</f>
        <v>4</v>
      </c>
      <c r="K420" s="6" t="n">
        <f aca="false">INDEX(Services!$F$5:$F$85,MATCH($A420,Services!$A$5:$A$85,0))</f>
        <v>1</v>
      </c>
      <c r="L420" s="6" t="n">
        <f aca="false">IF($H420="Auto-deduct",IF($G420="Countable",ROUNDUP($J420*IF($I420="Y",$K420,1),0),ROUND($J420*IF($I420="Y",$K420,1),1)),$J420)</f>
        <v>4</v>
      </c>
      <c r="M420" s="6" t="str">
        <f aca="false">INDEX(Items!$E$5:$E$62,MATCH($E420,Items!$A$5:$A$62,0))</f>
        <v>sheet</v>
      </c>
      <c r="N420" s="6" t="n">
        <f aca="false">ROUND($L420/INDEX(Items!$F$5:$F$62,MATCH($E420,Items!$A$5:$A$62,0)),4)</f>
        <v>0.02</v>
      </c>
      <c r="O420" s="6"/>
    </row>
    <row r="421" customFormat="false" ht="15" hidden="false" customHeight="false" outlineLevel="0" collapsed="false">
      <c r="A421" s="6" t="n">
        <v>43</v>
      </c>
      <c r="B421" s="6" t="s">
        <v>336</v>
      </c>
      <c r="C421" s="6" t="s">
        <v>334</v>
      </c>
      <c r="D421" s="6" t="s">
        <v>215</v>
      </c>
      <c r="E421" s="6" t="s">
        <v>88</v>
      </c>
      <c r="F421" s="6" t="str">
        <f aca="false">INDEX(Items!$B$5:$B$62,MATCH($E421,Items!$A$5:$A$62,0))</f>
        <v>DISPOSABLES &amp; CLINIC CONSUMABLES</v>
      </c>
      <c r="G421" s="6" t="str">
        <f aca="false">INDEX(Items!$C$5:$C$62,MATCH($E421,Items!$A$5:$A$62,0))</f>
        <v>Bulk</v>
      </c>
      <c r="H421" s="6" t="s">
        <v>161</v>
      </c>
      <c r="I421" s="6" t="s">
        <v>191</v>
      </c>
      <c r="J421" s="6" t="n">
        <f aca="false">SUMIFS(Kits!$C$5:$C$163,Kits!$A$5:$A$163,$D421,Kits!$B$5:$B$163,$E421)</f>
        <v>5</v>
      </c>
      <c r="K421" s="6" t="n">
        <f aca="false">INDEX(Services!$F$5:$F$85,MATCH($A421,Services!$A$5:$A$85,0))</f>
        <v>1</v>
      </c>
      <c r="L421" s="6" t="n">
        <f aca="false">IF($H421="Auto-deduct",IF($G421="Countable",ROUNDUP($J421*IF($I421="Y",$K421,1),0),ROUND($J421*IF($I421="Y",$K421,1),1)),$J421)</f>
        <v>5</v>
      </c>
      <c r="M421" s="6" t="str">
        <f aca="false">INDEX(Items!$E$5:$E$62,MATCH($E421,Items!$A$5:$A$62,0))</f>
        <v>mL</v>
      </c>
      <c r="N421" s="6" t="n">
        <f aca="false">ROUND($L421/INDEX(Items!$F$5:$F$62,MATCH($E421,Items!$A$5:$A$62,0)),4)</f>
        <v>0.01</v>
      </c>
      <c r="O421" s="6"/>
    </row>
    <row r="422" customFormat="false" ht="15" hidden="false" customHeight="false" outlineLevel="0" collapsed="false">
      <c r="A422" s="6" t="n">
        <v>43</v>
      </c>
      <c r="B422" s="6" t="s">
        <v>336</v>
      </c>
      <c r="C422" s="6" t="s">
        <v>334</v>
      </c>
      <c r="D422" s="6" t="s">
        <v>215</v>
      </c>
      <c r="E422" s="6" t="s">
        <v>86</v>
      </c>
      <c r="F422" s="6" t="str">
        <f aca="false">INDEX(Items!$B$5:$B$62,MATCH($E422,Items!$A$5:$A$62,0))</f>
        <v>DISPOSABLES &amp; CLINIC CONSUMABLES</v>
      </c>
      <c r="G422" s="6" t="str">
        <f aca="false">INDEX(Items!$C$5:$C$62,MATCH($E422,Items!$A$5:$A$62,0))</f>
        <v>Bulk</v>
      </c>
      <c r="H422" s="6" t="s">
        <v>161</v>
      </c>
      <c r="I422" s="6" t="s">
        <v>191</v>
      </c>
      <c r="J422" s="6" t="n">
        <f aca="false">SUMIFS(Kits!$C$5:$C$163,Kits!$A$5:$A$163,$D422,Kits!$B$5:$B$163,$E422)</f>
        <v>3</v>
      </c>
      <c r="K422" s="6" t="n">
        <f aca="false">INDEX(Services!$F$5:$F$85,MATCH($A422,Services!$A$5:$A$85,0))</f>
        <v>1</v>
      </c>
      <c r="L422" s="6" t="n">
        <f aca="false">IF($H422="Auto-deduct",IF($G422="Countable",ROUNDUP($J422*IF($I422="Y",$K422,1),0),ROUND($J422*IF($I422="Y",$K422,1),1)),$J422)</f>
        <v>3</v>
      </c>
      <c r="M422" s="6" t="str">
        <f aca="false">INDEX(Items!$E$5:$E$62,MATCH($E422,Items!$A$5:$A$62,0))</f>
        <v>pc</v>
      </c>
      <c r="N422" s="6" t="n">
        <f aca="false">ROUND($L422/INDEX(Items!$F$5:$F$62,MATCH($E422,Items!$A$5:$A$62,0)),4)</f>
        <v>0.0375</v>
      </c>
      <c r="O422" s="6"/>
    </row>
    <row r="423" customFormat="false" ht="15" hidden="false" customHeight="false" outlineLevel="0" collapsed="false">
      <c r="A423" s="6" t="n">
        <v>43</v>
      </c>
      <c r="B423" s="6" t="s">
        <v>336</v>
      </c>
      <c r="C423" s="6" t="s">
        <v>334</v>
      </c>
      <c r="D423" s="6" t="s">
        <v>215</v>
      </c>
      <c r="E423" s="6" t="s">
        <v>72</v>
      </c>
      <c r="F423" s="6" t="str">
        <f aca="false">INDEX(Items!$B$5:$B$62,MATCH($E423,Items!$A$5:$A$62,0))</f>
        <v>DISPOSABLES &amp; CLINIC CONSUMABLES</v>
      </c>
      <c r="G423" s="6" t="str">
        <f aca="false">INDEX(Items!$C$5:$C$62,MATCH($E423,Items!$A$5:$A$62,0))</f>
        <v>Bulk</v>
      </c>
      <c r="H423" s="6" t="s">
        <v>161</v>
      </c>
      <c r="I423" s="6" t="s">
        <v>160</v>
      </c>
      <c r="J423" s="6" t="n">
        <f aca="false">SUMIFS(Kits!$C$5:$C$163,Kits!$A$5:$A$163,$D423,Kits!$B$5:$B$163,$E423)</f>
        <v>2</v>
      </c>
      <c r="K423" s="6" t="n">
        <f aca="false">INDEX(Services!$F$5:$F$85,MATCH($A423,Services!$A$5:$A$85,0))</f>
        <v>1</v>
      </c>
      <c r="L423" s="6" t="n">
        <f aca="false">IF($H423="Auto-deduct",IF($G423="Countable",ROUNDUP($J423*IF($I423="Y",$K423,1),0),ROUND($J423*IF($I423="Y",$K423,1),1)),$J423)</f>
        <v>2</v>
      </c>
      <c r="M423" s="6" t="str">
        <f aca="false">INDEX(Items!$E$5:$E$62,MATCH($E423,Items!$A$5:$A$62,0))</f>
        <v>pc</v>
      </c>
      <c r="N423" s="6" t="n">
        <f aca="false">ROUND($L423/INDEX(Items!$F$5:$F$62,MATCH($E423,Items!$A$5:$A$62,0)),4)</f>
        <v>0.02</v>
      </c>
      <c r="O423" s="6"/>
    </row>
    <row r="424" customFormat="false" ht="15" hidden="false" customHeight="false" outlineLevel="0" collapsed="false">
      <c r="A424" s="6" t="n">
        <v>44</v>
      </c>
      <c r="B424" s="6" t="s">
        <v>340</v>
      </c>
      <c r="C424" s="6" t="s">
        <v>339</v>
      </c>
      <c r="D424" s="6" t="s">
        <v>159</v>
      </c>
      <c r="E424" s="6" t="s">
        <v>52</v>
      </c>
      <c r="F424" s="6" t="str">
        <f aca="false">INDEX(Items!$B$5:$B$62,MATCH($E424,Items!$A$5:$A$62,0))</f>
        <v>DISPOSABLES &amp; CLINIC CONSUMABLES</v>
      </c>
      <c r="G424" s="6" t="str">
        <f aca="false">INDEX(Items!$C$5:$C$62,MATCH($E424,Items!$A$5:$A$62,0))</f>
        <v>Countable</v>
      </c>
      <c r="H424" s="6" t="s">
        <v>161</v>
      </c>
      <c r="I424" s="6" t="s">
        <v>160</v>
      </c>
      <c r="J424" s="6" t="n">
        <f aca="false">SUMIFS(Kits!$C$5:$C$163,Kits!$A$5:$A$163,$D424,Kits!$B$5:$B$163,$E424)</f>
        <v>1</v>
      </c>
      <c r="K424" s="6" t="n">
        <f aca="false">INDEX(Services!$F$5:$F$85,MATCH($A424,Services!$A$5:$A$85,0))</f>
        <v>1</v>
      </c>
      <c r="L424" s="6" t="n">
        <f aca="false">IF($H424="Auto-deduct",IF($G424="Countable",ROUNDUP($J424*IF($I424="Y",$K424,1),0),ROUND($J424*IF($I424="Y",$K424,1),1)),$J424)</f>
        <v>1</v>
      </c>
      <c r="M424" s="6" t="str">
        <f aca="false">INDEX(Items!$E$5:$E$62,MATCH($E424,Items!$A$5:$A$62,0))</f>
        <v>pc</v>
      </c>
      <c r="N424" s="6" t="n">
        <f aca="false">ROUND($L424/INDEX(Items!$F$5:$F$62,MATCH($E424,Items!$A$5:$A$62,0)),4)</f>
        <v>1</v>
      </c>
      <c r="O424" s="6"/>
    </row>
    <row r="425" customFormat="false" ht="15" hidden="false" customHeight="false" outlineLevel="0" collapsed="false">
      <c r="A425" s="6" t="n">
        <v>44</v>
      </c>
      <c r="B425" s="6" t="s">
        <v>340</v>
      </c>
      <c r="C425" s="6" t="s">
        <v>339</v>
      </c>
      <c r="D425" s="6" t="s">
        <v>159</v>
      </c>
      <c r="E425" s="6" t="s">
        <v>53</v>
      </c>
      <c r="F425" s="6" t="str">
        <f aca="false">INDEX(Items!$B$5:$B$62,MATCH($E425,Items!$A$5:$A$62,0))</f>
        <v>DISPOSABLES &amp; CLINIC CONSUMABLES</v>
      </c>
      <c r="G425" s="6" t="str">
        <f aca="false">INDEX(Items!$C$5:$C$62,MATCH($E425,Items!$A$5:$A$62,0))</f>
        <v>Countable</v>
      </c>
      <c r="H425" s="6" t="s">
        <v>161</v>
      </c>
      <c r="I425" s="6" t="s">
        <v>160</v>
      </c>
      <c r="J425" s="6" t="n">
        <f aca="false">SUMIFS(Kits!$C$5:$C$163,Kits!$A$5:$A$163,$D425,Kits!$B$5:$B$163,$E425)</f>
        <v>1</v>
      </c>
      <c r="K425" s="6" t="n">
        <f aca="false">INDEX(Services!$F$5:$F$85,MATCH($A425,Services!$A$5:$A$85,0))</f>
        <v>1</v>
      </c>
      <c r="L425" s="6" t="n">
        <f aca="false">IF($H425="Auto-deduct",IF($G425="Countable",ROUNDUP($J425*IF($I425="Y",$K425,1),0),ROUND($J425*IF($I425="Y",$K425,1),1)),$J425)</f>
        <v>1</v>
      </c>
      <c r="M425" s="6" t="str">
        <f aca="false">INDEX(Items!$E$5:$E$62,MATCH($E425,Items!$A$5:$A$62,0))</f>
        <v>pair</v>
      </c>
      <c r="N425" s="6" t="n">
        <f aca="false">ROUND($L425/INDEX(Items!$F$5:$F$62,MATCH($E425,Items!$A$5:$A$62,0)),4)</f>
        <v>1</v>
      </c>
      <c r="O425" s="6"/>
    </row>
    <row r="426" customFormat="false" ht="15" hidden="false" customHeight="false" outlineLevel="0" collapsed="false">
      <c r="A426" s="6" t="n">
        <v>44</v>
      </c>
      <c r="B426" s="6" t="s">
        <v>340</v>
      </c>
      <c r="C426" s="6" t="s">
        <v>339</v>
      </c>
      <c r="D426" s="6" t="s">
        <v>159</v>
      </c>
      <c r="E426" s="6" t="s">
        <v>88</v>
      </c>
      <c r="F426" s="6" t="str">
        <f aca="false">INDEX(Items!$B$5:$B$62,MATCH($E426,Items!$A$5:$A$62,0))</f>
        <v>DISPOSABLES &amp; CLINIC CONSUMABLES</v>
      </c>
      <c r="G426" s="6" t="str">
        <f aca="false">INDEX(Items!$C$5:$C$62,MATCH($E426,Items!$A$5:$A$62,0))</f>
        <v>Bulk</v>
      </c>
      <c r="H426" s="6" t="s">
        <v>161</v>
      </c>
      <c r="I426" s="6" t="s">
        <v>160</v>
      </c>
      <c r="J426" s="6" t="n">
        <f aca="false">SUMIFS(Kits!$C$5:$C$163,Kits!$A$5:$A$163,$D426,Kits!$B$5:$B$163,$E426)</f>
        <v>5</v>
      </c>
      <c r="K426" s="6" t="n">
        <f aca="false">INDEX(Services!$F$5:$F$85,MATCH($A426,Services!$A$5:$A$85,0))</f>
        <v>1</v>
      </c>
      <c r="L426" s="6" t="n">
        <f aca="false">IF($H426="Auto-deduct",IF($G426="Countable",ROUNDUP($J426*IF($I426="Y",$K426,1),0),ROUND($J426*IF($I426="Y",$K426,1),1)),$J426)</f>
        <v>5</v>
      </c>
      <c r="M426" s="6" t="str">
        <f aca="false">INDEX(Items!$E$5:$E$62,MATCH($E426,Items!$A$5:$A$62,0))</f>
        <v>mL</v>
      </c>
      <c r="N426" s="6" t="n">
        <f aca="false">ROUND($L426/INDEX(Items!$F$5:$F$62,MATCH($E426,Items!$A$5:$A$62,0)),4)</f>
        <v>0.01</v>
      </c>
      <c r="O426" s="6"/>
    </row>
    <row r="427" customFormat="false" ht="15" hidden="false" customHeight="false" outlineLevel="0" collapsed="false">
      <c r="A427" s="6" t="n">
        <v>44</v>
      </c>
      <c r="B427" s="6" t="s">
        <v>340</v>
      </c>
      <c r="C427" s="6" t="s">
        <v>339</v>
      </c>
      <c r="D427" s="6" t="s">
        <v>213</v>
      </c>
      <c r="E427" s="6" t="s">
        <v>69</v>
      </c>
      <c r="F427" s="6" t="str">
        <f aca="false">INDEX(Items!$B$5:$B$62,MATCH($E427,Items!$A$5:$A$62,0))</f>
        <v>DISPOSABLES &amp; CLINIC CONSUMABLES</v>
      </c>
      <c r="G427" s="6" t="str">
        <f aca="false">INDEX(Items!$C$5:$C$62,MATCH($E427,Items!$A$5:$A$62,0))</f>
        <v>Bulk</v>
      </c>
      <c r="H427" s="6" t="s">
        <v>161</v>
      </c>
      <c r="I427" s="6" t="s">
        <v>160</v>
      </c>
      <c r="J427" s="6" t="n">
        <f aca="false">SUMIFS(Kits!$C$5:$C$163,Kits!$A$5:$A$163,$D427,Kits!$B$5:$B$163,$E427)</f>
        <v>5</v>
      </c>
      <c r="K427" s="6" t="n">
        <f aca="false">INDEX(Services!$F$5:$F$85,MATCH($A427,Services!$A$5:$A$85,0))</f>
        <v>1</v>
      </c>
      <c r="L427" s="6" t="n">
        <f aca="false">IF($H427="Auto-deduct",IF($G427="Countable",ROUNDUP($J427*IF($I427="Y",$K427,1),0),ROUND($J427*IF($I427="Y",$K427,1),1)),$J427)</f>
        <v>5</v>
      </c>
      <c r="M427" s="6" t="str">
        <f aca="false">INDEX(Items!$E$5:$E$62,MATCH($E427,Items!$A$5:$A$62,0))</f>
        <v>g</v>
      </c>
      <c r="N427" s="6" t="n">
        <f aca="false">ROUND($L427/INDEX(Items!$F$5:$F$62,MATCH($E427,Items!$A$5:$A$62,0)),4)</f>
        <v>0.0125</v>
      </c>
      <c r="O427" s="6"/>
    </row>
    <row r="428" customFormat="false" ht="15" hidden="false" customHeight="false" outlineLevel="0" collapsed="false">
      <c r="A428" s="6" t="n">
        <v>44</v>
      </c>
      <c r="B428" s="6" t="s">
        <v>340</v>
      </c>
      <c r="C428" s="6" t="s">
        <v>339</v>
      </c>
      <c r="D428" s="6" t="s">
        <v>213</v>
      </c>
      <c r="E428" s="6" t="s">
        <v>72</v>
      </c>
      <c r="F428" s="6" t="str">
        <f aca="false">INDEX(Items!$B$5:$B$62,MATCH($E428,Items!$A$5:$A$62,0))</f>
        <v>DISPOSABLES &amp; CLINIC CONSUMABLES</v>
      </c>
      <c r="G428" s="6" t="str">
        <f aca="false">INDEX(Items!$C$5:$C$62,MATCH($E428,Items!$A$5:$A$62,0))</f>
        <v>Bulk</v>
      </c>
      <c r="H428" s="6" t="s">
        <v>161</v>
      </c>
      <c r="I428" s="6" t="s">
        <v>160</v>
      </c>
      <c r="J428" s="6" t="n">
        <f aca="false">SUMIFS(Kits!$C$5:$C$163,Kits!$A$5:$A$163,$D428,Kits!$B$5:$B$163,$E428)</f>
        <v>4</v>
      </c>
      <c r="K428" s="6" t="n">
        <f aca="false">INDEX(Services!$F$5:$F$85,MATCH($A428,Services!$A$5:$A$85,0))</f>
        <v>1</v>
      </c>
      <c r="L428" s="6" t="n">
        <f aca="false">IF($H428="Auto-deduct",IF($G428="Countable",ROUNDUP($J428*IF($I428="Y",$K428,1),0),ROUND($J428*IF($I428="Y",$K428,1),1)),$J428)</f>
        <v>4</v>
      </c>
      <c r="M428" s="6" t="str">
        <f aca="false">INDEX(Items!$E$5:$E$62,MATCH($E428,Items!$A$5:$A$62,0))</f>
        <v>pc</v>
      </c>
      <c r="N428" s="6" t="n">
        <f aca="false">ROUND($L428/INDEX(Items!$F$5:$F$62,MATCH($E428,Items!$A$5:$A$62,0)),4)</f>
        <v>0.04</v>
      </c>
      <c r="O428" s="6"/>
    </row>
    <row r="429" customFormat="false" ht="15" hidden="false" customHeight="false" outlineLevel="0" collapsed="false">
      <c r="A429" s="6" t="n">
        <v>44</v>
      </c>
      <c r="B429" s="6" t="s">
        <v>340</v>
      </c>
      <c r="C429" s="6" t="s">
        <v>339</v>
      </c>
      <c r="D429" s="6" t="s">
        <v>213</v>
      </c>
      <c r="E429" s="6" t="s">
        <v>86</v>
      </c>
      <c r="F429" s="6" t="str">
        <f aca="false">INDEX(Items!$B$5:$B$62,MATCH($E429,Items!$A$5:$A$62,0))</f>
        <v>DISPOSABLES &amp; CLINIC CONSUMABLES</v>
      </c>
      <c r="G429" s="6" t="str">
        <f aca="false">INDEX(Items!$C$5:$C$62,MATCH($E429,Items!$A$5:$A$62,0))</f>
        <v>Bulk</v>
      </c>
      <c r="H429" s="6" t="s">
        <v>161</v>
      </c>
      <c r="I429" s="6" t="s">
        <v>160</v>
      </c>
      <c r="J429" s="6" t="n">
        <f aca="false">SUMIFS(Kits!$C$5:$C$163,Kits!$A$5:$A$163,$D429,Kits!$B$5:$B$163,$E429)</f>
        <v>2</v>
      </c>
      <c r="K429" s="6" t="n">
        <f aca="false">INDEX(Services!$F$5:$F$85,MATCH($A429,Services!$A$5:$A$85,0))</f>
        <v>1</v>
      </c>
      <c r="L429" s="6" t="n">
        <f aca="false">IF($H429="Auto-deduct",IF($G429="Countable",ROUNDUP($J429*IF($I429="Y",$K429,1),0),ROUND($J429*IF($I429="Y",$K429,1),1)),$J429)</f>
        <v>2</v>
      </c>
      <c r="M429" s="6" t="str">
        <f aca="false">INDEX(Items!$E$5:$E$62,MATCH($E429,Items!$A$5:$A$62,0))</f>
        <v>pc</v>
      </c>
      <c r="N429" s="6" t="n">
        <f aca="false">ROUND($L429/INDEX(Items!$F$5:$F$62,MATCH($E429,Items!$A$5:$A$62,0)),4)</f>
        <v>0.025</v>
      </c>
      <c r="O429" s="6"/>
    </row>
    <row r="430" customFormat="false" ht="15" hidden="false" customHeight="false" outlineLevel="0" collapsed="false">
      <c r="A430" s="6" t="n">
        <v>44</v>
      </c>
      <c r="B430" s="6" t="s">
        <v>340</v>
      </c>
      <c r="C430" s="6" t="s">
        <v>339</v>
      </c>
      <c r="D430" s="6" t="s">
        <v>213</v>
      </c>
      <c r="E430" s="6" t="s">
        <v>58</v>
      </c>
      <c r="F430" s="6" t="str">
        <f aca="false">INDEX(Items!$B$5:$B$62,MATCH($E430,Items!$A$5:$A$62,0))</f>
        <v>DISPOSABLES &amp; CLINIC CONSUMABLES</v>
      </c>
      <c r="G430" s="6" t="str">
        <f aca="false">INDEX(Items!$C$5:$C$62,MATCH($E430,Items!$A$5:$A$62,0))</f>
        <v>Bulk</v>
      </c>
      <c r="H430" s="6" t="s">
        <v>161</v>
      </c>
      <c r="I430" s="6" t="s">
        <v>160</v>
      </c>
      <c r="J430" s="6" t="n">
        <f aca="false">SUMIFS(Kits!$C$5:$C$163,Kits!$A$5:$A$163,$D430,Kits!$B$5:$B$163,$E430)</f>
        <v>4</v>
      </c>
      <c r="K430" s="6" t="n">
        <f aca="false">INDEX(Services!$F$5:$F$85,MATCH($A430,Services!$A$5:$A$85,0))</f>
        <v>1</v>
      </c>
      <c r="L430" s="6" t="n">
        <f aca="false">IF($H430="Auto-deduct",IF($G430="Countable",ROUNDUP($J430*IF($I430="Y",$K430,1),0),ROUND($J430*IF($I430="Y",$K430,1),1)),$J430)</f>
        <v>4</v>
      </c>
      <c r="M430" s="6" t="str">
        <f aca="false">INDEX(Items!$E$5:$E$62,MATCH($E430,Items!$A$5:$A$62,0))</f>
        <v>sheet</v>
      </c>
      <c r="N430" s="6" t="n">
        <f aca="false">ROUND($L430/INDEX(Items!$F$5:$F$62,MATCH($E430,Items!$A$5:$A$62,0)),4)</f>
        <v>0.02</v>
      </c>
      <c r="O430" s="6"/>
    </row>
    <row r="431" customFormat="false" ht="15" hidden="false" customHeight="false" outlineLevel="0" collapsed="false">
      <c r="A431" s="6" t="n">
        <v>44</v>
      </c>
      <c r="B431" s="6" t="s">
        <v>340</v>
      </c>
      <c r="C431" s="6" t="s">
        <v>339</v>
      </c>
      <c r="D431" s="6" t="s">
        <v>215</v>
      </c>
      <c r="E431" s="6" t="s">
        <v>88</v>
      </c>
      <c r="F431" s="6" t="str">
        <f aca="false">INDEX(Items!$B$5:$B$62,MATCH($E431,Items!$A$5:$A$62,0))</f>
        <v>DISPOSABLES &amp; CLINIC CONSUMABLES</v>
      </c>
      <c r="G431" s="6" t="str">
        <f aca="false">INDEX(Items!$C$5:$C$62,MATCH($E431,Items!$A$5:$A$62,0))</f>
        <v>Bulk</v>
      </c>
      <c r="H431" s="6" t="s">
        <v>161</v>
      </c>
      <c r="I431" s="6" t="s">
        <v>191</v>
      </c>
      <c r="J431" s="6" t="n">
        <f aca="false">SUMIFS(Kits!$C$5:$C$163,Kits!$A$5:$A$163,$D431,Kits!$B$5:$B$163,$E431)</f>
        <v>5</v>
      </c>
      <c r="K431" s="6" t="n">
        <f aca="false">INDEX(Services!$F$5:$F$85,MATCH($A431,Services!$A$5:$A$85,0))</f>
        <v>1</v>
      </c>
      <c r="L431" s="6" t="n">
        <f aca="false">IF($H431="Auto-deduct",IF($G431="Countable",ROUNDUP($J431*IF($I431="Y",$K431,1),0),ROUND($J431*IF($I431="Y",$K431,1),1)),$J431)</f>
        <v>5</v>
      </c>
      <c r="M431" s="6" t="str">
        <f aca="false">INDEX(Items!$E$5:$E$62,MATCH($E431,Items!$A$5:$A$62,0))</f>
        <v>mL</v>
      </c>
      <c r="N431" s="6" t="n">
        <f aca="false">ROUND($L431/INDEX(Items!$F$5:$F$62,MATCH($E431,Items!$A$5:$A$62,0)),4)</f>
        <v>0.01</v>
      </c>
      <c r="O431" s="6"/>
    </row>
    <row r="432" customFormat="false" ht="15" hidden="false" customHeight="false" outlineLevel="0" collapsed="false">
      <c r="A432" s="6" t="n">
        <v>44</v>
      </c>
      <c r="B432" s="6" t="s">
        <v>340</v>
      </c>
      <c r="C432" s="6" t="s">
        <v>339</v>
      </c>
      <c r="D432" s="6" t="s">
        <v>215</v>
      </c>
      <c r="E432" s="6" t="s">
        <v>86</v>
      </c>
      <c r="F432" s="6" t="str">
        <f aca="false">INDEX(Items!$B$5:$B$62,MATCH($E432,Items!$A$5:$A$62,0))</f>
        <v>DISPOSABLES &amp; CLINIC CONSUMABLES</v>
      </c>
      <c r="G432" s="6" t="str">
        <f aca="false">INDEX(Items!$C$5:$C$62,MATCH($E432,Items!$A$5:$A$62,0))</f>
        <v>Bulk</v>
      </c>
      <c r="H432" s="6" t="s">
        <v>161</v>
      </c>
      <c r="I432" s="6" t="s">
        <v>191</v>
      </c>
      <c r="J432" s="6" t="n">
        <f aca="false">SUMIFS(Kits!$C$5:$C$163,Kits!$A$5:$A$163,$D432,Kits!$B$5:$B$163,$E432)</f>
        <v>3</v>
      </c>
      <c r="K432" s="6" t="n">
        <f aca="false">INDEX(Services!$F$5:$F$85,MATCH($A432,Services!$A$5:$A$85,0))</f>
        <v>1</v>
      </c>
      <c r="L432" s="6" t="n">
        <f aca="false">IF($H432="Auto-deduct",IF($G432="Countable",ROUNDUP($J432*IF($I432="Y",$K432,1),0),ROUND($J432*IF($I432="Y",$K432,1),1)),$J432)</f>
        <v>3</v>
      </c>
      <c r="M432" s="6" t="str">
        <f aca="false">INDEX(Items!$E$5:$E$62,MATCH($E432,Items!$A$5:$A$62,0))</f>
        <v>pc</v>
      </c>
      <c r="N432" s="6" t="n">
        <f aca="false">ROUND($L432/INDEX(Items!$F$5:$F$62,MATCH($E432,Items!$A$5:$A$62,0)),4)</f>
        <v>0.0375</v>
      </c>
      <c r="O432" s="6"/>
    </row>
    <row r="433" customFormat="false" ht="15" hidden="false" customHeight="false" outlineLevel="0" collapsed="false">
      <c r="A433" s="6" t="n">
        <v>44</v>
      </c>
      <c r="B433" s="6" t="s">
        <v>340</v>
      </c>
      <c r="C433" s="6" t="s">
        <v>339</v>
      </c>
      <c r="D433" s="6" t="s">
        <v>215</v>
      </c>
      <c r="E433" s="6" t="s">
        <v>72</v>
      </c>
      <c r="F433" s="6" t="str">
        <f aca="false">INDEX(Items!$B$5:$B$62,MATCH($E433,Items!$A$5:$A$62,0))</f>
        <v>DISPOSABLES &amp; CLINIC CONSUMABLES</v>
      </c>
      <c r="G433" s="6" t="str">
        <f aca="false">INDEX(Items!$C$5:$C$62,MATCH($E433,Items!$A$5:$A$62,0))</f>
        <v>Bulk</v>
      </c>
      <c r="H433" s="6" t="s">
        <v>161</v>
      </c>
      <c r="I433" s="6" t="s">
        <v>160</v>
      </c>
      <c r="J433" s="6" t="n">
        <f aca="false">SUMIFS(Kits!$C$5:$C$163,Kits!$A$5:$A$163,$D433,Kits!$B$5:$B$163,$E433)</f>
        <v>2</v>
      </c>
      <c r="K433" s="6" t="n">
        <f aca="false">INDEX(Services!$F$5:$F$85,MATCH($A433,Services!$A$5:$A$85,0))</f>
        <v>1</v>
      </c>
      <c r="L433" s="6" t="n">
        <f aca="false">IF($H433="Auto-deduct",IF($G433="Countable",ROUNDUP($J433*IF($I433="Y",$K433,1),0),ROUND($J433*IF($I433="Y",$K433,1),1)),$J433)</f>
        <v>2</v>
      </c>
      <c r="M433" s="6" t="str">
        <f aca="false">INDEX(Items!$E$5:$E$62,MATCH($E433,Items!$A$5:$A$62,0))</f>
        <v>pc</v>
      </c>
      <c r="N433" s="6" t="n">
        <f aca="false">ROUND($L433/INDEX(Items!$F$5:$F$62,MATCH($E433,Items!$A$5:$A$62,0)),4)</f>
        <v>0.02</v>
      </c>
      <c r="O433" s="6"/>
    </row>
    <row r="434" customFormat="false" ht="15" hidden="false" customHeight="false" outlineLevel="0" collapsed="false">
      <c r="A434" s="6" t="n">
        <v>45</v>
      </c>
      <c r="B434" s="6" t="s">
        <v>342</v>
      </c>
      <c r="C434" s="6" t="s">
        <v>339</v>
      </c>
      <c r="D434" s="6" t="s">
        <v>159</v>
      </c>
      <c r="E434" s="6" t="s">
        <v>52</v>
      </c>
      <c r="F434" s="6" t="str">
        <f aca="false">INDEX(Items!$B$5:$B$62,MATCH($E434,Items!$A$5:$A$62,0))</f>
        <v>DISPOSABLES &amp; CLINIC CONSUMABLES</v>
      </c>
      <c r="G434" s="6" t="str">
        <f aca="false">INDEX(Items!$C$5:$C$62,MATCH($E434,Items!$A$5:$A$62,0))</f>
        <v>Countable</v>
      </c>
      <c r="H434" s="6" t="s">
        <v>161</v>
      </c>
      <c r="I434" s="6" t="s">
        <v>160</v>
      </c>
      <c r="J434" s="6" t="n">
        <f aca="false">SUMIFS(Kits!$C$5:$C$163,Kits!$A$5:$A$163,$D434,Kits!$B$5:$B$163,$E434)</f>
        <v>1</v>
      </c>
      <c r="K434" s="6" t="n">
        <f aca="false">INDEX(Services!$F$5:$F$85,MATCH($A434,Services!$A$5:$A$85,0))</f>
        <v>1.2</v>
      </c>
      <c r="L434" s="6" t="n">
        <f aca="false">IF($H434="Auto-deduct",IF($G434="Countable",ROUNDUP($J434*IF($I434="Y",$K434,1),0),ROUND($J434*IF($I434="Y",$K434,1),1)),$J434)</f>
        <v>1</v>
      </c>
      <c r="M434" s="6" t="str">
        <f aca="false">INDEX(Items!$E$5:$E$62,MATCH($E434,Items!$A$5:$A$62,0))</f>
        <v>pc</v>
      </c>
      <c r="N434" s="6" t="n">
        <f aca="false">ROUND($L434/INDEX(Items!$F$5:$F$62,MATCH($E434,Items!$A$5:$A$62,0)),4)</f>
        <v>1</v>
      </c>
      <c r="O434" s="6"/>
    </row>
    <row r="435" customFormat="false" ht="15" hidden="false" customHeight="false" outlineLevel="0" collapsed="false">
      <c r="A435" s="6" t="n">
        <v>45</v>
      </c>
      <c r="B435" s="6" t="s">
        <v>342</v>
      </c>
      <c r="C435" s="6" t="s">
        <v>339</v>
      </c>
      <c r="D435" s="6" t="s">
        <v>159</v>
      </c>
      <c r="E435" s="6" t="s">
        <v>53</v>
      </c>
      <c r="F435" s="6" t="str">
        <f aca="false">INDEX(Items!$B$5:$B$62,MATCH($E435,Items!$A$5:$A$62,0))</f>
        <v>DISPOSABLES &amp; CLINIC CONSUMABLES</v>
      </c>
      <c r="G435" s="6" t="str">
        <f aca="false">INDEX(Items!$C$5:$C$62,MATCH($E435,Items!$A$5:$A$62,0))</f>
        <v>Countable</v>
      </c>
      <c r="H435" s="6" t="s">
        <v>161</v>
      </c>
      <c r="I435" s="6" t="s">
        <v>160</v>
      </c>
      <c r="J435" s="6" t="n">
        <f aca="false">SUMIFS(Kits!$C$5:$C$163,Kits!$A$5:$A$163,$D435,Kits!$B$5:$B$163,$E435)</f>
        <v>1</v>
      </c>
      <c r="K435" s="6" t="n">
        <f aca="false">INDEX(Services!$F$5:$F$85,MATCH($A435,Services!$A$5:$A$85,0))</f>
        <v>1.2</v>
      </c>
      <c r="L435" s="6" t="n">
        <f aca="false">IF($H435="Auto-deduct",IF($G435="Countable",ROUNDUP($J435*IF($I435="Y",$K435,1),0),ROUND($J435*IF($I435="Y",$K435,1),1)),$J435)</f>
        <v>1</v>
      </c>
      <c r="M435" s="6" t="str">
        <f aca="false">INDEX(Items!$E$5:$E$62,MATCH($E435,Items!$A$5:$A$62,0))</f>
        <v>pair</v>
      </c>
      <c r="N435" s="6" t="n">
        <f aca="false">ROUND($L435/INDEX(Items!$F$5:$F$62,MATCH($E435,Items!$A$5:$A$62,0)),4)</f>
        <v>1</v>
      </c>
      <c r="O435" s="6"/>
    </row>
    <row r="436" customFormat="false" ht="15" hidden="false" customHeight="false" outlineLevel="0" collapsed="false">
      <c r="A436" s="6" t="n">
        <v>45</v>
      </c>
      <c r="B436" s="6" t="s">
        <v>342</v>
      </c>
      <c r="C436" s="6" t="s">
        <v>339</v>
      </c>
      <c r="D436" s="6" t="s">
        <v>159</v>
      </c>
      <c r="E436" s="6" t="s">
        <v>88</v>
      </c>
      <c r="F436" s="6" t="str">
        <f aca="false">INDEX(Items!$B$5:$B$62,MATCH($E436,Items!$A$5:$A$62,0))</f>
        <v>DISPOSABLES &amp; CLINIC CONSUMABLES</v>
      </c>
      <c r="G436" s="6" t="str">
        <f aca="false">INDEX(Items!$C$5:$C$62,MATCH($E436,Items!$A$5:$A$62,0))</f>
        <v>Bulk</v>
      </c>
      <c r="H436" s="6" t="s">
        <v>161</v>
      </c>
      <c r="I436" s="6" t="s">
        <v>160</v>
      </c>
      <c r="J436" s="6" t="n">
        <f aca="false">SUMIFS(Kits!$C$5:$C$163,Kits!$A$5:$A$163,$D436,Kits!$B$5:$B$163,$E436)</f>
        <v>5</v>
      </c>
      <c r="K436" s="6" t="n">
        <f aca="false">INDEX(Services!$F$5:$F$85,MATCH($A436,Services!$A$5:$A$85,0))</f>
        <v>1.2</v>
      </c>
      <c r="L436" s="6" t="n">
        <f aca="false">IF($H436="Auto-deduct",IF($G436="Countable",ROUNDUP($J436*IF($I436="Y",$K436,1),0),ROUND($J436*IF($I436="Y",$K436,1),1)),$J436)</f>
        <v>5</v>
      </c>
      <c r="M436" s="6" t="str">
        <f aca="false">INDEX(Items!$E$5:$E$62,MATCH($E436,Items!$A$5:$A$62,0))</f>
        <v>mL</v>
      </c>
      <c r="N436" s="6" t="n">
        <f aca="false">ROUND($L436/INDEX(Items!$F$5:$F$62,MATCH($E436,Items!$A$5:$A$62,0)),4)</f>
        <v>0.01</v>
      </c>
      <c r="O436" s="6"/>
    </row>
    <row r="437" customFormat="false" ht="15" hidden="false" customHeight="false" outlineLevel="0" collapsed="false">
      <c r="A437" s="6" t="n">
        <v>45</v>
      </c>
      <c r="B437" s="6" t="s">
        <v>342</v>
      </c>
      <c r="C437" s="6" t="s">
        <v>339</v>
      </c>
      <c r="D437" s="6" t="s">
        <v>213</v>
      </c>
      <c r="E437" s="6" t="s">
        <v>69</v>
      </c>
      <c r="F437" s="6" t="str">
        <f aca="false">INDEX(Items!$B$5:$B$62,MATCH($E437,Items!$A$5:$A$62,0))</f>
        <v>DISPOSABLES &amp; CLINIC CONSUMABLES</v>
      </c>
      <c r="G437" s="6" t="str">
        <f aca="false">INDEX(Items!$C$5:$C$62,MATCH($E437,Items!$A$5:$A$62,0))</f>
        <v>Bulk</v>
      </c>
      <c r="H437" s="6" t="s">
        <v>161</v>
      </c>
      <c r="I437" s="6" t="s">
        <v>160</v>
      </c>
      <c r="J437" s="6" t="n">
        <f aca="false">SUMIFS(Kits!$C$5:$C$163,Kits!$A$5:$A$163,$D437,Kits!$B$5:$B$163,$E437)</f>
        <v>5</v>
      </c>
      <c r="K437" s="6" t="n">
        <f aca="false">INDEX(Services!$F$5:$F$85,MATCH($A437,Services!$A$5:$A$85,0))</f>
        <v>1.2</v>
      </c>
      <c r="L437" s="6" t="n">
        <f aca="false">IF($H437="Auto-deduct",IF($G437="Countable",ROUNDUP($J437*IF($I437="Y",$K437,1),0),ROUND($J437*IF($I437="Y",$K437,1),1)),$J437)</f>
        <v>5</v>
      </c>
      <c r="M437" s="6" t="str">
        <f aca="false">INDEX(Items!$E$5:$E$62,MATCH($E437,Items!$A$5:$A$62,0))</f>
        <v>g</v>
      </c>
      <c r="N437" s="6" t="n">
        <f aca="false">ROUND($L437/INDEX(Items!$F$5:$F$62,MATCH($E437,Items!$A$5:$A$62,0)),4)</f>
        <v>0.0125</v>
      </c>
      <c r="O437" s="6"/>
    </row>
    <row r="438" customFormat="false" ht="15" hidden="false" customHeight="false" outlineLevel="0" collapsed="false">
      <c r="A438" s="6" t="n">
        <v>45</v>
      </c>
      <c r="B438" s="6" t="s">
        <v>342</v>
      </c>
      <c r="C438" s="6" t="s">
        <v>339</v>
      </c>
      <c r="D438" s="6" t="s">
        <v>213</v>
      </c>
      <c r="E438" s="6" t="s">
        <v>72</v>
      </c>
      <c r="F438" s="6" t="str">
        <f aca="false">INDEX(Items!$B$5:$B$62,MATCH($E438,Items!$A$5:$A$62,0))</f>
        <v>DISPOSABLES &amp; CLINIC CONSUMABLES</v>
      </c>
      <c r="G438" s="6" t="str">
        <f aca="false">INDEX(Items!$C$5:$C$62,MATCH($E438,Items!$A$5:$A$62,0))</f>
        <v>Bulk</v>
      </c>
      <c r="H438" s="6" t="s">
        <v>161</v>
      </c>
      <c r="I438" s="6" t="s">
        <v>160</v>
      </c>
      <c r="J438" s="6" t="n">
        <f aca="false">SUMIFS(Kits!$C$5:$C$163,Kits!$A$5:$A$163,$D438,Kits!$B$5:$B$163,$E438)</f>
        <v>4</v>
      </c>
      <c r="K438" s="6" t="n">
        <f aca="false">INDEX(Services!$F$5:$F$85,MATCH($A438,Services!$A$5:$A$85,0))</f>
        <v>1.2</v>
      </c>
      <c r="L438" s="6" t="n">
        <f aca="false">IF($H438="Auto-deduct",IF($G438="Countable",ROUNDUP($J438*IF($I438="Y",$K438,1),0),ROUND($J438*IF($I438="Y",$K438,1),1)),$J438)</f>
        <v>4</v>
      </c>
      <c r="M438" s="6" t="str">
        <f aca="false">INDEX(Items!$E$5:$E$62,MATCH($E438,Items!$A$5:$A$62,0))</f>
        <v>pc</v>
      </c>
      <c r="N438" s="6" t="n">
        <f aca="false">ROUND($L438/INDEX(Items!$F$5:$F$62,MATCH($E438,Items!$A$5:$A$62,0)),4)</f>
        <v>0.04</v>
      </c>
      <c r="O438" s="6"/>
    </row>
    <row r="439" customFormat="false" ht="15" hidden="false" customHeight="false" outlineLevel="0" collapsed="false">
      <c r="A439" s="6" t="n">
        <v>45</v>
      </c>
      <c r="B439" s="6" t="s">
        <v>342</v>
      </c>
      <c r="C439" s="6" t="s">
        <v>339</v>
      </c>
      <c r="D439" s="6" t="s">
        <v>213</v>
      </c>
      <c r="E439" s="6" t="s">
        <v>86</v>
      </c>
      <c r="F439" s="6" t="str">
        <f aca="false">INDEX(Items!$B$5:$B$62,MATCH($E439,Items!$A$5:$A$62,0))</f>
        <v>DISPOSABLES &amp; CLINIC CONSUMABLES</v>
      </c>
      <c r="G439" s="6" t="str">
        <f aca="false">INDEX(Items!$C$5:$C$62,MATCH($E439,Items!$A$5:$A$62,0))</f>
        <v>Bulk</v>
      </c>
      <c r="H439" s="6" t="s">
        <v>161</v>
      </c>
      <c r="I439" s="6" t="s">
        <v>160</v>
      </c>
      <c r="J439" s="6" t="n">
        <f aca="false">SUMIFS(Kits!$C$5:$C$163,Kits!$A$5:$A$163,$D439,Kits!$B$5:$B$163,$E439)</f>
        <v>2</v>
      </c>
      <c r="K439" s="6" t="n">
        <f aca="false">INDEX(Services!$F$5:$F$85,MATCH($A439,Services!$A$5:$A$85,0))</f>
        <v>1.2</v>
      </c>
      <c r="L439" s="6" t="n">
        <f aca="false">IF($H439="Auto-deduct",IF($G439="Countable",ROUNDUP($J439*IF($I439="Y",$K439,1),0),ROUND($J439*IF($I439="Y",$K439,1),1)),$J439)</f>
        <v>2</v>
      </c>
      <c r="M439" s="6" t="str">
        <f aca="false">INDEX(Items!$E$5:$E$62,MATCH($E439,Items!$A$5:$A$62,0))</f>
        <v>pc</v>
      </c>
      <c r="N439" s="6" t="n">
        <f aca="false">ROUND($L439/INDEX(Items!$F$5:$F$62,MATCH($E439,Items!$A$5:$A$62,0)),4)</f>
        <v>0.025</v>
      </c>
      <c r="O439" s="6"/>
    </row>
    <row r="440" customFormat="false" ht="15" hidden="false" customHeight="false" outlineLevel="0" collapsed="false">
      <c r="A440" s="6" t="n">
        <v>45</v>
      </c>
      <c r="B440" s="6" t="s">
        <v>342</v>
      </c>
      <c r="C440" s="6" t="s">
        <v>339</v>
      </c>
      <c r="D440" s="6" t="s">
        <v>213</v>
      </c>
      <c r="E440" s="6" t="s">
        <v>58</v>
      </c>
      <c r="F440" s="6" t="str">
        <f aca="false">INDEX(Items!$B$5:$B$62,MATCH($E440,Items!$A$5:$A$62,0))</f>
        <v>DISPOSABLES &amp; CLINIC CONSUMABLES</v>
      </c>
      <c r="G440" s="6" t="str">
        <f aca="false">INDEX(Items!$C$5:$C$62,MATCH($E440,Items!$A$5:$A$62,0))</f>
        <v>Bulk</v>
      </c>
      <c r="H440" s="6" t="s">
        <v>161</v>
      </c>
      <c r="I440" s="6" t="s">
        <v>160</v>
      </c>
      <c r="J440" s="6" t="n">
        <f aca="false">SUMIFS(Kits!$C$5:$C$163,Kits!$A$5:$A$163,$D440,Kits!$B$5:$B$163,$E440)</f>
        <v>4</v>
      </c>
      <c r="K440" s="6" t="n">
        <f aca="false">INDEX(Services!$F$5:$F$85,MATCH($A440,Services!$A$5:$A$85,0))</f>
        <v>1.2</v>
      </c>
      <c r="L440" s="6" t="n">
        <f aca="false">IF($H440="Auto-deduct",IF($G440="Countable",ROUNDUP($J440*IF($I440="Y",$K440,1),0),ROUND($J440*IF($I440="Y",$K440,1),1)),$J440)</f>
        <v>4</v>
      </c>
      <c r="M440" s="6" t="str">
        <f aca="false">INDEX(Items!$E$5:$E$62,MATCH($E440,Items!$A$5:$A$62,0))</f>
        <v>sheet</v>
      </c>
      <c r="N440" s="6" t="n">
        <f aca="false">ROUND($L440/INDEX(Items!$F$5:$F$62,MATCH($E440,Items!$A$5:$A$62,0)),4)</f>
        <v>0.02</v>
      </c>
      <c r="O440" s="6"/>
    </row>
    <row r="441" customFormat="false" ht="15" hidden="false" customHeight="false" outlineLevel="0" collapsed="false">
      <c r="A441" s="6" t="n">
        <v>45</v>
      </c>
      <c r="B441" s="6" t="s">
        <v>342</v>
      </c>
      <c r="C441" s="6" t="s">
        <v>339</v>
      </c>
      <c r="D441" s="6" t="s">
        <v>215</v>
      </c>
      <c r="E441" s="6" t="s">
        <v>88</v>
      </c>
      <c r="F441" s="6" t="str">
        <f aca="false">INDEX(Items!$B$5:$B$62,MATCH($E441,Items!$A$5:$A$62,0))</f>
        <v>DISPOSABLES &amp; CLINIC CONSUMABLES</v>
      </c>
      <c r="G441" s="6" t="str">
        <f aca="false">INDEX(Items!$C$5:$C$62,MATCH($E441,Items!$A$5:$A$62,0))</f>
        <v>Bulk</v>
      </c>
      <c r="H441" s="6" t="s">
        <v>161</v>
      </c>
      <c r="I441" s="6" t="s">
        <v>191</v>
      </c>
      <c r="J441" s="6" t="n">
        <f aca="false">SUMIFS(Kits!$C$5:$C$163,Kits!$A$5:$A$163,$D441,Kits!$B$5:$B$163,$E441)</f>
        <v>5</v>
      </c>
      <c r="K441" s="6" t="n">
        <f aca="false">INDEX(Services!$F$5:$F$85,MATCH($A441,Services!$A$5:$A$85,0))</f>
        <v>1.2</v>
      </c>
      <c r="L441" s="6" t="n">
        <f aca="false">IF($H441="Auto-deduct",IF($G441="Countable",ROUNDUP($J441*IF($I441="Y",$K441,1),0),ROUND($J441*IF($I441="Y",$K441,1),1)),$J441)</f>
        <v>6</v>
      </c>
      <c r="M441" s="6" t="str">
        <f aca="false">INDEX(Items!$E$5:$E$62,MATCH($E441,Items!$A$5:$A$62,0))</f>
        <v>mL</v>
      </c>
      <c r="N441" s="6" t="n">
        <f aca="false">ROUND($L441/INDEX(Items!$F$5:$F$62,MATCH($E441,Items!$A$5:$A$62,0)),4)</f>
        <v>0.012</v>
      </c>
      <c r="O441" s="6"/>
    </row>
    <row r="442" customFormat="false" ht="15" hidden="false" customHeight="false" outlineLevel="0" collapsed="false">
      <c r="A442" s="6" t="n">
        <v>45</v>
      </c>
      <c r="B442" s="6" t="s">
        <v>342</v>
      </c>
      <c r="C442" s="6" t="s">
        <v>339</v>
      </c>
      <c r="D442" s="6" t="s">
        <v>215</v>
      </c>
      <c r="E442" s="6" t="s">
        <v>86</v>
      </c>
      <c r="F442" s="6" t="str">
        <f aca="false">INDEX(Items!$B$5:$B$62,MATCH($E442,Items!$A$5:$A$62,0))</f>
        <v>DISPOSABLES &amp; CLINIC CONSUMABLES</v>
      </c>
      <c r="G442" s="6" t="str">
        <f aca="false">INDEX(Items!$C$5:$C$62,MATCH($E442,Items!$A$5:$A$62,0))</f>
        <v>Bulk</v>
      </c>
      <c r="H442" s="6" t="s">
        <v>161</v>
      </c>
      <c r="I442" s="6" t="s">
        <v>191</v>
      </c>
      <c r="J442" s="6" t="n">
        <f aca="false">SUMIFS(Kits!$C$5:$C$163,Kits!$A$5:$A$163,$D442,Kits!$B$5:$B$163,$E442)</f>
        <v>3</v>
      </c>
      <c r="K442" s="6" t="n">
        <f aca="false">INDEX(Services!$F$5:$F$85,MATCH($A442,Services!$A$5:$A$85,0))</f>
        <v>1.2</v>
      </c>
      <c r="L442" s="6" t="n">
        <f aca="false">IF($H442="Auto-deduct",IF($G442="Countable",ROUNDUP($J442*IF($I442="Y",$K442,1),0),ROUND($J442*IF($I442="Y",$K442,1),1)),$J442)</f>
        <v>3.6</v>
      </c>
      <c r="M442" s="6" t="str">
        <f aca="false">INDEX(Items!$E$5:$E$62,MATCH($E442,Items!$A$5:$A$62,0))</f>
        <v>pc</v>
      </c>
      <c r="N442" s="6" t="n">
        <f aca="false">ROUND($L442/INDEX(Items!$F$5:$F$62,MATCH($E442,Items!$A$5:$A$62,0)),4)</f>
        <v>0.045</v>
      </c>
      <c r="O442" s="6"/>
    </row>
    <row r="443" customFormat="false" ht="15" hidden="false" customHeight="false" outlineLevel="0" collapsed="false">
      <c r="A443" s="6" t="n">
        <v>45</v>
      </c>
      <c r="B443" s="6" t="s">
        <v>342</v>
      </c>
      <c r="C443" s="6" t="s">
        <v>339</v>
      </c>
      <c r="D443" s="6" t="s">
        <v>215</v>
      </c>
      <c r="E443" s="6" t="s">
        <v>72</v>
      </c>
      <c r="F443" s="6" t="str">
        <f aca="false">INDEX(Items!$B$5:$B$62,MATCH($E443,Items!$A$5:$A$62,0))</f>
        <v>DISPOSABLES &amp; CLINIC CONSUMABLES</v>
      </c>
      <c r="G443" s="6" t="str">
        <f aca="false">INDEX(Items!$C$5:$C$62,MATCH($E443,Items!$A$5:$A$62,0))</f>
        <v>Bulk</v>
      </c>
      <c r="H443" s="6" t="s">
        <v>161</v>
      </c>
      <c r="I443" s="6" t="s">
        <v>160</v>
      </c>
      <c r="J443" s="6" t="n">
        <f aca="false">SUMIFS(Kits!$C$5:$C$163,Kits!$A$5:$A$163,$D443,Kits!$B$5:$B$163,$E443)</f>
        <v>2</v>
      </c>
      <c r="K443" s="6" t="n">
        <f aca="false">INDEX(Services!$F$5:$F$85,MATCH($A443,Services!$A$5:$A$85,0))</f>
        <v>1.2</v>
      </c>
      <c r="L443" s="6" t="n">
        <f aca="false">IF($H443="Auto-deduct",IF($G443="Countable",ROUNDUP($J443*IF($I443="Y",$K443,1),0),ROUND($J443*IF($I443="Y",$K443,1),1)),$J443)</f>
        <v>2</v>
      </c>
      <c r="M443" s="6" t="str">
        <f aca="false">INDEX(Items!$E$5:$E$62,MATCH($E443,Items!$A$5:$A$62,0))</f>
        <v>pc</v>
      </c>
      <c r="N443" s="6" t="n">
        <f aca="false">ROUND($L443/INDEX(Items!$F$5:$F$62,MATCH($E443,Items!$A$5:$A$62,0)),4)</f>
        <v>0.02</v>
      </c>
      <c r="O443" s="6"/>
    </row>
    <row r="444" customFormat="false" ht="15" hidden="false" customHeight="false" outlineLevel="0" collapsed="false">
      <c r="A444" s="6" t="n">
        <v>46</v>
      </c>
      <c r="B444" s="6" t="s">
        <v>343</v>
      </c>
      <c r="C444" s="6" t="s">
        <v>339</v>
      </c>
      <c r="D444" s="6" t="s">
        <v>159</v>
      </c>
      <c r="E444" s="6" t="s">
        <v>52</v>
      </c>
      <c r="F444" s="6" t="str">
        <f aca="false">INDEX(Items!$B$5:$B$62,MATCH($E444,Items!$A$5:$A$62,0))</f>
        <v>DISPOSABLES &amp; CLINIC CONSUMABLES</v>
      </c>
      <c r="G444" s="6" t="str">
        <f aca="false">INDEX(Items!$C$5:$C$62,MATCH($E444,Items!$A$5:$A$62,0))</f>
        <v>Countable</v>
      </c>
      <c r="H444" s="6" t="s">
        <v>161</v>
      </c>
      <c r="I444" s="6" t="s">
        <v>160</v>
      </c>
      <c r="J444" s="6" t="n">
        <f aca="false">SUMIFS(Kits!$C$5:$C$163,Kits!$A$5:$A$163,$D444,Kits!$B$5:$B$163,$E444)</f>
        <v>1</v>
      </c>
      <c r="K444" s="6" t="n">
        <f aca="false">INDEX(Services!$F$5:$F$85,MATCH($A444,Services!$A$5:$A$85,0))</f>
        <v>1.4</v>
      </c>
      <c r="L444" s="6" t="n">
        <f aca="false">IF($H444="Auto-deduct",IF($G444="Countable",ROUNDUP($J444*IF($I444="Y",$K444,1),0),ROUND($J444*IF($I444="Y",$K444,1),1)),$J444)</f>
        <v>1</v>
      </c>
      <c r="M444" s="6" t="str">
        <f aca="false">INDEX(Items!$E$5:$E$62,MATCH($E444,Items!$A$5:$A$62,0))</f>
        <v>pc</v>
      </c>
      <c r="N444" s="6" t="n">
        <f aca="false">ROUND($L444/INDEX(Items!$F$5:$F$62,MATCH($E444,Items!$A$5:$A$62,0)),4)</f>
        <v>1</v>
      </c>
      <c r="O444" s="6"/>
    </row>
    <row r="445" customFormat="false" ht="15" hidden="false" customHeight="false" outlineLevel="0" collapsed="false">
      <c r="A445" s="6" t="n">
        <v>46</v>
      </c>
      <c r="B445" s="6" t="s">
        <v>343</v>
      </c>
      <c r="C445" s="6" t="s">
        <v>339</v>
      </c>
      <c r="D445" s="6" t="s">
        <v>159</v>
      </c>
      <c r="E445" s="6" t="s">
        <v>53</v>
      </c>
      <c r="F445" s="6" t="str">
        <f aca="false">INDEX(Items!$B$5:$B$62,MATCH($E445,Items!$A$5:$A$62,0))</f>
        <v>DISPOSABLES &amp; CLINIC CONSUMABLES</v>
      </c>
      <c r="G445" s="6" t="str">
        <f aca="false">INDEX(Items!$C$5:$C$62,MATCH($E445,Items!$A$5:$A$62,0))</f>
        <v>Countable</v>
      </c>
      <c r="H445" s="6" t="s">
        <v>161</v>
      </c>
      <c r="I445" s="6" t="s">
        <v>160</v>
      </c>
      <c r="J445" s="6" t="n">
        <f aca="false">SUMIFS(Kits!$C$5:$C$163,Kits!$A$5:$A$163,$D445,Kits!$B$5:$B$163,$E445)</f>
        <v>1</v>
      </c>
      <c r="K445" s="6" t="n">
        <f aca="false">INDEX(Services!$F$5:$F$85,MATCH($A445,Services!$A$5:$A$85,0))</f>
        <v>1.4</v>
      </c>
      <c r="L445" s="6" t="n">
        <f aca="false">IF($H445="Auto-deduct",IF($G445="Countable",ROUNDUP($J445*IF($I445="Y",$K445,1),0),ROUND($J445*IF($I445="Y",$K445,1),1)),$J445)</f>
        <v>1</v>
      </c>
      <c r="M445" s="6" t="str">
        <f aca="false">INDEX(Items!$E$5:$E$62,MATCH($E445,Items!$A$5:$A$62,0))</f>
        <v>pair</v>
      </c>
      <c r="N445" s="6" t="n">
        <f aca="false">ROUND($L445/INDEX(Items!$F$5:$F$62,MATCH($E445,Items!$A$5:$A$62,0)),4)</f>
        <v>1</v>
      </c>
      <c r="O445" s="6"/>
    </row>
    <row r="446" customFormat="false" ht="15" hidden="false" customHeight="false" outlineLevel="0" collapsed="false">
      <c r="A446" s="6" t="n">
        <v>46</v>
      </c>
      <c r="B446" s="6" t="s">
        <v>343</v>
      </c>
      <c r="C446" s="6" t="s">
        <v>339</v>
      </c>
      <c r="D446" s="6" t="s">
        <v>159</v>
      </c>
      <c r="E446" s="6" t="s">
        <v>88</v>
      </c>
      <c r="F446" s="6" t="str">
        <f aca="false">INDEX(Items!$B$5:$B$62,MATCH($E446,Items!$A$5:$A$62,0))</f>
        <v>DISPOSABLES &amp; CLINIC CONSUMABLES</v>
      </c>
      <c r="G446" s="6" t="str">
        <f aca="false">INDEX(Items!$C$5:$C$62,MATCH($E446,Items!$A$5:$A$62,0))</f>
        <v>Bulk</v>
      </c>
      <c r="H446" s="6" t="s">
        <v>161</v>
      </c>
      <c r="I446" s="6" t="s">
        <v>160</v>
      </c>
      <c r="J446" s="6" t="n">
        <f aca="false">SUMIFS(Kits!$C$5:$C$163,Kits!$A$5:$A$163,$D446,Kits!$B$5:$B$163,$E446)</f>
        <v>5</v>
      </c>
      <c r="K446" s="6" t="n">
        <f aca="false">INDEX(Services!$F$5:$F$85,MATCH($A446,Services!$A$5:$A$85,0))</f>
        <v>1.4</v>
      </c>
      <c r="L446" s="6" t="n">
        <f aca="false">IF($H446="Auto-deduct",IF($G446="Countable",ROUNDUP($J446*IF($I446="Y",$K446,1),0),ROUND($J446*IF($I446="Y",$K446,1),1)),$J446)</f>
        <v>5</v>
      </c>
      <c r="M446" s="6" t="str">
        <f aca="false">INDEX(Items!$E$5:$E$62,MATCH($E446,Items!$A$5:$A$62,0))</f>
        <v>mL</v>
      </c>
      <c r="N446" s="6" t="n">
        <f aca="false">ROUND($L446/INDEX(Items!$F$5:$F$62,MATCH($E446,Items!$A$5:$A$62,0)),4)</f>
        <v>0.01</v>
      </c>
      <c r="O446" s="6"/>
    </row>
    <row r="447" customFormat="false" ht="15" hidden="false" customHeight="false" outlineLevel="0" collapsed="false">
      <c r="A447" s="6" t="n">
        <v>46</v>
      </c>
      <c r="B447" s="6" t="s">
        <v>343</v>
      </c>
      <c r="C447" s="6" t="s">
        <v>339</v>
      </c>
      <c r="D447" s="6" t="s">
        <v>213</v>
      </c>
      <c r="E447" s="6" t="s">
        <v>69</v>
      </c>
      <c r="F447" s="6" t="str">
        <f aca="false">INDEX(Items!$B$5:$B$62,MATCH($E447,Items!$A$5:$A$62,0))</f>
        <v>DISPOSABLES &amp; CLINIC CONSUMABLES</v>
      </c>
      <c r="G447" s="6" t="str">
        <f aca="false">INDEX(Items!$C$5:$C$62,MATCH($E447,Items!$A$5:$A$62,0))</f>
        <v>Bulk</v>
      </c>
      <c r="H447" s="6" t="s">
        <v>161</v>
      </c>
      <c r="I447" s="6" t="s">
        <v>160</v>
      </c>
      <c r="J447" s="6" t="n">
        <f aca="false">SUMIFS(Kits!$C$5:$C$163,Kits!$A$5:$A$163,$D447,Kits!$B$5:$B$163,$E447)</f>
        <v>5</v>
      </c>
      <c r="K447" s="6" t="n">
        <f aca="false">INDEX(Services!$F$5:$F$85,MATCH($A447,Services!$A$5:$A$85,0))</f>
        <v>1.4</v>
      </c>
      <c r="L447" s="6" t="n">
        <f aca="false">IF($H447="Auto-deduct",IF($G447="Countable",ROUNDUP($J447*IF($I447="Y",$K447,1),0),ROUND($J447*IF($I447="Y",$K447,1),1)),$J447)</f>
        <v>5</v>
      </c>
      <c r="M447" s="6" t="str">
        <f aca="false">INDEX(Items!$E$5:$E$62,MATCH($E447,Items!$A$5:$A$62,0))</f>
        <v>g</v>
      </c>
      <c r="N447" s="6" t="n">
        <f aca="false">ROUND($L447/INDEX(Items!$F$5:$F$62,MATCH($E447,Items!$A$5:$A$62,0)),4)</f>
        <v>0.0125</v>
      </c>
      <c r="O447" s="6"/>
    </row>
    <row r="448" customFormat="false" ht="15" hidden="false" customHeight="false" outlineLevel="0" collapsed="false">
      <c r="A448" s="6" t="n">
        <v>46</v>
      </c>
      <c r="B448" s="6" t="s">
        <v>343</v>
      </c>
      <c r="C448" s="6" t="s">
        <v>339</v>
      </c>
      <c r="D448" s="6" t="s">
        <v>213</v>
      </c>
      <c r="E448" s="6" t="s">
        <v>72</v>
      </c>
      <c r="F448" s="6" t="str">
        <f aca="false">INDEX(Items!$B$5:$B$62,MATCH($E448,Items!$A$5:$A$62,0))</f>
        <v>DISPOSABLES &amp; CLINIC CONSUMABLES</v>
      </c>
      <c r="G448" s="6" t="str">
        <f aca="false">INDEX(Items!$C$5:$C$62,MATCH($E448,Items!$A$5:$A$62,0))</f>
        <v>Bulk</v>
      </c>
      <c r="H448" s="6" t="s">
        <v>161</v>
      </c>
      <c r="I448" s="6" t="s">
        <v>160</v>
      </c>
      <c r="J448" s="6" t="n">
        <f aca="false">SUMIFS(Kits!$C$5:$C$163,Kits!$A$5:$A$163,$D448,Kits!$B$5:$B$163,$E448)</f>
        <v>4</v>
      </c>
      <c r="K448" s="6" t="n">
        <f aca="false">INDEX(Services!$F$5:$F$85,MATCH($A448,Services!$A$5:$A$85,0))</f>
        <v>1.4</v>
      </c>
      <c r="L448" s="6" t="n">
        <f aca="false">IF($H448="Auto-deduct",IF($G448="Countable",ROUNDUP($J448*IF($I448="Y",$K448,1),0),ROUND($J448*IF($I448="Y",$K448,1),1)),$J448)</f>
        <v>4</v>
      </c>
      <c r="M448" s="6" t="str">
        <f aca="false">INDEX(Items!$E$5:$E$62,MATCH($E448,Items!$A$5:$A$62,0))</f>
        <v>pc</v>
      </c>
      <c r="N448" s="6" t="n">
        <f aca="false">ROUND($L448/INDEX(Items!$F$5:$F$62,MATCH($E448,Items!$A$5:$A$62,0)),4)</f>
        <v>0.04</v>
      </c>
      <c r="O448" s="6"/>
    </row>
    <row r="449" customFormat="false" ht="15" hidden="false" customHeight="false" outlineLevel="0" collapsed="false">
      <c r="A449" s="6" t="n">
        <v>46</v>
      </c>
      <c r="B449" s="6" t="s">
        <v>343</v>
      </c>
      <c r="C449" s="6" t="s">
        <v>339</v>
      </c>
      <c r="D449" s="6" t="s">
        <v>213</v>
      </c>
      <c r="E449" s="6" t="s">
        <v>86</v>
      </c>
      <c r="F449" s="6" t="str">
        <f aca="false">INDEX(Items!$B$5:$B$62,MATCH($E449,Items!$A$5:$A$62,0))</f>
        <v>DISPOSABLES &amp; CLINIC CONSUMABLES</v>
      </c>
      <c r="G449" s="6" t="str">
        <f aca="false">INDEX(Items!$C$5:$C$62,MATCH($E449,Items!$A$5:$A$62,0))</f>
        <v>Bulk</v>
      </c>
      <c r="H449" s="6" t="s">
        <v>161</v>
      </c>
      <c r="I449" s="6" t="s">
        <v>160</v>
      </c>
      <c r="J449" s="6" t="n">
        <f aca="false">SUMIFS(Kits!$C$5:$C$163,Kits!$A$5:$A$163,$D449,Kits!$B$5:$B$163,$E449)</f>
        <v>2</v>
      </c>
      <c r="K449" s="6" t="n">
        <f aca="false">INDEX(Services!$F$5:$F$85,MATCH($A449,Services!$A$5:$A$85,0))</f>
        <v>1.4</v>
      </c>
      <c r="L449" s="6" t="n">
        <f aca="false">IF($H449="Auto-deduct",IF($G449="Countable",ROUNDUP($J449*IF($I449="Y",$K449,1),0),ROUND($J449*IF($I449="Y",$K449,1),1)),$J449)</f>
        <v>2</v>
      </c>
      <c r="M449" s="6" t="str">
        <f aca="false">INDEX(Items!$E$5:$E$62,MATCH($E449,Items!$A$5:$A$62,0))</f>
        <v>pc</v>
      </c>
      <c r="N449" s="6" t="n">
        <f aca="false">ROUND($L449/INDEX(Items!$F$5:$F$62,MATCH($E449,Items!$A$5:$A$62,0)),4)</f>
        <v>0.025</v>
      </c>
      <c r="O449" s="6"/>
    </row>
    <row r="450" customFormat="false" ht="15" hidden="false" customHeight="false" outlineLevel="0" collapsed="false">
      <c r="A450" s="6" t="n">
        <v>46</v>
      </c>
      <c r="B450" s="6" t="s">
        <v>343</v>
      </c>
      <c r="C450" s="6" t="s">
        <v>339</v>
      </c>
      <c r="D450" s="6" t="s">
        <v>213</v>
      </c>
      <c r="E450" s="6" t="s">
        <v>58</v>
      </c>
      <c r="F450" s="6" t="str">
        <f aca="false">INDEX(Items!$B$5:$B$62,MATCH($E450,Items!$A$5:$A$62,0))</f>
        <v>DISPOSABLES &amp; CLINIC CONSUMABLES</v>
      </c>
      <c r="G450" s="6" t="str">
        <f aca="false">INDEX(Items!$C$5:$C$62,MATCH($E450,Items!$A$5:$A$62,0))</f>
        <v>Bulk</v>
      </c>
      <c r="H450" s="6" t="s">
        <v>161</v>
      </c>
      <c r="I450" s="6" t="s">
        <v>160</v>
      </c>
      <c r="J450" s="6" t="n">
        <f aca="false">SUMIFS(Kits!$C$5:$C$163,Kits!$A$5:$A$163,$D450,Kits!$B$5:$B$163,$E450)</f>
        <v>4</v>
      </c>
      <c r="K450" s="6" t="n">
        <f aca="false">INDEX(Services!$F$5:$F$85,MATCH($A450,Services!$A$5:$A$85,0))</f>
        <v>1.4</v>
      </c>
      <c r="L450" s="6" t="n">
        <f aca="false">IF($H450="Auto-deduct",IF($G450="Countable",ROUNDUP($J450*IF($I450="Y",$K450,1),0),ROUND($J450*IF($I450="Y",$K450,1),1)),$J450)</f>
        <v>4</v>
      </c>
      <c r="M450" s="6" t="str">
        <f aca="false">INDEX(Items!$E$5:$E$62,MATCH($E450,Items!$A$5:$A$62,0))</f>
        <v>sheet</v>
      </c>
      <c r="N450" s="6" t="n">
        <f aca="false">ROUND($L450/INDEX(Items!$F$5:$F$62,MATCH($E450,Items!$A$5:$A$62,0)),4)</f>
        <v>0.02</v>
      </c>
      <c r="O450" s="6"/>
    </row>
    <row r="451" customFormat="false" ht="15" hidden="false" customHeight="false" outlineLevel="0" collapsed="false">
      <c r="A451" s="6" t="n">
        <v>46</v>
      </c>
      <c r="B451" s="6" t="s">
        <v>343</v>
      </c>
      <c r="C451" s="6" t="s">
        <v>339</v>
      </c>
      <c r="D451" s="6" t="s">
        <v>215</v>
      </c>
      <c r="E451" s="6" t="s">
        <v>88</v>
      </c>
      <c r="F451" s="6" t="str">
        <f aca="false">INDEX(Items!$B$5:$B$62,MATCH($E451,Items!$A$5:$A$62,0))</f>
        <v>DISPOSABLES &amp; CLINIC CONSUMABLES</v>
      </c>
      <c r="G451" s="6" t="str">
        <f aca="false">INDEX(Items!$C$5:$C$62,MATCH($E451,Items!$A$5:$A$62,0))</f>
        <v>Bulk</v>
      </c>
      <c r="H451" s="6" t="s">
        <v>161</v>
      </c>
      <c r="I451" s="6" t="s">
        <v>191</v>
      </c>
      <c r="J451" s="6" t="n">
        <f aca="false">SUMIFS(Kits!$C$5:$C$163,Kits!$A$5:$A$163,$D451,Kits!$B$5:$B$163,$E451)</f>
        <v>5</v>
      </c>
      <c r="K451" s="6" t="n">
        <f aca="false">INDEX(Services!$F$5:$F$85,MATCH($A451,Services!$A$5:$A$85,0))</f>
        <v>1.4</v>
      </c>
      <c r="L451" s="6" t="n">
        <f aca="false">IF($H451="Auto-deduct",IF($G451="Countable",ROUNDUP($J451*IF($I451="Y",$K451,1),0),ROUND($J451*IF($I451="Y",$K451,1),1)),$J451)</f>
        <v>7</v>
      </c>
      <c r="M451" s="6" t="str">
        <f aca="false">INDEX(Items!$E$5:$E$62,MATCH($E451,Items!$A$5:$A$62,0))</f>
        <v>mL</v>
      </c>
      <c r="N451" s="6" t="n">
        <f aca="false">ROUND($L451/INDEX(Items!$F$5:$F$62,MATCH($E451,Items!$A$5:$A$62,0)),4)</f>
        <v>0.014</v>
      </c>
      <c r="O451" s="6"/>
    </row>
    <row r="452" customFormat="false" ht="15" hidden="false" customHeight="false" outlineLevel="0" collapsed="false">
      <c r="A452" s="6" t="n">
        <v>46</v>
      </c>
      <c r="B452" s="6" t="s">
        <v>343</v>
      </c>
      <c r="C452" s="6" t="s">
        <v>339</v>
      </c>
      <c r="D452" s="6" t="s">
        <v>215</v>
      </c>
      <c r="E452" s="6" t="s">
        <v>86</v>
      </c>
      <c r="F452" s="6" t="str">
        <f aca="false">INDEX(Items!$B$5:$B$62,MATCH($E452,Items!$A$5:$A$62,0))</f>
        <v>DISPOSABLES &amp; CLINIC CONSUMABLES</v>
      </c>
      <c r="G452" s="6" t="str">
        <f aca="false">INDEX(Items!$C$5:$C$62,MATCH($E452,Items!$A$5:$A$62,0))</f>
        <v>Bulk</v>
      </c>
      <c r="H452" s="6" t="s">
        <v>161</v>
      </c>
      <c r="I452" s="6" t="s">
        <v>191</v>
      </c>
      <c r="J452" s="6" t="n">
        <f aca="false">SUMIFS(Kits!$C$5:$C$163,Kits!$A$5:$A$163,$D452,Kits!$B$5:$B$163,$E452)</f>
        <v>3</v>
      </c>
      <c r="K452" s="6" t="n">
        <f aca="false">INDEX(Services!$F$5:$F$85,MATCH($A452,Services!$A$5:$A$85,0))</f>
        <v>1.4</v>
      </c>
      <c r="L452" s="6" t="n">
        <f aca="false">IF($H452="Auto-deduct",IF($G452="Countable",ROUNDUP($J452*IF($I452="Y",$K452,1),0),ROUND($J452*IF($I452="Y",$K452,1),1)),$J452)</f>
        <v>4.2</v>
      </c>
      <c r="M452" s="6" t="str">
        <f aca="false">INDEX(Items!$E$5:$E$62,MATCH($E452,Items!$A$5:$A$62,0))</f>
        <v>pc</v>
      </c>
      <c r="N452" s="6" t="n">
        <f aca="false">ROUND($L452/INDEX(Items!$F$5:$F$62,MATCH($E452,Items!$A$5:$A$62,0)),4)</f>
        <v>0.0525</v>
      </c>
      <c r="O452" s="6"/>
    </row>
    <row r="453" customFormat="false" ht="15" hidden="false" customHeight="false" outlineLevel="0" collapsed="false">
      <c r="A453" s="6" t="n">
        <v>46</v>
      </c>
      <c r="B453" s="6" t="s">
        <v>343</v>
      </c>
      <c r="C453" s="6" t="s">
        <v>339</v>
      </c>
      <c r="D453" s="6" t="s">
        <v>215</v>
      </c>
      <c r="E453" s="6" t="s">
        <v>72</v>
      </c>
      <c r="F453" s="6" t="str">
        <f aca="false">INDEX(Items!$B$5:$B$62,MATCH($E453,Items!$A$5:$A$62,0))</f>
        <v>DISPOSABLES &amp; CLINIC CONSUMABLES</v>
      </c>
      <c r="G453" s="6" t="str">
        <f aca="false">INDEX(Items!$C$5:$C$62,MATCH($E453,Items!$A$5:$A$62,0))</f>
        <v>Bulk</v>
      </c>
      <c r="H453" s="6" t="s">
        <v>161</v>
      </c>
      <c r="I453" s="6" t="s">
        <v>160</v>
      </c>
      <c r="J453" s="6" t="n">
        <f aca="false">SUMIFS(Kits!$C$5:$C$163,Kits!$A$5:$A$163,$D453,Kits!$B$5:$B$163,$E453)</f>
        <v>2</v>
      </c>
      <c r="K453" s="6" t="n">
        <f aca="false">INDEX(Services!$F$5:$F$85,MATCH($A453,Services!$A$5:$A$85,0))</f>
        <v>1.4</v>
      </c>
      <c r="L453" s="6" t="n">
        <f aca="false">IF($H453="Auto-deduct",IF($G453="Countable",ROUNDUP($J453*IF($I453="Y",$K453,1),0),ROUND($J453*IF($I453="Y",$K453,1),1)),$J453)</f>
        <v>2</v>
      </c>
      <c r="M453" s="6" t="str">
        <f aca="false">INDEX(Items!$E$5:$E$62,MATCH($E453,Items!$A$5:$A$62,0))</f>
        <v>pc</v>
      </c>
      <c r="N453" s="6" t="n">
        <f aca="false">ROUND($L453/INDEX(Items!$F$5:$F$62,MATCH($E453,Items!$A$5:$A$62,0)),4)</f>
        <v>0.02</v>
      </c>
      <c r="O453" s="6"/>
    </row>
    <row r="454" customFormat="false" ht="15" hidden="false" customHeight="false" outlineLevel="0" collapsed="false">
      <c r="A454" s="6" t="n">
        <v>47</v>
      </c>
      <c r="B454" s="6" t="s">
        <v>344</v>
      </c>
      <c r="C454" s="6" t="s">
        <v>339</v>
      </c>
      <c r="D454" s="6" t="s">
        <v>217</v>
      </c>
      <c r="E454" s="6" t="s">
        <v>86</v>
      </c>
      <c r="F454" s="6" t="str">
        <f aca="false">INDEX(Items!$B$5:$B$62,MATCH($E454,Items!$A$5:$A$62,0))</f>
        <v>DISPOSABLES &amp; CLINIC CONSUMABLES</v>
      </c>
      <c r="G454" s="6" t="str">
        <f aca="false">INDEX(Items!$C$5:$C$62,MATCH($E454,Items!$A$5:$A$62,0))</f>
        <v>Bulk</v>
      </c>
      <c r="H454" s="6" t="s">
        <v>161</v>
      </c>
      <c r="I454" s="6" t="s">
        <v>160</v>
      </c>
      <c r="J454" s="6" t="n">
        <f aca="false">SUMIFS(Kits!$C$5:$C$163,Kits!$A$5:$A$163,$D454,Kits!$B$5:$B$163,$E454)</f>
        <v>1</v>
      </c>
      <c r="K454" s="6" t="n">
        <f aca="false">INDEX(Services!$F$5:$F$85,MATCH($A454,Services!$A$5:$A$85,0))</f>
        <v>1</v>
      </c>
      <c r="L454" s="6" t="n">
        <f aca="false">IF($H454="Auto-deduct",IF($G454="Countable",ROUNDUP($J454*IF($I454="Y",$K454,1),0),ROUND($J454*IF($I454="Y",$K454,1),1)),$J454)</f>
        <v>1</v>
      </c>
      <c r="M454" s="6" t="str">
        <f aca="false">INDEX(Items!$E$5:$E$62,MATCH($E454,Items!$A$5:$A$62,0))</f>
        <v>pc</v>
      </c>
      <c r="N454" s="6" t="n">
        <f aca="false">ROUND($L454/INDEX(Items!$F$5:$F$62,MATCH($E454,Items!$A$5:$A$62,0)),4)</f>
        <v>0.0125</v>
      </c>
      <c r="O454" s="6"/>
    </row>
    <row r="455" customFormat="false" ht="15" hidden="false" customHeight="false" outlineLevel="0" collapsed="false">
      <c r="A455" s="6" t="n">
        <v>47</v>
      </c>
      <c r="B455" s="6" t="s">
        <v>344</v>
      </c>
      <c r="C455" s="6" t="s">
        <v>339</v>
      </c>
      <c r="D455" s="6" t="s">
        <v>217</v>
      </c>
      <c r="E455" s="6" t="s">
        <v>72</v>
      </c>
      <c r="F455" s="6" t="str">
        <f aca="false">INDEX(Items!$B$5:$B$62,MATCH($E455,Items!$A$5:$A$62,0))</f>
        <v>DISPOSABLES &amp; CLINIC CONSUMABLES</v>
      </c>
      <c r="G455" s="6" t="str">
        <f aca="false">INDEX(Items!$C$5:$C$62,MATCH($E455,Items!$A$5:$A$62,0))</f>
        <v>Bulk</v>
      </c>
      <c r="H455" s="6" t="s">
        <v>161</v>
      </c>
      <c r="I455" s="6" t="s">
        <v>160</v>
      </c>
      <c r="J455" s="6" t="n">
        <f aca="false">SUMIFS(Kits!$C$5:$C$163,Kits!$A$5:$A$163,$D455,Kits!$B$5:$B$163,$E455)</f>
        <v>2</v>
      </c>
      <c r="K455" s="6" t="n">
        <f aca="false">INDEX(Services!$F$5:$F$85,MATCH($A455,Services!$A$5:$A$85,0))</f>
        <v>1</v>
      </c>
      <c r="L455" s="6" t="n">
        <f aca="false">IF($H455="Auto-deduct",IF($G455="Countable",ROUNDUP($J455*IF($I455="Y",$K455,1),0),ROUND($J455*IF($I455="Y",$K455,1),1)),$J455)</f>
        <v>2</v>
      </c>
      <c r="M455" s="6" t="str">
        <f aca="false">INDEX(Items!$E$5:$E$62,MATCH($E455,Items!$A$5:$A$62,0))</f>
        <v>pc</v>
      </c>
      <c r="N455" s="6" t="n">
        <f aca="false">ROUND($L455/INDEX(Items!$F$5:$F$62,MATCH($E455,Items!$A$5:$A$62,0)),4)</f>
        <v>0.02</v>
      </c>
      <c r="O455" s="6"/>
    </row>
    <row r="456" customFormat="false" ht="15" hidden="false" customHeight="false" outlineLevel="0" collapsed="false">
      <c r="A456" s="6" t="n">
        <v>48</v>
      </c>
      <c r="B456" s="6" t="s">
        <v>347</v>
      </c>
      <c r="C456" s="6" t="s">
        <v>339</v>
      </c>
      <c r="D456" s="6" t="s">
        <v>219</v>
      </c>
      <c r="E456" s="6" t="s">
        <v>86</v>
      </c>
      <c r="F456" s="6" t="str">
        <f aca="false">INDEX(Items!$B$5:$B$62,MATCH($E456,Items!$A$5:$A$62,0))</f>
        <v>DISPOSABLES &amp; CLINIC CONSUMABLES</v>
      </c>
      <c r="G456" s="6" t="str">
        <f aca="false">INDEX(Items!$C$5:$C$62,MATCH($E456,Items!$A$5:$A$62,0))</f>
        <v>Bulk</v>
      </c>
      <c r="H456" s="6" t="s">
        <v>161</v>
      </c>
      <c r="I456" s="6" t="s">
        <v>160</v>
      </c>
      <c r="J456" s="6" t="n">
        <f aca="false">SUMIFS(Kits!$C$5:$C$163,Kits!$A$5:$A$163,$D456,Kits!$B$5:$B$163,$E456)</f>
        <v>2</v>
      </c>
      <c r="K456" s="6" t="n">
        <f aca="false">INDEX(Services!$F$5:$F$85,MATCH($A456,Services!$A$5:$A$85,0))</f>
        <v>1</v>
      </c>
      <c r="L456" s="6" t="n">
        <f aca="false">IF($H456="Auto-deduct",IF($G456="Countable",ROUNDUP($J456*IF($I456="Y",$K456,1),0),ROUND($J456*IF($I456="Y",$K456,1),1)),$J456)</f>
        <v>2</v>
      </c>
      <c r="M456" s="6" t="str">
        <f aca="false">INDEX(Items!$E$5:$E$62,MATCH($E456,Items!$A$5:$A$62,0))</f>
        <v>pc</v>
      </c>
      <c r="N456" s="6" t="n">
        <f aca="false">ROUND($L456/INDEX(Items!$F$5:$F$62,MATCH($E456,Items!$A$5:$A$62,0)),4)</f>
        <v>0.025</v>
      </c>
      <c r="O456" s="6"/>
    </row>
    <row r="457" customFormat="false" ht="15" hidden="false" customHeight="false" outlineLevel="0" collapsed="false">
      <c r="A457" s="6" t="n">
        <v>48</v>
      </c>
      <c r="B457" s="6" t="s">
        <v>347</v>
      </c>
      <c r="C457" s="6" t="s">
        <v>339</v>
      </c>
      <c r="D457" s="6" t="s">
        <v>219</v>
      </c>
      <c r="E457" s="6" t="s">
        <v>72</v>
      </c>
      <c r="F457" s="6" t="str">
        <f aca="false">INDEX(Items!$B$5:$B$62,MATCH($E457,Items!$A$5:$A$62,0))</f>
        <v>DISPOSABLES &amp; CLINIC CONSUMABLES</v>
      </c>
      <c r="G457" s="6" t="str">
        <f aca="false">INDEX(Items!$C$5:$C$62,MATCH($E457,Items!$A$5:$A$62,0))</f>
        <v>Bulk</v>
      </c>
      <c r="H457" s="6" t="s">
        <v>161</v>
      </c>
      <c r="I457" s="6" t="s">
        <v>160</v>
      </c>
      <c r="J457" s="6" t="n">
        <f aca="false">SUMIFS(Kits!$C$5:$C$163,Kits!$A$5:$A$163,$D457,Kits!$B$5:$B$163,$E457)</f>
        <v>4</v>
      </c>
      <c r="K457" s="6" t="n">
        <f aca="false">INDEX(Services!$F$5:$F$85,MATCH($A457,Services!$A$5:$A$85,0))</f>
        <v>1</v>
      </c>
      <c r="L457" s="6" t="n">
        <f aca="false">IF($H457="Auto-deduct",IF($G457="Countable",ROUNDUP($J457*IF($I457="Y",$K457,1),0),ROUND($J457*IF($I457="Y",$K457,1),1)),$J457)</f>
        <v>4</v>
      </c>
      <c r="M457" s="6" t="str">
        <f aca="false">INDEX(Items!$E$5:$E$62,MATCH($E457,Items!$A$5:$A$62,0))</f>
        <v>pc</v>
      </c>
      <c r="N457" s="6" t="n">
        <f aca="false">ROUND($L457/INDEX(Items!$F$5:$F$62,MATCH($E457,Items!$A$5:$A$62,0)),4)</f>
        <v>0.04</v>
      </c>
      <c r="O457" s="6"/>
    </row>
    <row r="458" customFormat="false" ht="15" hidden="false" customHeight="false" outlineLevel="0" collapsed="false">
      <c r="A458" s="6" t="n">
        <v>49</v>
      </c>
      <c r="B458" s="6" t="s">
        <v>348</v>
      </c>
      <c r="C458" s="6" t="s">
        <v>339</v>
      </c>
      <c r="D458" s="6" t="s">
        <v>221</v>
      </c>
      <c r="E458" s="6" t="s">
        <v>72</v>
      </c>
      <c r="F458" s="6" t="str">
        <f aca="false">INDEX(Items!$B$5:$B$62,MATCH($E458,Items!$A$5:$A$62,0))</f>
        <v>DISPOSABLES &amp; CLINIC CONSUMABLES</v>
      </c>
      <c r="G458" s="6" t="str">
        <f aca="false">INDEX(Items!$C$5:$C$62,MATCH($E458,Items!$A$5:$A$62,0))</f>
        <v>Bulk</v>
      </c>
      <c r="H458" s="6" t="s">
        <v>161</v>
      </c>
      <c r="I458" s="6" t="s">
        <v>160</v>
      </c>
      <c r="J458" s="6" t="n">
        <f aca="false">SUMIFS(Kits!$C$5:$C$163,Kits!$A$5:$A$163,$D458,Kits!$B$5:$B$163,$E458)</f>
        <v>2</v>
      </c>
      <c r="K458" s="6" t="n">
        <f aca="false">INDEX(Services!$F$5:$F$85,MATCH($A458,Services!$A$5:$A$85,0))</f>
        <v>1</v>
      </c>
      <c r="L458" s="6" t="n">
        <f aca="false">IF($H458="Auto-deduct",IF($G458="Countable",ROUNDUP($J458*IF($I458="Y",$K458,1),0),ROUND($J458*IF($I458="Y",$K458,1),1)),$J458)</f>
        <v>2</v>
      </c>
      <c r="M458" s="6" t="str">
        <f aca="false">INDEX(Items!$E$5:$E$62,MATCH($E458,Items!$A$5:$A$62,0))</f>
        <v>pc</v>
      </c>
      <c r="N458" s="6" t="n">
        <f aca="false">ROUND($L458/INDEX(Items!$F$5:$F$62,MATCH($E458,Items!$A$5:$A$62,0)),4)</f>
        <v>0.02</v>
      </c>
      <c r="O458" s="6"/>
    </row>
    <row r="459" customFormat="false" ht="15" hidden="false" customHeight="false" outlineLevel="0" collapsed="false">
      <c r="A459" s="6" t="n">
        <v>50</v>
      </c>
      <c r="B459" s="6" t="s">
        <v>350</v>
      </c>
      <c r="C459" s="6" t="s">
        <v>339</v>
      </c>
      <c r="D459" s="6" t="s">
        <v>223</v>
      </c>
      <c r="E459" s="6" t="s">
        <v>69</v>
      </c>
      <c r="F459" s="6" t="str">
        <f aca="false">INDEX(Items!$B$5:$B$62,MATCH($E459,Items!$A$5:$A$62,0))</f>
        <v>DISPOSABLES &amp; CLINIC CONSUMABLES</v>
      </c>
      <c r="G459" s="6" t="str">
        <f aca="false">INDEX(Items!$C$5:$C$62,MATCH($E459,Items!$A$5:$A$62,0))</f>
        <v>Bulk</v>
      </c>
      <c r="H459" s="6" t="s">
        <v>161</v>
      </c>
      <c r="I459" s="6" t="s">
        <v>160</v>
      </c>
      <c r="J459" s="6" t="n">
        <f aca="false">SUMIFS(Kits!$C$5:$C$163,Kits!$A$5:$A$163,$D459,Kits!$B$5:$B$163,$E459)</f>
        <v>10</v>
      </c>
      <c r="K459" s="6" t="n">
        <f aca="false">INDEX(Services!$F$5:$F$85,MATCH($A459,Services!$A$5:$A$85,0))</f>
        <v>1</v>
      </c>
      <c r="L459" s="6" t="n">
        <f aca="false">IF($H459="Auto-deduct",IF($G459="Countable",ROUNDUP($J459*IF($I459="Y",$K459,1),0),ROUND($J459*IF($I459="Y",$K459,1),1)),$J459)</f>
        <v>10</v>
      </c>
      <c r="M459" s="6" t="str">
        <f aca="false">INDEX(Items!$E$5:$E$62,MATCH($E459,Items!$A$5:$A$62,0))</f>
        <v>g</v>
      </c>
      <c r="N459" s="6" t="n">
        <f aca="false">ROUND($L459/INDEX(Items!$F$5:$F$62,MATCH($E459,Items!$A$5:$A$62,0)),4)</f>
        <v>0.025</v>
      </c>
      <c r="O459" s="6"/>
    </row>
    <row r="460" customFormat="false" ht="15" hidden="false" customHeight="false" outlineLevel="0" collapsed="false">
      <c r="A460" s="6" t="n">
        <v>50</v>
      </c>
      <c r="B460" s="6" t="s">
        <v>350</v>
      </c>
      <c r="C460" s="6" t="s">
        <v>339</v>
      </c>
      <c r="D460" s="6" t="s">
        <v>223</v>
      </c>
      <c r="E460" s="6" t="s">
        <v>86</v>
      </c>
      <c r="F460" s="6" t="str">
        <f aca="false">INDEX(Items!$B$5:$B$62,MATCH($E460,Items!$A$5:$A$62,0))</f>
        <v>DISPOSABLES &amp; CLINIC CONSUMABLES</v>
      </c>
      <c r="G460" s="6" t="str">
        <f aca="false">INDEX(Items!$C$5:$C$62,MATCH($E460,Items!$A$5:$A$62,0))</f>
        <v>Bulk</v>
      </c>
      <c r="H460" s="6" t="s">
        <v>161</v>
      </c>
      <c r="I460" s="6" t="s">
        <v>160</v>
      </c>
      <c r="J460" s="6" t="n">
        <f aca="false">SUMIFS(Kits!$C$5:$C$163,Kits!$A$5:$A$163,$D460,Kits!$B$5:$B$163,$E460)</f>
        <v>4</v>
      </c>
      <c r="K460" s="6" t="n">
        <f aca="false">INDEX(Services!$F$5:$F$85,MATCH($A460,Services!$A$5:$A$85,0))</f>
        <v>1</v>
      </c>
      <c r="L460" s="6" t="n">
        <f aca="false">IF($H460="Auto-deduct",IF($G460="Countable",ROUNDUP($J460*IF($I460="Y",$K460,1),0),ROUND($J460*IF($I460="Y",$K460,1),1)),$J460)</f>
        <v>4</v>
      </c>
      <c r="M460" s="6" t="str">
        <f aca="false">INDEX(Items!$E$5:$E$62,MATCH($E460,Items!$A$5:$A$62,0))</f>
        <v>pc</v>
      </c>
      <c r="N460" s="6" t="n">
        <f aca="false">ROUND($L460/INDEX(Items!$F$5:$F$62,MATCH($E460,Items!$A$5:$A$62,0)),4)</f>
        <v>0.05</v>
      </c>
      <c r="O460" s="6"/>
    </row>
    <row r="461" customFormat="false" ht="15" hidden="false" customHeight="false" outlineLevel="0" collapsed="false">
      <c r="A461" s="6" t="n">
        <v>50</v>
      </c>
      <c r="B461" s="6" t="s">
        <v>350</v>
      </c>
      <c r="C461" s="6" t="s">
        <v>339</v>
      </c>
      <c r="D461" s="6" t="s">
        <v>223</v>
      </c>
      <c r="E461" s="6" t="s">
        <v>72</v>
      </c>
      <c r="F461" s="6" t="str">
        <f aca="false">INDEX(Items!$B$5:$B$62,MATCH($E461,Items!$A$5:$A$62,0))</f>
        <v>DISPOSABLES &amp; CLINIC CONSUMABLES</v>
      </c>
      <c r="G461" s="6" t="str">
        <f aca="false">INDEX(Items!$C$5:$C$62,MATCH($E461,Items!$A$5:$A$62,0))</f>
        <v>Bulk</v>
      </c>
      <c r="H461" s="6" t="s">
        <v>161</v>
      </c>
      <c r="I461" s="6" t="s">
        <v>160</v>
      </c>
      <c r="J461" s="6" t="n">
        <f aca="false">SUMIFS(Kits!$C$5:$C$163,Kits!$A$5:$A$163,$D461,Kits!$B$5:$B$163,$E461)</f>
        <v>2</v>
      </c>
      <c r="K461" s="6" t="n">
        <f aca="false">INDEX(Services!$F$5:$F$85,MATCH($A461,Services!$A$5:$A$85,0))</f>
        <v>1</v>
      </c>
      <c r="L461" s="6" t="n">
        <f aca="false">IF($H461="Auto-deduct",IF($G461="Countable",ROUNDUP($J461*IF($I461="Y",$K461,1),0),ROUND($J461*IF($I461="Y",$K461,1),1)),$J461)</f>
        <v>2</v>
      </c>
      <c r="M461" s="6" t="str">
        <f aca="false">INDEX(Items!$E$5:$E$62,MATCH($E461,Items!$A$5:$A$62,0))</f>
        <v>pc</v>
      </c>
      <c r="N461" s="6" t="n">
        <f aca="false">ROUND($L461/INDEX(Items!$F$5:$F$62,MATCH($E461,Items!$A$5:$A$62,0)),4)</f>
        <v>0.02</v>
      </c>
      <c r="O461" s="6"/>
    </row>
    <row r="462" customFormat="false" ht="15" hidden="false" customHeight="false" outlineLevel="0" collapsed="false">
      <c r="A462" s="6" t="n">
        <v>51</v>
      </c>
      <c r="B462" s="6" t="s">
        <v>353</v>
      </c>
      <c r="C462" s="6" t="s">
        <v>352</v>
      </c>
      <c r="D462" s="6" t="s">
        <v>159</v>
      </c>
      <c r="E462" s="6" t="s">
        <v>52</v>
      </c>
      <c r="F462" s="6" t="str">
        <f aca="false">INDEX(Items!$B$5:$B$62,MATCH($E462,Items!$A$5:$A$62,0))</f>
        <v>DISPOSABLES &amp; CLINIC CONSUMABLES</v>
      </c>
      <c r="G462" s="6" t="str">
        <f aca="false">INDEX(Items!$C$5:$C$62,MATCH($E462,Items!$A$5:$A$62,0))</f>
        <v>Countable</v>
      </c>
      <c r="H462" s="6" t="s">
        <v>161</v>
      </c>
      <c r="I462" s="6" t="s">
        <v>160</v>
      </c>
      <c r="J462" s="6" t="n">
        <f aca="false">SUMIFS(Kits!$C$5:$C$163,Kits!$A$5:$A$163,$D462,Kits!$B$5:$B$163,$E462)</f>
        <v>1</v>
      </c>
      <c r="K462" s="6" t="n">
        <f aca="false">INDEX(Services!$F$5:$F$85,MATCH($A462,Services!$A$5:$A$85,0))</f>
        <v>1</v>
      </c>
      <c r="L462" s="6" t="n">
        <f aca="false">IF($H462="Auto-deduct",IF($G462="Countable",ROUNDUP($J462*IF($I462="Y",$K462,1),0),ROUND($J462*IF($I462="Y",$K462,1),1)),$J462)</f>
        <v>1</v>
      </c>
      <c r="M462" s="6" t="str">
        <f aca="false">INDEX(Items!$E$5:$E$62,MATCH($E462,Items!$A$5:$A$62,0))</f>
        <v>pc</v>
      </c>
      <c r="N462" s="6" t="n">
        <f aca="false">ROUND($L462/INDEX(Items!$F$5:$F$62,MATCH($E462,Items!$A$5:$A$62,0)),4)</f>
        <v>1</v>
      </c>
      <c r="O462" s="6"/>
    </row>
    <row r="463" customFormat="false" ht="15" hidden="false" customHeight="false" outlineLevel="0" collapsed="false">
      <c r="A463" s="6" t="n">
        <v>51</v>
      </c>
      <c r="B463" s="6" t="s">
        <v>353</v>
      </c>
      <c r="C463" s="6" t="s">
        <v>352</v>
      </c>
      <c r="D463" s="6" t="s">
        <v>159</v>
      </c>
      <c r="E463" s="6" t="s">
        <v>53</v>
      </c>
      <c r="F463" s="6" t="str">
        <f aca="false">INDEX(Items!$B$5:$B$62,MATCH($E463,Items!$A$5:$A$62,0))</f>
        <v>DISPOSABLES &amp; CLINIC CONSUMABLES</v>
      </c>
      <c r="G463" s="6" t="str">
        <f aca="false">INDEX(Items!$C$5:$C$62,MATCH($E463,Items!$A$5:$A$62,0))</f>
        <v>Countable</v>
      </c>
      <c r="H463" s="6" t="s">
        <v>161</v>
      </c>
      <c r="I463" s="6" t="s">
        <v>160</v>
      </c>
      <c r="J463" s="6" t="n">
        <f aca="false">SUMIFS(Kits!$C$5:$C$163,Kits!$A$5:$A$163,$D463,Kits!$B$5:$B$163,$E463)</f>
        <v>1</v>
      </c>
      <c r="K463" s="6" t="n">
        <f aca="false">INDEX(Services!$F$5:$F$85,MATCH($A463,Services!$A$5:$A$85,0))</f>
        <v>1</v>
      </c>
      <c r="L463" s="6" t="n">
        <f aca="false">IF($H463="Auto-deduct",IF($G463="Countable",ROUNDUP($J463*IF($I463="Y",$K463,1),0),ROUND($J463*IF($I463="Y",$K463,1),1)),$J463)</f>
        <v>1</v>
      </c>
      <c r="M463" s="6" t="str">
        <f aca="false">INDEX(Items!$E$5:$E$62,MATCH($E463,Items!$A$5:$A$62,0))</f>
        <v>pair</v>
      </c>
      <c r="N463" s="6" t="n">
        <f aca="false">ROUND($L463/INDEX(Items!$F$5:$F$62,MATCH($E463,Items!$A$5:$A$62,0)),4)</f>
        <v>1</v>
      </c>
      <c r="O463" s="6"/>
    </row>
    <row r="464" customFormat="false" ht="15" hidden="false" customHeight="false" outlineLevel="0" collapsed="false">
      <c r="A464" s="6" t="n">
        <v>51</v>
      </c>
      <c r="B464" s="6" t="s">
        <v>353</v>
      </c>
      <c r="C464" s="6" t="s">
        <v>352</v>
      </c>
      <c r="D464" s="6" t="s">
        <v>159</v>
      </c>
      <c r="E464" s="6" t="s">
        <v>88</v>
      </c>
      <c r="F464" s="6" t="str">
        <f aca="false">INDEX(Items!$B$5:$B$62,MATCH($E464,Items!$A$5:$A$62,0))</f>
        <v>DISPOSABLES &amp; CLINIC CONSUMABLES</v>
      </c>
      <c r="G464" s="6" t="str">
        <f aca="false">INDEX(Items!$C$5:$C$62,MATCH($E464,Items!$A$5:$A$62,0))</f>
        <v>Bulk</v>
      </c>
      <c r="H464" s="6" t="s">
        <v>161</v>
      </c>
      <c r="I464" s="6" t="s">
        <v>160</v>
      </c>
      <c r="J464" s="6" t="n">
        <f aca="false">SUMIFS(Kits!$C$5:$C$163,Kits!$A$5:$A$163,$D464,Kits!$B$5:$B$163,$E464)</f>
        <v>5</v>
      </c>
      <c r="K464" s="6" t="n">
        <f aca="false">INDEX(Services!$F$5:$F$85,MATCH($A464,Services!$A$5:$A$85,0))</f>
        <v>1</v>
      </c>
      <c r="L464" s="6" t="n">
        <f aca="false">IF($H464="Auto-deduct",IF($G464="Countable",ROUNDUP($J464*IF($I464="Y",$K464,1),0),ROUND($J464*IF($I464="Y",$K464,1),1)),$J464)</f>
        <v>5</v>
      </c>
      <c r="M464" s="6" t="str">
        <f aca="false">INDEX(Items!$E$5:$E$62,MATCH($E464,Items!$A$5:$A$62,0))</f>
        <v>mL</v>
      </c>
      <c r="N464" s="6" t="n">
        <f aca="false">ROUND($L464/INDEX(Items!$F$5:$F$62,MATCH($E464,Items!$A$5:$A$62,0)),4)</f>
        <v>0.01</v>
      </c>
      <c r="O464" s="6"/>
    </row>
    <row r="465" customFormat="false" ht="15" hidden="false" customHeight="false" outlineLevel="0" collapsed="false">
      <c r="A465" s="6" t="n">
        <v>51</v>
      </c>
      <c r="B465" s="6" t="s">
        <v>353</v>
      </c>
      <c r="C465" s="6" t="s">
        <v>352</v>
      </c>
      <c r="D465" s="6" t="s">
        <v>165</v>
      </c>
      <c r="E465" s="6" t="s">
        <v>50</v>
      </c>
      <c r="F465" s="6" t="str">
        <f aca="false">INDEX(Items!$B$5:$B$62,MATCH($E465,Items!$A$5:$A$62,0))</f>
        <v>DISPOSABLES &amp; CLINIC CONSUMABLES</v>
      </c>
      <c r="G465" s="6" t="str">
        <f aca="false">INDEX(Items!$C$5:$C$62,MATCH($E465,Items!$A$5:$A$62,0))</f>
        <v>Countable</v>
      </c>
      <c r="H465" s="6" t="s">
        <v>161</v>
      </c>
      <c r="I465" s="6" t="s">
        <v>160</v>
      </c>
      <c r="J465" s="6" t="n">
        <f aca="false">SUMIFS(Kits!$C$5:$C$163,Kits!$A$5:$A$163,$D465,Kits!$B$5:$B$163,$E465)</f>
        <v>1</v>
      </c>
      <c r="K465" s="6" t="n">
        <f aca="false">INDEX(Services!$F$5:$F$85,MATCH($A465,Services!$A$5:$A$85,0))</f>
        <v>1</v>
      </c>
      <c r="L465" s="6" t="n">
        <f aca="false">IF($H465="Auto-deduct",IF($G465="Countable",ROUNDUP($J465*IF($I465="Y",$K465,1),0),ROUND($J465*IF($I465="Y",$K465,1),1)),$J465)</f>
        <v>1</v>
      </c>
      <c r="M465" s="6" t="str">
        <f aca="false">INDEX(Items!$E$5:$E$62,MATCH($E465,Items!$A$5:$A$62,0))</f>
        <v>pc</v>
      </c>
      <c r="N465" s="6" t="n">
        <f aca="false">ROUND($L465/INDEX(Items!$F$5:$F$62,MATCH($E465,Items!$A$5:$A$62,0)),4)</f>
        <v>1</v>
      </c>
      <c r="O465" s="6"/>
    </row>
    <row r="466" customFormat="false" ht="15" hidden="false" customHeight="false" outlineLevel="0" collapsed="false">
      <c r="A466" s="6" t="n">
        <v>51</v>
      </c>
      <c r="B466" s="6" t="s">
        <v>353</v>
      </c>
      <c r="C466" s="6" t="s">
        <v>352</v>
      </c>
      <c r="D466" s="6" t="s">
        <v>165</v>
      </c>
      <c r="E466" s="6" t="s">
        <v>98</v>
      </c>
      <c r="F466" s="6" t="str">
        <f aca="false">INDEX(Items!$B$5:$B$62,MATCH($E466,Items!$A$5:$A$62,0))</f>
        <v>FACIAL / TREATMENT PREP PRODUCTS</v>
      </c>
      <c r="G466" s="6" t="str">
        <f aca="false">INDEX(Items!$C$5:$C$62,MATCH($E466,Items!$A$5:$A$62,0))</f>
        <v>Bulk</v>
      </c>
      <c r="H466" s="6" t="s">
        <v>161</v>
      </c>
      <c r="I466" s="6" t="s">
        <v>160</v>
      </c>
      <c r="J466" s="6" t="n">
        <f aca="false">SUMIFS(Kits!$C$5:$C$163,Kits!$A$5:$A$163,$D466,Kits!$B$5:$B$163,$E466)</f>
        <v>5</v>
      </c>
      <c r="K466" s="6" t="n">
        <f aca="false">INDEX(Services!$F$5:$F$85,MATCH($A466,Services!$A$5:$A$85,0))</f>
        <v>1</v>
      </c>
      <c r="L466" s="6" t="n">
        <f aca="false">IF($H466="Auto-deduct",IF($G466="Countable",ROUNDUP($J466*IF($I466="Y",$K466,1),0),ROUND($J466*IF($I466="Y",$K466,1),1)),$J466)</f>
        <v>5</v>
      </c>
      <c r="M466" s="6" t="str">
        <f aca="false">INDEX(Items!$E$5:$E$62,MATCH($E466,Items!$A$5:$A$62,0))</f>
        <v>mL</v>
      </c>
      <c r="N466" s="6" t="n">
        <f aca="false">ROUND($L466/INDEX(Items!$F$5:$F$62,MATCH($E466,Items!$A$5:$A$62,0)),4)</f>
        <v>0.01</v>
      </c>
      <c r="O466" s="6"/>
    </row>
    <row r="467" customFormat="false" ht="15" hidden="false" customHeight="false" outlineLevel="0" collapsed="false">
      <c r="A467" s="6" t="n">
        <v>51</v>
      </c>
      <c r="B467" s="6" t="s">
        <v>353</v>
      </c>
      <c r="C467" s="6" t="s">
        <v>352</v>
      </c>
      <c r="D467" s="6" t="s">
        <v>165</v>
      </c>
      <c r="E467" s="6" t="s">
        <v>92</v>
      </c>
      <c r="F467" s="6" t="str">
        <f aca="false">INDEX(Items!$B$5:$B$62,MATCH($E467,Items!$A$5:$A$62,0))</f>
        <v>FACIAL / TREATMENT PREP PRODUCTS</v>
      </c>
      <c r="G467" s="6" t="str">
        <f aca="false">INDEX(Items!$C$5:$C$62,MATCH($E467,Items!$A$5:$A$62,0))</f>
        <v>Bulk</v>
      </c>
      <c r="H467" s="6" t="s">
        <v>161</v>
      </c>
      <c r="I467" s="6" t="s">
        <v>160</v>
      </c>
      <c r="J467" s="6" t="n">
        <f aca="false">SUMIFS(Kits!$C$5:$C$163,Kits!$A$5:$A$163,$D467,Kits!$B$5:$B$163,$E467)</f>
        <v>10</v>
      </c>
      <c r="K467" s="6" t="n">
        <f aca="false">INDEX(Services!$F$5:$F$85,MATCH($A467,Services!$A$5:$A$85,0))</f>
        <v>1</v>
      </c>
      <c r="L467" s="6" t="n">
        <f aca="false">IF($H467="Auto-deduct",IF($G467="Countable",ROUNDUP($J467*IF($I467="Y",$K467,1),0),ROUND($J467*IF($I467="Y",$K467,1),1)),$J467)</f>
        <v>10</v>
      </c>
      <c r="M467" s="6" t="str">
        <f aca="false">INDEX(Items!$E$5:$E$62,MATCH($E467,Items!$A$5:$A$62,0))</f>
        <v>mL</v>
      </c>
      <c r="N467" s="6" t="n">
        <f aca="false">ROUND($L467/INDEX(Items!$F$5:$F$62,MATCH($E467,Items!$A$5:$A$62,0)),4)</f>
        <v>0.02</v>
      </c>
      <c r="O467" s="6"/>
    </row>
    <row r="468" customFormat="false" ht="15" hidden="false" customHeight="false" outlineLevel="0" collapsed="false">
      <c r="A468" s="6" t="n">
        <v>51</v>
      </c>
      <c r="B468" s="6" t="s">
        <v>353</v>
      </c>
      <c r="C468" s="6" t="s">
        <v>352</v>
      </c>
      <c r="D468" s="6" t="s">
        <v>165</v>
      </c>
      <c r="E468" s="6" t="s">
        <v>69</v>
      </c>
      <c r="F468" s="6" t="str">
        <f aca="false">INDEX(Items!$B$5:$B$62,MATCH($E468,Items!$A$5:$A$62,0))</f>
        <v>DISPOSABLES &amp; CLINIC CONSUMABLES</v>
      </c>
      <c r="G468" s="6" t="str">
        <f aca="false">INDEX(Items!$C$5:$C$62,MATCH($E468,Items!$A$5:$A$62,0))</f>
        <v>Bulk</v>
      </c>
      <c r="H468" s="6" t="s">
        <v>161</v>
      </c>
      <c r="I468" s="6" t="s">
        <v>160</v>
      </c>
      <c r="J468" s="6" t="n">
        <f aca="false">SUMIFS(Kits!$C$5:$C$163,Kits!$A$5:$A$163,$D468,Kits!$B$5:$B$163,$E468)</f>
        <v>5</v>
      </c>
      <c r="K468" s="6" t="n">
        <f aca="false">INDEX(Services!$F$5:$F$85,MATCH($A468,Services!$A$5:$A$85,0))</f>
        <v>1</v>
      </c>
      <c r="L468" s="6" t="n">
        <f aca="false">IF($H468="Auto-deduct",IF($G468="Countable",ROUNDUP($J468*IF($I468="Y",$K468,1),0),ROUND($J468*IF($I468="Y",$K468,1),1)),$J468)</f>
        <v>5</v>
      </c>
      <c r="M468" s="6" t="str">
        <f aca="false">INDEX(Items!$E$5:$E$62,MATCH($E468,Items!$A$5:$A$62,0))</f>
        <v>g</v>
      </c>
      <c r="N468" s="6" t="n">
        <f aca="false">ROUND($L468/INDEX(Items!$F$5:$F$62,MATCH($E468,Items!$A$5:$A$62,0)),4)</f>
        <v>0.0125</v>
      </c>
      <c r="O468" s="6"/>
    </row>
    <row r="469" customFormat="false" ht="15" hidden="false" customHeight="false" outlineLevel="0" collapsed="false">
      <c r="A469" s="6" t="n">
        <v>51</v>
      </c>
      <c r="B469" s="6" t="s">
        <v>353</v>
      </c>
      <c r="C469" s="6" t="s">
        <v>352</v>
      </c>
      <c r="D469" s="6" t="s">
        <v>165</v>
      </c>
      <c r="E469" s="6" t="s">
        <v>58</v>
      </c>
      <c r="F469" s="6" t="str">
        <f aca="false">INDEX(Items!$B$5:$B$62,MATCH($E469,Items!$A$5:$A$62,0))</f>
        <v>DISPOSABLES &amp; CLINIC CONSUMABLES</v>
      </c>
      <c r="G469" s="6" t="str">
        <f aca="false">INDEX(Items!$C$5:$C$62,MATCH($E469,Items!$A$5:$A$62,0))</f>
        <v>Bulk</v>
      </c>
      <c r="H469" s="6" t="s">
        <v>161</v>
      </c>
      <c r="I469" s="6" t="s">
        <v>160</v>
      </c>
      <c r="J469" s="6" t="n">
        <f aca="false">SUMIFS(Kits!$C$5:$C$163,Kits!$A$5:$A$163,$D469,Kits!$B$5:$B$163,$E469)</f>
        <v>6</v>
      </c>
      <c r="K469" s="6" t="n">
        <f aca="false">INDEX(Services!$F$5:$F$85,MATCH($A469,Services!$A$5:$A$85,0))</f>
        <v>1</v>
      </c>
      <c r="L469" s="6" t="n">
        <f aca="false">IF($H469="Auto-deduct",IF($G469="Countable",ROUNDUP($J469*IF($I469="Y",$K469,1),0),ROUND($J469*IF($I469="Y",$K469,1),1)),$J469)</f>
        <v>6</v>
      </c>
      <c r="M469" s="6" t="str">
        <f aca="false">INDEX(Items!$E$5:$E$62,MATCH($E469,Items!$A$5:$A$62,0))</f>
        <v>sheet</v>
      </c>
      <c r="N469" s="6" t="n">
        <f aca="false">ROUND($L469/INDEX(Items!$F$5:$F$62,MATCH($E469,Items!$A$5:$A$62,0)),4)</f>
        <v>0.03</v>
      </c>
      <c r="O469" s="6"/>
    </row>
    <row r="470" customFormat="false" ht="15" hidden="false" customHeight="false" outlineLevel="0" collapsed="false">
      <c r="A470" s="6" t="n">
        <v>51</v>
      </c>
      <c r="B470" s="6" t="s">
        <v>353</v>
      </c>
      <c r="C470" s="6" t="s">
        <v>352</v>
      </c>
      <c r="D470" s="6" t="s">
        <v>167</v>
      </c>
      <c r="E470" s="6" t="s">
        <v>72</v>
      </c>
      <c r="F470" s="6" t="str">
        <f aca="false">INDEX(Items!$B$5:$B$62,MATCH($E470,Items!$A$5:$A$62,0))</f>
        <v>DISPOSABLES &amp; CLINIC CONSUMABLES</v>
      </c>
      <c r="G470" s="6" t="str">
        <f aca="false">INDEX(Items!$C$5:$C$62,MATCH($E470,Items!$A$5:$A$62,0))</f>
        <v>Bulk</v>
      </c>
      <c r="H470" s="6" t="s">
        <v>161</v>
      </c>
      <c r="I470" s="6" t="s">
        <v>160</v>
      </c>
      <c r="J470" s="6" t="n">
        <f aca="false">SUMIFS(Kits!$C$5:$C$163,Kits!$A$5:$A$163,$D470,Kits!$B$5:$B$163,$E470)</f>
        <v>4</v>
      </c>
      <c r="K470" s="6" t="n">
        <f aca="false">INDEX(Services!$F$5:$F$85,MATCH($A470,Services!$A$5:$A$85,0))</f>
        <v>1</v>
      </c>
      <c r="L470" s="6" t="n">
        <f aca="false">IF($H470="Auto-deduct",IF($G470="Countable",ROUNDUP($J470*IF($I470="Y",$K470,1),0),ROUND($J470*IF($I470="Y",$K470,1),1)),$J470)</f>
        <v>4</v>
      </c>
      <c r="M470" s="6" t="str">
        <f aca="false">INDEX(Items!$E$5:$E$62,MATCH($E470,Items!$A$5:$A$62,0))</f>
        <v>pc</v>
      </c>
      <c r="N470" s="6" t="n">
        <f aca="false">ROUND($L470/INDEX(Items!$F$5:$F$62,MATCH($E470,Items!$A$5:$A$62,0)),4)</f>
        <v>0.04</v>
      </c>
      <c r="O470" s="6"/>
    </row>
    <row r="471" customFormat="false" ht="15" hidden="false" customHeight="false" outlineLevel="0" collapsed="false">
      <c r="A471" s="6" t="n">
        <v>51</v>
      </c>
      <c r="B471" s="6" t="s">
        <v>353</v>
      </c>
      <c r="C471" s="6" t="s">
        <v>352</v>
      </c>
      <c r="D471" s="6" t="s">
        <v>167</v>
      </c>
      <c r="E471" s="6" t="s">
        <v>81</v>
      </c>
      <c r="F471" s="6" t="str">
        <f aca="false">INDEX(Items!$B$5:$B$62,MATCH($E471,Items!$A$5:$A$62,0))</f>
        <v>DISPOSABLES &amp; CLINIC CONSUMABLES</v>
      </c>
      <c r="G471" s="6" t="str">
        <f aca="false">INDEX(Items!$C$5:$C$62,MATCH($E471,Items!$A$5:$A$62,0))</f>
        <v>Bulk</v>
      </c>
      <c r="H471" s="6" t="s">
        <v>161</v>
      </c>
      <c r="I471" s="6" t="s">
        <v>160</v>
      </c>
      <c r="J471" s="6" t="n">
        <f aca="false">SUMIFS(Kits!$C$5:$C$163,Kits!$A$5:$A$163,$D471,Kits!$B$5:$B$163,$E471)</f>
        <v>2</v>
      </c>
      <c r="K471" s="6" t="n">
        <f aca="false">INDEX(Services!$F$5:$F$85,MATCH($A471,Services!$A$5:$A$85,0))</f>
        <v>1</v>
      </c>
      <c r="L471" s="6" t="n">
        <f aca="false">IF($H471="Auto-deduct",IF($G471="Countable",ROUNDUP($J471*IF($I471="Y",$K471,1),0),ROUND($J471*IF($I471="Y",$K471,1),1)),$J471)</f>
        <v>2</v>
      </c>
      <c r="M471" s="6" t="str">
        <f aca="false">INDEX(Items!$E$5:$E$62,MATCH($E471,Items!$A$5:$A$62,0))</f>
        <v>pc</v>
      </c>
      <c r="N471" s="6" t="n">
        <f aca="false">ROUND($L471/INDEX(Items!$F$5:$F$62,MATCH($E471,Items!$A$5:$A$62,0)),4)</f>
        <v>0.02</v>
      </c>
      <c r="O471" s="6"/>
    </row>
    <row r="472" customFormat="false" ht="15" hidden="false" customHeight="false" outlineLevel="0" collapsed="false">
      <c r="A472" s="6" t="n">
        <v>51</v>
      </c>
      <c r="B472" s="6" t="s">
        <v>353</v>
      </c>
      <c r="C472" s="6" t="s">
        <v>352</v>
      </c>
      <c r="D472" s="6" t="s">
        <v>167</v>
      </c>
      <c r="E472" s="6" t="s">
        <v>88</v>
      </c>
      <c r="F472" s="6" t="str">
        <f aca="false">INDEX(Items!$B$5:$B$62,MATCH($E472,Items!$A$5:$A$62,0))</f>
        <v>DISPOSABLES &amp; CLINIC CONSUMABLES</v>
      </c>
      <c r="G472" s="6" t="str">
        <f aca="false">INDEX(Items!$C$5:$C$62,MATCH($E472,Items!$A$5:$A$62,0))</f>
        <v>Bulk</v>
      </c>
      <c r="H472" s="6" t="s">
        <v>161</v>
      </c>
      <c r="I472" s="6" t="s">
        <v>160</v>
      </c>
      <c r="J472" s="6" t="n">
        <f aca="false">SUMIFS(Kits!$C$5:$C$163,Kits!$A$5:$A$163,$D472,Kits!$B$5:$B$163,$E472)</f>
        <v>5</v>
      </c>
      <c r="K472" s="6" t="n">
        <f aca="false">INDEX(Services!$F$5:$F$85,MATCH($A472,Services!$A$5:$A$85,0))</f>
        <v>1</v>
      </c>
      <c r="L472" s="6" t="n">
        <f aca="false">IF($H472="Auto-deduct",IF($G472="Countable",ROUNDUP($J472*IF($I472="Y",$K472,1),0),ROUND($J472*IF($I472="Y",$K472,1),1)),$J472)</f>
        <v>5</v>
      </c>
      <c r="M472" s="6" t="str">
        <f aca="false">INDEX(Items!$E$5:$E$62,MATCH($E472,Items!$A$5:$A$62,0))</f>
        <v>mL</v>
      </c>
      <c r="N472" s="6" t="n">
        <f aca="false">ROUND($L472/INDEX(Items!$F$5:$F$62,MATCH($E472,Items!$A$5:$A$62,0)),4)</f>
        <v>0.01</v>
      </c>
      <c r="O472" s="6"/>
    </row>
    <row r="473" customFormat="false" ht="15" hidden="false" customHeight="false" outlineLevel="0" collapsed="false">
      <c r="A473" s="6" t="n">
        <v>51</v>
      </c>
      <c r="B473" s="6" t="s">
        <v>353</v>
      </c>
      <c r="C473" s="6" t="s">
        <v>352</v>
      </c>
      <c r="D473" s="6" t="s">
        <v>169</v>
      </c>
      <c r="E473" s="6" t="s">
        <v>100</v>
      </c>
      <c r="F473" s="6" t="str">
        <f aca="false">INDEX(Items!$B$5:$B$62,MATCH($E473,Items!$A$5:$A$62,0))</f>
        <v>FACIAL / TREATMENT PREP PRODUCTS</v>
      </c>
      <c r="G473" s="6" t="str">
        <f aca="false">INDEX(Items!$C$5:$C$62,MATCH($E473,Items!$A$5:$A$62,0))</f>
        <v>Bulk</v>
      </c>
      <c r="H473" s="6" t="s">
        <v>161</v>
      </c>
      <c r="I473" s="6" t="s">
        <v>160</v>
      </c>
      <c r="J473" s="6" t="n">
        <f aca="false">SUMIFS(Kits!$C$5:$C$163,Kits!$A$5:$A$163,$D473,Kits!$B$5:$B$163,$E473)</f>
        <v>5</v>
      </c>
      <c r="K473" s="6" t="n">
        <f aca="false">INDEX(Services!$F$5:$F$85,MATCH($A473,Services!$A$5:$A$85,0))</f>
        <v>1</v>
      </c>
      <c r="L473" s="6" t="n">
        <f aca="false">IF($H473="Auto-deduct",IF($G473="Countable",ROUNDUP($J473*IF($I473="Y",$K473,1),0),ROUND($J473*IF($I473="Y",$K473,1),1)),$J473)</f>
        <v>5</v>
      </c>
      <c r="M473" s="6" t="str">
        <f aca="false">INDEX(Items!$E$5:$E$62,MATCH($E473,Items!$A$5:$A$62,0))</f>
        <v>g</v>
      </c>
      <c r="N473" s="6" t="n">
        <f aca="false">ROUND($L473/INDEX(Items!$F$5:$F$62,MATCH($E473,Items!$A$5:$A$62,0)),4)</f>
        <v>0.02</v>
      </c>
      <c r="O473" s="6"/>
    </row>
    <row r="474" customFormat="false" ht="15" hidden="false" customHeight="false" outlineLevel="0" collapsed="false">
      <c r="A474" s="6" t="n">
        <v>51</v>
      </c>
      <c r="B474" s="6" t="s">
        <v>353</v>
      </c>
      <c r="C474" s="6" t="s">
        <v>352</v>
      </c>
      <c r="D474" s="6" t="s">
        <v>171</v>
      </c>
      <c r="E474" s="6" t="s">
        <v>109</v>
      </c>
      <c r="F474" s="6" t="str">
        <f aca="false">INDEX(Items!$B$5:$B$62,MATCH($E474,Items!$A$5:$A$62,0))</f>
        <v>FACIAL TREATMENT PRODUCTS (PROFESSIONAL USE)</v>
      </c>
      <c r="G474" s="6" t="str">
        <f aca="false">INDEX(Items!$C$5:$C$62,MATCH($E474,Items!$A$5:$A$62,0))</f>
        <v>Bulk</v>
      </c>
      <c r="H474" s="6" t="s">
        <v>161</v>
      </c>
      <c r="I474" s="6" t="s">
        <v>160</v>
      </c>
      <c r="J474" s="6" t="n">
        <f aca="false">SUMIFS(Kits!$C$5:$C$163,Kits!$A$5:$A$163,$D474,Kits!$B$5:$B$163,$E474)</f>
        <v>30</v>
      </c>
      <c r="K474" s="6" t="n">
        <f aca="false">INDEX(Services!$F$5:$F$85,MATCH($A474,Services!$A$5:$A$85,0))</f>
        <v>1</v>
      </c>
      <c r="L474" s="6" t="n">
        <f aca="false">IF($H474="Auto-deduct",IF($G474="Countable",ROUNDUP($J474*IF($I474="Y",$K474,1),0),ROUND($J474*IF($I474="Y",$K474,1),1)),$J474)</f>
        <v>30</v>
      </c>
      <c r="M474" s="6" t="str">
        <f aca="false">INDEX(Items!$E$5:$E$62,MATCH($E474,Items!$A$5:$A$62,0))</f>
        <v>g</v>
      </c>
      <c r="N474" s="6" t="n">
        <f aca="false">ROUND($L474/INDEX(Items!$F$5:$F$62,MATCH($E474,Items!$A$5:$A$62,0)),4)</f>
        <v>0.06</v>
      </c>
      <c r="O474" s="6"/>
    </row>
    <row r="475" customFormat="false" ht="15" hidden="false" customHeight="false" outlineLevel="0" collapsed="false">
      <c r="A475" s="6" t="n">
        <v>51</v>
      </c>
      <c r="B475" s="6" t="s">
        <v>353</v>
      </c>
      <c r="C475" s="6" t="s">
        <v>352</v>
      </c>
      <c r="D475" s="6" t="s">
        <v>171</v>
      </c>
      <c r="E475" s="6" t="s">
        <v>74</v>
      </c>
      <c r="F475" s="6" t="str">
        <f aca="false">INDEX(Items!$B$5:$B$62,MATCH($E475,Items!$A$5:$A$62,0))</f>
        <v>DISPOSABLES &amp; CLINIC CONSUMABLES</v>
      </c>
      <c r="G475" s="6" t="str">
        <f aca="false">INDEX(Items!$C$5:$C$62,MATCH($E475,Items!$A$5:$A$62,0))</f>
        <v>Bulk</v>
      </c>
      <c r="H475" s="6" t="s">
        <v>161</v>
      </c>
      <c r="I475" s="6" t="s">
        <v>160</v>
      </c>
      <c r="J475" s="6" t="n">
        <f aca="false">SUMIFS(Kits!$C$5:$C$163,Kits!$A$5:$A$163,$D475,Kits!$B$5:$B$163,$E475)</f>
        <v>1</v>
      </c>
      <c r="K475" s="6" t="n">
        <f aca="false">INDEX(Services!$F$5:$F$85,MATCH($A475,Services!$A$5:$A$85,0))</f>
        <v>1</v>
      </c>
      <c r="L475" s="6" t="n">
        <f aca="false">IF($H475="Auto-deduct",IF($G475="Countable",ROUNDUP($J475*IF($I475="Y",$K475,1),0),ROUND($J475*IF($I475="Y",$K475,1),1)),$J475)</f>
        <v>1</v>
      </c>
      <c r="M475" s="6" t="str">
        <f aca="false">INDEX(Items!$E$5:$E$62,MATCH($E475,Items!$A$5:$A$62,0))</f>
        <v>pc</v>
      </c>
      <c r="N475" s="6" t="n">
        <f aca="false">ROUND($L475/INDEX(Items!$F$5:$F$62,MATCH($E475,Items!$A$5:$A$62,0)),4)</f>
        <v>0.01</v>
      </c>
      <c r="O475" s="6"/>
    </row>
    <row r="476" customFormat="false" ht="15" hidden="false" customHeight="false" outlineLevel="0" collapsed="false">
      <c r="A476" s="6" t="n">
        <v>51</v>
      </c>
      <c r="B476" s="6" t="s">
        <v>353</v>
      </c>
      <c r="C476" s="6" t="s">
        <v>352</v>
      </c>
      <c r="D476" s="6" t="s">
        <v>171</v>
      </c>
      <c r="E476" s="6" t="s">
        <v>135</v>
      </c>
      <c r="F476" s="6" t="str">
        <f aca="false">INDEX(Items!$B$5:$B$62,MATCH($E476,Items!$A$5:$A$62,0))</f>
        <v>SKINCARE PRODUCTS (RETAIL / AFTERCARE)</v>
      </c>
      <c r="G476" s="6" t="str">
        <f aca="false">INDEX(Items!$C$5:$C$62,MATCH($E476,Items!$A$5:$A$62,0))</f>
        <v>Bulk</v>
      </c>
      <c r="H476" s="6" t="s">
        <v>161</v>
      </c>
      <c r="I476" s="6" t="s">
        <v>160</v>
      </c>
      <c r="J476" s="6" t="n">
        <f aca="false">SUMIFS(Kits!$C$5:$C$163,Kits!$A$5:$A$163,$D476,Kits!$B$5:$B$163,$E476)</f>
        <v>3</v>
      </c>
      <c r="K476" s="6" t="n">
        <f aca="false">INDEX(Services!$F$5:$F$85,MATCH($A476,Services!$A$5:$A$85,0))</f>
        <v>1</v>
      </c>
      <c r="L476" s="6" t="n">
        <f aca="false">IF($H476="Auto-deduct",IF($G476="Countable",ROUNDUP($J476*IF($I476="Y",$K476,1),0),ROUND($J476*IF($I476="Y",$K476,1),1)),$J476)</f>
        <v>3</v>
      </c>
      <c r="M476" s="6" t="str">
        <f aca="false">INDEX(Items!$E$5:$E$62,MATCH($E476,Items!$A$5:$A$62,0))</f>
        <v>g</v>
      </c>
      <c r="N476" s="6" t="n">
        <f aca="false">ROUND($L476/INDEX(Items!$F$5:$F$62,MATCH($E476,Items!$A$5:$A$62,0)),4)</f>
        <v>0.06</v>
      </c>
      <c r="O476" s="6"/>
    </row>
    <row r="477" customFormat="false" ht="15" hidden="false" customHeight="false" outlineLevel="0" collapsed="false">
      <c r="A477" s="6" t="n">
        <v>52</v>
      </c>
      <c r="B477" s="6" t="s">
        <v>355</v>
      </c>
      <c r="C477" s="6" t="s">
        <v>352</v>
      </c>
      <c r="D477" s="6" t="s">
        <v>159</v>
      </c>
      <c r="E477" s="6" t="s">
        <v>52</v>
      </c>
      <c r="F477" s="6" t="str">
        <f aca="false">INDEX(Items!$B$5:$B$62,MATCH($E477,Items!$A$5:$A$62,0))</f>
        <v>DISPOSABLES &amp; CLINIC CONSUMABLES</v>
      </c>
      <c r="G477" s="6" t="str">
        <f aca="false">INDEX(Items!$C$5:$C$62,MATCH($E477,Items!$A$5:$A$62,0))</f>
        <v>Countable</v>
      </c>
      <c r="H477" s="6" t="s">
        <v>161</v>
      </c>
      <c r="I477" s="6" t="s">
        <v>160</v>
      </c>
      <c r="J477" s="6" t="n">
        <f aca="false">SUMIFS(Kits!$C$5:$C$163,Kits!$A$5:$A$163,$D477,Kits!$B$5:$B$163,$E477)</f>
        <v>1</v>
      </c>
      <c r="K477" s="6" t="n">
        <f aca="false">INDEX(Services!$F$5:$F$85,MATCH($A477,Services!$A$5:$A$85,0))</f>
        <v>1</v>
      </c>
      <c r="L477" s="6" t="n">
        <f aca="false">IF($H477="Auto-deduct",IF($G477="Countable",ROUNDUP($J477*IF($I477="Y",$K477,1),0),ROUND($J477*IF($I477="Y",$K477,1),1)),$J477)</f>
        <v>1</v>
      </c>
      <c r="M477" s="6" t="str">
        <f aca="false">INDEX(Items!$E$5:$E$62,MATCH($E477,Items!$A$5:$A$62,0))</f>
        <v>pc</v>
      </c>
      <c r="N477" s="6" t="n">
        <f aca="false">ROUND($L477/INDEX(Items!$F$5:$F$62,MATCH($E477,Items!$A$5:$A$62,0)),4)</f>
        <v>1</v>
      </c>
      <c r="O477" s="6"/>
    </row>
    <row r="478" customFormat="false" ht="15" hidden="false" customHeight="false" outlineLevel="0" collapsed="false">
      <c r="A478" s="6" t="n">
        <v>52</v>
      </c>
      <c r="B478" s="6" t="s">
        <v>355</v>
      </c>
      <c r="C478" s="6" t="s">
        <v>352</v>
      </c>
      <c r="D478" s="6" t="s">
        <v>159</v>
      </c>
      <c r="E478" s="6" t="s">
        <v>53</v>
      </c>
      <c r="F478" s="6" t="str">
        <f aca="false">INDEX(Items!$B$5:$B$62,MATCH($E478,Items!$A$5:$A$62,0))</f>
        <v>DISPOSABLES &amp; CLINIC CONSUMABLES</v>
      </c>
      <c r="G478" s="6" t="str">
        <f aca="false">INDEX(Items!$C$5:$C$62,MATCH($E478,Items!$A$5:$A$62,0))</f>
        <v>Countable</v>
      </c>
      <c r="H478" s="6" t="s">
        <v>161</v>
      </c>
      <c r="I478" s="6" t="s">
        <v>160</v>
      </c>
      <c r="J478" s="6" t="n">
        <f aca="false">SUMIFS(Kits!$C$5:$C$163,Kits!$A$5:$A$163,$D478,Kits!$B$5:$B$163,$E478)</f>
        <v>1</v>
      </c>
      <c r="K478" s="6" t="n">
        <f aca="false">INDEX(Services!$F$5:$F$85,MATCH($A478,Services!$A$5:$A$85,0))</f>
        <v>1</v>
      </c>
      <c r="L478" s="6" t="n">
        <f aca="false">IF($H478="Auto-deduct",IF($G478="Countable",ROUNDUP($J478*IF($I478="Y",$K478,1),0),ROUND($J478*IF($I478="Y",$K478,1),1)),$J478)</f>
        <v>1</v>
      </c>
      <c r="M478" s="6" t="str">
        <f aca="false">INDEX(Items!$E$5:$E$62,MATCH($E478,Items!$A$5:$A$62,0))</f>
        <v>pair</v>
      </c>
      <c r="N478" s="6" t="n">
        <f aca="false">ROUND($L478/INDEX(Items!$F$5:$F$62,MATCH($E478,Items!$A$5:$A$62,0)),4)</f>
        <v>1</v>
      </c>
      <c r="O478" s="6"/>
    </row>
    <row r="479" customFormat="false" ht="15" hidden="false" customHeight="false" outlineLevel="0" collapsed="false">
      <c r="A479" s="6" t="n">
        <v>52</v>
      </c>
      <c r="B479" s="6" t="s">
        <v>355</v>
      </c>
      <c r="C479" s="6" t="s">
        <v>352</v>
      </c>
      <c r="D479" s="6" t="s">
        <v>159</v>
      </c>
      <c r="E479" s="6" t="s">
        <v>88</v>
      </c>
      <c r="F479" s="6" t="str">
        <f aca="false">INDEX(Items!$B$5:$B$62,MATCH($E479,Items!$A$5:$A$62,0))</f>
        <v>DISPOSABLES &amp; CLINIC CONSUMABLES</v>
      </c>
      <c r="G479" s="6" t="str">
        <f aca="false">INDEX(Items!$C$5:$C$62,MATCH($E479,Items!$A$5:$A$62,0))</f>
        <v>Bulk</v>
      </c>
      <c r="H479" s="6" t="s">
        <v>161</v>
      </c>
      <c r="I479" s="6" t="s">
        <v>160</v>
      </c>
      <c r="J479" s="6" t="n">
        <f aca="false">SUMIFS(Kits!$C$5:$C$163,Kits!$A$5:$A$163,$D479,Kits!$B$5:$B$163,$E479)</f>
        <v>5</v>
      </c>
      <c r="K479" s="6" t="n">
        <f aca="false">INDEX(Services!$F$5:$F$85,MATCH($A479,Services!$A$5:$A$85,0))</f>
        <v>1</v>
      </c>
      <c r="L479" s="6" t="n">
        <f aca="false">IF($H479="Auto-deduct",IF($G479="Countable",ROUNDUP($J479*IF($I479="Y",$K479,1),0),ROUND($J479*IF($I479="Y",$K479,1),1)),$J479)</f>
        <v>5</v>
      </c>
      <c r="M479" s="6" t="str">
        <f aca="false">INDEX(Items!$E$5:$E$62,MATCH($E479,Items!$A$5:$A$62,0))</f>
        <v>mL</v>
      </c>
      <c r="N479" s="6" t="n">
        <f aca="false">ROUND($L479/INDEX(Items!$F$5:$F$62,MATCH($E479,Items!$A$5:$A$62,0)),4)</f>
        <v>0.01</v>
      </c>
      <c r="O479" s="6"/>
    </row>
    <row r="480" customFormat="false" ht="15" hidden="false" customHeight="false" outlineLevel="0" collapsed="false">
      <c r="A480" s="6" t="n">
        <v>52</v>
      </c>
      <c r="B480" s="6" t="s">
        <v>355</v>
      </c>
      <c r="C480" s="6" t="s">
        <v>352</v>
      </c>
      <c r="D480" s="6" t="s">
        <v>165</v>
      </c>
      <c r="E480" s="6" t="s">
        <v>50</v>
      </c>
      <c r="F480" s="6" t="str">
        <f aca="false">INDEX(Items!$B$5:$B$62,MATCH($E480,Items!$A$5:$A$62,0))</f>
        <v>DISPOSABLES &amp; CLINIC CONSUMABLES</v>
      </c>
      <c r="G480" s="6" t="str">
        <f aca="false">INDEX(Items!$C$5:$C$62,MATCH($E480,Items!$A$5:$A$62,0))</f>
        <v>Countable</v>
      </c>
      <c r="H480" s="6" t="s">
        <v>161</v>
      </c>
      <c r="I480" s="6" t="s">
        <v>160</v>
      </c>
      <c r="J480" s="6" t="n">
        <f aca="false">SUMIFS(Kits!$C$5:$C$163,Kits!$A$5:$A$163,$D480,Kits!$B$5:$B$163,$E480)</f>
        <v>1</v>
      </c>
      <c r="K480" s="6" t="n">
        <f aca="false">INDEX(Services!$F$5:$F$85,MATCH($A480,Services!$A$5:$A$85,0))</f>
        <v>1</v>
      </c>
      <c r="L480" s="6" t="n">
        <f aca="false">IF($H480="Auto-deduct",IF($G480="Countable",ROUNDUP($J480*IF($I480="Y",$K480,1),0),ROUND($J480*IF($I480="Y",$K480,1),1)),$J480)</f>
        <v>1</v>
      </c>
      <c r="M480" s="6" t="str">
        <f aca="false">INDEX(Items!$E$5:$E$62,MATCH($E480,Items!$A$5:$A$62,0))</f>
        <v>pc</v>
      </c>
      <c r="N480" s="6" t="n">
        <f aca="false">ROUND($L480/INDEX(Items!$F$5:$F$62,MATCH($E480,Items!$A$5:$A$62,0)),4)</f>
        <v>1</v>
      </c>
      <c r="O480" s="6"/>
    </row>
    <row r="481" customFormat="false" ht="15" hidden="false" customHeight="false" outlineLevel="0" collapsed="false">
      <c r="A481" s="6" t="n">
        <v>52</v>
      </c>
      <c r="B481" s="6" t="s">
        <v>355</v>
      </c>
      <c r="C481" s="6" t="s">
        <v>352</v>
      </c>
      <c r="D481" s="6" t="s">
        <v>165</v>
      </c>
      <c r="E481" s="6" t="s">
        <v>98</v>
      </c>
      <c r="F481" s="6" t="str">
        <f aca="false">INDEX(Items!$B$5:$B$62,MATCH($E481,Items!$A$5:$A$62,0))</f>
        <v>FACIAL / TREATMENT PREP PRODUCTS</v>
      </c>
      <c r="G481" s="6" t="str">
        <f aca="false">INDEX(Items!$C$5:$C$62,MATCH($E481,Items!$A$5:$A$62,0))</f>
        <v>Bulk</v>
      </c>
      <c r="H481" s="6" t="s">
        <v>161</v>
      </c>
      <c r="I481" s="6" t="s">
        <v>160</v>
      </c>
      <c r="J481" s="6" t="n">
        <f aca="false">SUMIFS(Kits!$C$5:$C$163,Kits!$A$5:$A$163,$D481,Kits!$B$5:$B$163,$E481)</f>
        <v>5</v>
      </c>
      <c r="K481" s="6" t="n">
        <f aca="false">INDEX(Services!$F$5:$F$85,MATCH($A481,Services!$A$5:$A$85,0))</f>
        <v>1</v>
      </c>
      <c r="L481" s="6" t="n">
        <f aca="false">IF($H481="Auto-deduct",IF($G481="Countable",ROUNDUP($J481*IF($I481="Y",$K481,1),0),ROUND($J481*IF($I481="Y",$K481,1),1)),$J481)</f>
        <v>5</v>
      </c>
      <c r="M481" s="6" t="str">
        <f aca="false">INDEX(Items!$E$5:$E$62,MATCH($E481,Items!$A$5:$A$62,0))</f>
        <v>mL</v>
      </c>
      <c r="N481" s="6" t="n">
        <f aca="false">ROUND($L481/INDEX(Items!$F$5:$F$62,MATCH($E481,Items!$A$5:$A$62,0)),4)</f>
        <v>0.01</v>
      </c>
      <c r="O481" s="6"/>
    </row>
    <row r="482" customFormat="false" ht="15" hidden="false" customHeight="false" outlineLevel="0" collapsed="false">
      <c r="A482" s="6" t="n">
        <v>52</v>
      </c>
      <c r="B482" s="6" t="s">
        <v>355</v>
      </c>
      <c r="C482" s="6" t="s">
        <v>352</v>
      </c>
      <c r="D482" s="6" t="s">
        <v>165</v>
      </c>
      <c r="E482" s="6" t="s">
        <v>92</v>
      </c>
      <c r="F482" s="6" t="str">
        <f aca="false">INDEX(Items!$B$5:$B$62,MATCH($E482,Items!$A$5:$A$62,0))</f>
        <v>FACIAL / TREATMENT PREP PRODUCTS</v>
      </c>
      <c r="G482" s="6" t="str">
        <f aca="false">INDEX(Items!$C$5:$C$62,MATCH($E482,Items!$A$5:$A$62,0))</f>
        <v>Bulk</v>
      </c>
      <c r="H482" s="6" t="s">
        <v>161</v>
      </c>
      <c r="I482" s="6" t="s">
        <v>160</v>
      </c>
      <c r="J482" s="6" t="n">
        <f aca="false">SUMIFS(Kits!$C$5:$C$163,Kits!$A$5:$A$163,$D482,Kits!$B$5:$B$163,$E482)</f>
        <v>10</v>
      </c>
      <c r="K482" s="6" t="n">
        <f aca="false">INDEX(Services!$F$5:$F$85,MATCH($A482,Services!$A$5:$A$85,0))</f>
        <v>1</v>
      </c>
      <c r="L482" s="6" t="n">
        <f aca="false">IF($H482="Auto-deduct",IF($G482="Countable",ROUNDUP($J482*IF($I482="Y",$K482,1),0),ROUND($J482*IF($I482="Y",$K482,1),1)),$J482)</f>
        <v>10</v>
      </c>
      <c r="M482" s="6" t="str">
        <f aca="false">INDEX(Items!$E$5:$E$62,MATCH($E482,Items!$A$5:$A$62,0))</f>
        <v>mL</v>
      </c>
      <c r="N482" s="6" t="n">
        <f aca="false">ROUND($L482/INDEX(Items!$F$5:$F$62,MATCH($E482,Items!$A$5:$A$62,0)),4)</f>
        <v>0.02</v>
      </c>
      <c r="O482" s="6"/>
    </row>
    <row r="483" customFormat="false" ht="15" hidden="false" customHeight="false" outlineLevel="0" collapsed="false">
      <c r="A483" s="6" t="n">
        <v>52</v>
      </c>
      <c r="B483" s="6" t="s">
        <v>355</v>
      </c>
      <c r="C483" s="6" t="s">
        <v>352</v>
      </c>
      <c r="D483" s="6" t="s">
        <v>165</v>
      </c>
      <c r="E483" s="6" t="s">
        <v>69</v>
      </c>
      <c r="F483" s="6" t="str">
        <f aca="false">INDEX(Items!$B$5:$B$62,MATCH($E483,Items!$A$5:$A$62,0))</f>
        <v>DISPOSABLES &amp; CLINIC CONSUMABLES</v>
      </c>
      <c r="G483" s="6" t="str">
        <f aca="false">INDEX(Items!$C$5:$C$62,MATCH($E483,Items!$A$5:$A$62,0))</f>
        <v>Bulk</v>
      </c>
      <c r="H483" s="6" t="s">
        <v>161</v>
      </c>
      <c r="I483" s="6" t="s">
        <v>160</v>
      </c>
      <c r="J483" s="6" t="n">
        <f aca="false">SUMIFS(Kits!$C$5:$C$163,Kits!$A$5:$A$163,$D483,Kits!$B$5:$B$163,$E483)</f>
        <v>5</v>
      </c>
      <c r="K483" s="6" t="n">
        <f aca="false">INDEX(Services!$F$5:$F$85,MATCH($A483,Services!$A$5:$A$85,0))</f>
        <v>1</v>
      </c>
      <c r="L483" s="6" t="n">
        <f aca="false">IF($H483="Auto-deduct",IF($G483="Countable",ROUNDUP($J483*IF($I483="Y",$K483,1),0),ROUND($J483*IF($I483="Y",$K483,1),1)),$J483)</f>
        <v>5</v>
      </c>
      <c r="M483" s="6" t="str">
        <f aca="false">INDEX(Items!$E$5:$E$62,MATCH($E483,Items!$A$5:$A$62,0))</f>
        <v>g</v>
      </c>
      <c r="N483" s="6" t="n">
        <f aca="false">ROUND($L483/INDEX(Items!$F$5:$F$62,MATCH($E483,Items!$A$5:$A$62,0)),4)</f>
        <v>0.0125</v>
      </c>
      <c r="O483" s="6"/>
    </row>
    <row r="484" customFormat="false" ht="15" hidden="false" customHeight="false" outlineLevel="0" collapsed="false">
      <c r="A484" s="6" t="n">
        <v>52</v>
      </c>
      <c r="B484" s="6" t="s">
        <v>355</v>
      </c>
      <c r="C484" s="6" t="s">
        <v>352</v>
      </c>
      <c r="D484" s="6" t="s">
        <v>165</v>
      </c>
      <c r="E484" s="6" t="s">
        <v>58</v>
      </c>
      <c r="F484" s="6" t="str">
        <f aca="false">INDEX(Items!$B$5:$B$62,MATCH($E484,Items!$A$5:$A$62,0))</f>
        <v>DISPOSABLES &amp; CLINIC CONSUMABLES</v>
      </c>
      <c r="G484" s="6" t="str">
        <f aca="false">INDEX(Items!$C$5:$C$62,MATCH($E484,Items!$A$5:$A$62,0))</f>
        <v>Bulk</v>
      </c>
      <c r="H484" s="6" t="s">
        <v>161</v>
      </c>
      <c r="I484" s="6" t="s">
        <v>160</v>
      </c>
      <c r="J484" s="6" t="n">
        <f aca="false">SUMIFS(Kits!$C$5:$C$163,Kits!$A$5:$A$163,$D484,Kits!$B$5:$B$163,$E484)</f>
        <v>6</v>
      </c>
      <c r="K484" s="6" t="n">
        <f aca="false">INDEX(Services!$F$5:$F$85,MATCH($A484,Services!$A$5:$A$85,0))</f>
        <v>1</v>
      </c>
      <c r="L484" s="6" t="n">
        <f aca="false">IF($H484="Auto-deduct",IF($G484="Countable",ROUNDUP($J484*IF($I484="Y",$K484,1),0),ROUND($J484*IF($I484="Y",$K484,1),1)),$J484)</f>
        <v>6</v>
      </c>
      <c r="M484" s="6" t="str">
        <f aca="false">INDEX(Items!$E$5:$E$62,MATCH($E484,Items!$A$5:$A$62,0))</f>
        <v>sheet</v>
      </c>
      <c r="N484" s="6" t="n">
        <f aca="false">ROUND($L484/INDEX(Items!$F$5:$F$62,MATCH($E484,Items!$A$5:$A$62,0)),4)</f>
        <v>0.03</v>
      </c>
      <c r="O484" s="6"/>
    </row>
    <row r="485" customFormat="false" ht="15" hidden="false" customHeight="false" outlineLevel="0" collapsed="false">
      <c r="A485" s="6" t="n">
        <v>52</v>
      </c>
      <c r="B485" s="6" t="s">
        <v>355</v>
      </c>
      <c r="C485" s="6" t="s">
        <v>352</v>
      </c>
      <c r="D485" s="6" t="s">
        <v>175</v>
      </c>
      <c r="E485" s="6" t="s">
        <v>86</v>
      </c>
      <c r="F485" s="6" t="str">
        <f aca="false">INDEX(Items!$B$5:$B$62,MATCH($E485,Items!$A$5:$A$62,0))</f>
        <v>DISPOSABLES &amp; CLINIC CONSUMABLES</v>
      </c>
      <c r="G485" s="6" t="str">
        <f aca="false">INDEX(Items!$C$5:$C$62,MATCH($E485,Items!$A$5:$A$62,0))</f>
        <v>Bulk</v>
      </c>
      <c r="H485" s="6" t="s">
        <v>161</v>
      </c>
      <c r="I485" s="6" t="s">
        <v>160</v>
      </c>
      <c r="J485" s="6" t="n">
        <f aca="false">SUMIFS(Kits!$C$5:$C$163,Kits!$A$5:$A$163,$D485,Kits!$B$5:$B$163,$E485)</f>
        <v>3</v>
      </c>
      <c r="K485" s="6" t="n">
        <f aca="false">INDEX(Services!$F$5:$F$85,MATCH($A485,Services!$A$5:$A$85,0))</f>
        <v>1</v>
      </c>
      <c r="L485" s="6" t="n">
        <f aca="false">IF($H485="Auto-deduct",IF($G485="Countable",ROUNDUP($J485*IF($I485="Y",$K485,1),0),ROUND($J485*IF($I485="Y",$K485,1),1)),$J485)</f>
        <v>3</v>
      </c>
      <c r="M485" s="6" t="str">
        <f aca="false">INDEX(Items!$E$5:$E$62,MATCH($E485,Items!$A$5:$A$62,0))</f>
        <v>pc</v>
      </c>
      <c r="N485" s="6" t="n">
        <f aca="false">ROUND($L485/INDEX(Items!$F$5:$F$62,MATCH($E485,Items!$A$5:$A$62,0)),4)</f>
        <v>0.0375</v>
      </c>
      <c r="O485" s="6"/>
    </row>
    <row r="486" customFormat="false" ht="15" hidden="false" customHeight="false" outlineLevel="0" collapsed="false">
      <c r="A486" s="6" t="n">
        <v>52</v>
      </c>
      <c r="B486" s="6" t="s">
        <v>355</v>
      </c>
      <c r="C486" s="6" t="s">
        <v>352</v>
      </c>
      <c r="D486" s="6" t="s">
        <v>171</v>
      </c>
      <c r="E486" s="6" t="s">
        <v>109</v>
      </c>
      <c r="F486" s="6" t="str">
        <f aca="false">INDEX(Items!$B$5:$B$62,MATCH($E486,Items!$A$5:$A$62,0))</f>
        <v>FACIAL TREATMENT PRODUCTS (PROFESSIONAL USE)</v>
      </c>
      <c r="G486" s="6" t="str">
        <f aca="false">INDEX(Items!$C$5:$C$62,MATCH($E486,Items!$A$5:$A$62,0))</f>
        <v>Bulk</v>
      </c>
      <c r="H486" s="6" t="s">
        <v>161</v>
      </c>
      <c r="I486" s="6" t="s">
        <v>160</v>
      </c>
      <c r="J486" s="6" t="n">
        <f aca="false">SUMIFS(Kits!$C$5:$C$163,Kits!$A$5:$A$163,$D486,Kits!$B$5:$B$163,$E486)</f>
        <v>30</v>
      </c>
      <c r="K486" s="6" t="n">
        <f aca="false">INDEX(Services!$F$5:$F$85,MATCH($A486,Services!$A$5:$A$85,0))</f>
        <v>1</v>
      </c>
      <c r="L486" s="6" t="n">
        <f aca="false">IF($H486="Auto-deduct",IF($G486="Countable",ROUNDUP($J486*IF($I486="Y",$K486,1),0),ROUND($J486*IF($I486="Y",$K486,1),1)),$J486)</f>
        <v>30</v>
      </c>
      <c r="M486" s="6" t="str">
        <f aca="false">INDEX(Items!$E$5:$E$62,MATCH($E486,Items!$A$5:$A$62,0))</f>
        <v>g</v>
      </c>
      <c r="N486" s="6" t="n">
        <f aca="false">ROUND($L486/INDEX(Items!$F$5:$F$62,MATCH($E486,Items!$A$5:$A$62,0)),4)</f>
        <v>0.06</v>
      </c>
      <c r="O486" s="6"/>
    </row>
    <row r="487" customFormat="false" ht="15" hidden="false" customHeight="false" outlineLevel="0" collapsed="false">
      <c r="A487" s="6" t="n">
        <v>52</v>
      </c>
      <c r="B487" s="6" t="s">
        <v>355</v>
      </c>
      <c r="C487" s="6" t="s">
        <v>352</v>
      </c>
      <c r="D487" s="6" t="s">
        <v>171</v>
      </c>
      <c r="E487" s="6" t="s">
        <v>74</v>
      </c>
      <c r="F487" s="6" t="str">
        <f aca="false">INDEX(Items!$B$5:$B$62,MATCH($E487,Items!$A$5:$A$62,0))</f>
        <v>DISPOSABLES &amp; CLINIC CONSUMABLES</v>
      </c>
      <c r="G487" s="6" t="str">
        <f aca="false">INDEX(Items!$C$5:$C$62,MATCH($E487,Items!$A$5:$A$62,0))</f>
        <v>Bulk</v>
      </c>
      <c r="H487" s="6" t="s">
        <v>161</v>
      </c>
      <c r="I487" s="6" t="s">
        <v>160</v>
      </c>
      <c r="J487" s="6" t="n">
        <f aca="false">SUMIFS(Kits!$C$5:$C$163,Kits!$A$5:$A$163,$D487,Kits!$B$5:$B$163,$E487)</f>
        <v>1</v>
      </c>
      <c r="K487" s="6" t="n">
        <f aca="false">INDEX(Services!$F$5:$F$85,MATCH($A487,Services!$A$5:$A$85,0))</f>
        <v>1</v>
      </c>
      <c r="L487" s="6" t="n">
        <f aca="false">IF($H487="Auto-deduct",IF($G487="Countable",ROUNDUP($J487*IF($I487="Y",$K487,1),0),ROUND($J487*IF($I487="Y",$K487,1),1)),$J487)</f>
        <v>1</v>
      </c>
      <c r="M487" s="6" t="str">
        <f aca="false">INDEX(Items!$E$5:$E$62,MATCH($E487,Items!$A$5:$A$62,0))</f>
        <v>pc</v>
      </c>
      <c r="N487" s="6" t="n">
        <f aca="false">ROUND($L487/INDEX(Items!$F$5:$F$62,MATCH($E487,Items!$A$5:$A$62,0)),4)</f>
        <v>0.01</v>
      </c>
      <c r="O487" s="6"/>
    </row>
    <row r="488" customFormat="false" ht="15" hidden="false" customHeight="false" outlineLevel="0" collapsed="false">
      <c r="A488" s="6" t="n">
        <v>52</v>
      </c>
      <c r="B488" s="6" t="s">
        <v>355</v>
      </c>
      <c r="C488" s="6" t="s">
        <v>352</v>
      </c>
      <c r="D488" s="6" t="s">
        <v>171</v>
      </c>
      <c r="E488" s="6" t="s">
        <v>135</v>
      </c>
      <c r="F488" s="6" t="str">
        <f aca="false">INDEX(Items!$B$5:$B$62,MATCH($E488,Items!$A$5:$A$62,0))</f>
        <v>SKINCARE PRODUCTS (RETAIL / AFTERCARE)</v>
      </c>
      <c r="G488" s="6" t="str">
        <f aca="false">INDEX(Items!$C$5:$C$62,MATCH($E488,Items!$A$5:$A$62,0))</f>
        <v>Bulk</v>
      </c>
      <c r="H488" s="6" t="s">
        <v>161</v>
      </c>
      <c r="I488" s="6" t="s">
        <v>160</v>
      </c>
      <c r="J488" s="6" t="n">
        <f aca="false">SUMIFS(Kits!$C$5:$C$163,Kits!$A$5:$A$163,$D488,Kits!$B$5:$B$163,$E488)</f>
        <v>3</v>
      </c>
      <c r="K488" s="6" t="n">
        <f aca="false">INDEX(Services!$F$5:$F$85,MATCH($A488,Services!$A$5:$A$85,0))</f>
        <v>1</v>
      </c>
      <c r="L488" s="6" t="n">
        <f aca="false">IF($H488="Auto-deduct",IF($G488="Countable",ROUNDUP($J488*IF($I488="Y",$K488,1),0),ROUND($J488*IF($I488="Y",$K488,1),1)),$J488)</f>
        <v>3</v>
      </c>
      <c r="M488" s="6" t="str">
        <f aca="false">INDEX(Items!$E$5:$E$62,MATCH($E488,Items!$A$5:$A$62,0))</f>
        <v>g</v>
      </c>
      <c r="N488" s="6" t="n">
        <f aca="false">ROUND($L488/INDEX(Items!$F$5:$F$62,MATCH($E488,Items!$A$5:$A$62,0)),4)</f>
        <v>0.06</v>
      </c>
      <c r="O488" s="6"/>
    </row>
    <row r="489" customFormat="false" ht="15" hidden="false" customHeight="false" outlineLevel="0" collapsed="false">
      <c r="A489" s="6" t="n">
        <v>53</v>
      </c>
      <c r="B489" s="6" t="s">
        <v>357</v>
      </c>
      <c r="C489" s="6" t="s">
        <v>352</v>
      </c>
      <c r="D489" s="6" t="s">
        <v>159</v>
      </c>
      <c r="E489" s="6" t="s">
        <v>52</v>
      </c>
      <c r="F489" s="6" t="str">
        <f aca="false">INDEX(Items!$B$5:$B$62,MATCH($E489,Items!$A$5:$A$62,0))</f>
        <v>DISPOSABLES &amp; CLINIC CONSUMABLES</v>
      </c>
      <c r="G489" s="6" t="str">
        <f aca="false">INDEX(Items!$C$5:$C$62,MATCH($E489,Items!$A$5:$A$62,0))</f>
        <v>Countable</v>
      </c>
      <c r="H489" s="6" t="s">
        <v>161</v>
      </c>
      <c r="I489" s="6" t="s">
        <v>160</v>
      </c>
      <c r="J489" s="6" t="n">
        <f aca="false">SUMIFS(Kits!$C$5:$C$163,Kits!$A$5:$A$163,$D489,Kits!$B$5:$B$163,$E489)</f>
        <v>1</v>
      </c>
      <c r="K489" s="6" t="n">
        <f aca="false">INDEX(Services!$F$5:$F$85,MATCH($A489,Services!$A$5:$A$85,0))</f>
        <v>1</v>
      </c>
      <c r="L489" s="6" t="n">
        <f aca="false">IF($H489="Auto-deduct",IF($G489="Countable",ROUNDUP($J489*IF($I489="Y",$K489,1),0),ROUND($J489*IF($I489="Y",$K489,1),1)),$J489)</f>
        <v>1</v>
      </c>
      <c r="M489" s="6" t="str">
        <f aca="false">INDEX(Items!$E$5:$E$62,MATCH($E489,Items!$A$5:$A$62,0))</f>
        <v>pc</v>
      </c>
      <c r="N489" s="6" t="n">
        <f aca="false">ROUND($L489/INDEX(Items!$F$5:$F$62,MATCH($E489,Items!$A$5:$A$62,0)),4)</f>
        <v>1</v>
      </c>
      <c r="O489" s="6"/>
    </row>
    <row r="490" customFormat="false" ht="15" hidden="false" customHeight="false" outlineLevel="0" collapsed="false">
      <c r="A490" s="6" t="n">
        <v>53</v>
      </c>
      <c r="B490" s="6" t="s">
        <v>357</v>
      </c>
      <c r="C490" s="6" t="s">
        <v>352</v>
      </c>
      <c r="D490" s="6" t="s">
        <v>159</v>
      </c>
      <c r="E490" s="6" t="s">
        <v>53</v>
      </c>
      <c r="F490" s="6" t="str">
        <f aca="false">INDEX(Items!$B$5:$B$62,MATCH($E490,Items!$A$5:$A$62,0))</f>
        <v>DISPOSABLES &amp; CLINIC CONSUMABLES</v>
      </c>
      <c r="G490" s="6" t="str">
        <f aca="false">INDEX(Items!$C$5:$C$62,MATCH($E490,Items!$A$5:$A$62,0))</f>
        <v>Countable</v>
      </c>
      <c r="H490" s="6" t="s">
        <v>161</v>
      </c>
      <c r="I490" s="6" t="s">
        <v>160</v>
      </c>
      <c r="J490" s="6" t="n">
        <f aca="false">SUMIFS(Kits!$C$5:$C$163,Kits!$A$5:$A$163,$D490,Kits!$B$5:$B$163,$E490)</f>
        <v>1</v>
      </c>
      <c r="K490" s="6" t="n">
        <f aca="false">INDEX(Services!$F$5:$F$85,MATCH($A490,Services!$A$5:$A$85,0))</f>
        <v>1</v>
      </c>
      <c r="L490" s="6" t="n">
        <f aca="false">IF($H490="Auto-deduct",IF($G490="Countable",ROUNDUP($J490*IF($I490="Y",$K490,1),0),ROUND($J490*IF($I490="Y",$K490,1),1)),$J490)</f>
        <v>1</v>
      </c>
      <c r="M490" s="6" t="str">
        <f aca="false">INDEX(Items!$E$5:$E$62,MATCH($E490,Items!$A$5:$A$62,0))</f>
        <v>pair</v>
      </c>
      <c r="N490" s="6" t="n">
        <f aca="false">ROUND($L490/INDEX(Items!$F$5:$F$62,MATCH($E490,Items!$A$5:$A$62,0)),4)</f>
        <v>1</v>
      </c>
      <c r="O490" s="6"/>
    </row>
    <row r="491" customFormat="false" ht="15" hidden="false" customHeight="false" outlineLevel="0" collapsed="false">
      <c r="A491" s="6" t="n">
        <v>53</v>
      </c>
      <c r="B491" s="6" t="s">
        <v>357</v>
      </c>
      <c r="C491" s="6" t="s">
        <v>352</v>
      </c>
      <c r="D491" s="6" t="s">
        <v>159</v>
      </c>
      <c r="E491" s="6" t="s">
        <v>88</v>
      </c>
      <c r="F491" s="6" t="str">
        <f aca="false">INDEX(Items!$B$5:$B$62,MATCH($E491,Items!$A$5:$A$62,0))</f>
        <v>DISPOSABLES &amp; CLINIC CONSUMABLES</v>
      </c>
      <c r="G491" s="6" t="str">
        <f aca="false">INDEX(Items!$C$5:$C$62,MATCH($E491,Items!$A$5:$A$62,0))</f>
        <v>Bulk</v>
      </c>
      <c r="H491" s="6" t="s">
        <v>161</v>
      </c>
      <c r="I491" s="6" t="s">
        <v>160</v>
      </c>
      <c r="J491" s="6" t="n">
        <f aca="false">SUMIFS(Kits!$C$5:$C$163,Kits!$A$5:$A$163,$D491,Kits!$B$5:$B$163,$E491)</f>
        <v>5</v>
      </c>
      <c r="K491" s="6" t="n">
        <f aca="false">INDEX(Services!$F$5:$F$85,MATCH($A491,Services!$A$5:$A$85,0))</f>
        <v>1</v>
      </c>
      <c r="L491" s="6" t="n">
        <f aca="false">IF($H491="Auto-deduct",IF($G491="Countable",ROUNDUP($J491*IF($I491="Y",$K491,1),0),ROUND($J491*IF($I491="Y",$K491,1),1)),$J491)</f>
        <v>5</v>
      </c>
      <c r="M491" s="6" t="str">
        <f aca="false">INDEX(Items!$E$5:$E$62,MATCH($E491,Items!$A$5:$A$62,0))</f>
        <v>mL</v>
      </c>
      <c r="N491" s="6" t="n">
        <f aca="false">ROUND($L491/INDEX(Items!$F$5:$F$62,MATCH($E491,Items!$A$5:$A$62,0)),4)</f>
        <v>0.01</v>
      </c>
      <c r="O491" s="6"/>
    </row>
    <row r="492" customFormat="false" ht="15" hidden="false" customHeight="false" outlineLevel="0" collapsed="false">
      <c r="A492" s="6" t="n">
        <v>53</v>
      </c>
      <c r="B492" s="6" t="s">
        <v>357</v>
      </c>
      <c r="C492" s="6" t="s">
        <v>352</v>
      </c>
      <c r="D492" s="6" t="s">
        <v>165</v>
      </c>
      <c r="E492" s="6" t="s">
        <v>50</v>
      </c>
      <c r="F492" s="6" t="str">
        <f aca="false">INDEX(Items!$B$5:$B$62,MATCH($E492,Items!$A$5:$A$62,0))</f>
        <v>DISPOSABLES &amp; CLINIC CONSUMABLES</v>
      </c>
      <c r="G492" s="6" t="str">
        <f aca="false">INDEX(Items!$C$5:$C$62,MATCH($E492,Items!$A$5:$A$62,0))</f>
        <v>Countable</v>
      </c>
      <c r="H492" s="6" t="s">
        <v>161</v>
      </c>
      <c r="I492" s="6" t="s">
        <v>160</v>
      </c>
      <c r="J492" s="6" t="n">
        <f aca="false">SUMIFS(Kits!$C$5:$C$163,Kits!$A$5:$A$163,$D492,Kits!$B$5:$B$163,$E492)</f>
        <v>1</v>
      </c>
      <c r="K492" s="6" t="n">
        <f aca="false">INDEX(Services!$F$5:$F$85,MATCH($A492,Services!$A$5:$A$85,0))</f>
        <v>1</v>
      </c>
      <c r="L492" s="6" t="n">
        <f aca="false">IF($H492="Auto-deduct",IF($G492="Countable",ROUNDUP($J492*IF($I492="Y",$K492,1),0),ROUND($J492*IF($I492="Y",$K492,1),1)),$J492)</f>
        <v>1</v>
      </c>
      <c r="M492" s="6" t="str">
        <f aca="false">INDEX(Items!$E$5:$E$62,MATCH($E492,Items!$A$5:$A$62,0))</f>
        <v>pc</v>
      </c>
      <c r="N492" s="6" t="n">
        <f aca="false">ROUND($L492/INDEX(Items!$F$5:$F$62,MATCH($E492,Items!$A$5:$A$62,0)),4)</f>
        <v>1</v>
      </c>
      <c r="O492" s="6"/>
    </row>
    <row r="493" customFormat="false" ht="15" hidden="false" customHeight="false" outlineLevel="0" collapsed="false">
      <c r="A493" s="6" t="n">
        <v>53</v>
      </c>
      <c r="B493" s="6" t="s">
        <v>357</v>
      </c>
      <c r="C493" s="6" t="s">
        <v>352</v>
      </c>
      <c r="D493" s="6" t="s">
        <v>165</v>
      </c>
      <c r="E493" s="6" t="s">
        <v>98</v>
      </c>
      <c r="F493" s="6" t="str">
        <f aca="false">INDEX(Items!$B$5:$B$62,MATCH($E493,Items!$A$5:$A$62,0))</f>
        <v>FACIAL / TREATMENT PREP PRODUCTS</v>
      </c>
      <c r="G493" s="6" t="str">
        <f aca="false">INDEX(Items!$C$5:$C$62,MATCH($E493,Items!$A$5:$A$62,0))</f>
        <v>Bulk</v>
      </c>
      <c r="H493" s="6" t="s">
        <v>161</v>
      </c>
      <c r="I493" s="6" t="s">
        <v>160</v>
      </c>
      <c r="J493" s="6" t="n">
        <f aca="false">SUMIFS(Kits!$C$5:$C$163,Kits!$A$5:$A$163,$D493,Kits!$B$5:$B$163,$E493)</f>
        <v>5</v>
      </c>
      <c r="K493" s="6" t="n">
        <f aca="false">INDEX(Services!$F$5:$F$85,MATCH($A493,Services!$A$5:$A$85,0))</f>
        <v>1</v>
      </c>
      <c r="L493" s="6" t="n">
        <f aca="false">IF($H493="Auto-deduct",IF($G493="Countable",ROUNDUP($J493*IF($I493="Y",$K493,1),0),ROUND($J493*IF($I493="Y",$K493,1),1)),$J493)</f>
        <v>5</v>
      </c>
      <c r="M493" s="6" t="str">
        <f aca="false">INDEX(Items!$E$5:$E$62,MATCH($E493,Items!$A$5:$A$62,0))</f>
        <v>mL</v>
      </c>
      <c r="N493" s="6" t="n">
        <f aca="false">ROUND($L493/INDEX(Items!$F$5:$F$62,MATCH($E493,Items!$A$5:$A$62,0)),4)</f>
        <v>0.01</v>
      </c>
      <c r="O493" s="6"/>
    </row>
    <row r="494" customFormat="false" ht="15" hidden="false" customHeight="false" outlineLevel="0" collapsed="false">
      <c r="A494" s="6" t="n">
        <v>53</v>
      </c>
      <c r="B494" s="6" t="s">
        <v>357</v>
      </c>
      <c r="C494" s="6" t="s">
        <v>352</v>
      </c>
      <c r="D494" s="6" t="s">
        <v>165</v>
      </c>
      <c r="E494" s="6" t="s">
        <v>92</v>
      </c>
      <c r="F494" s="6" t="str">
        <f aca="false">INDEX(Items!$B$5:$B$62,MATCH($E494,Items!$A$5:$A$62,0))</f>
        <v>FACIAL / TREATMENT PREP PRODUCTS</v>
      </c>
      <c r="G494" s="6" t="str">
        <f aca="false">INDEX(Items!$C$5:$C$62,MATCH($E494,Items!$A$5:$A$62,0))</f>
        <v>Bulk</v>
      </c>
      <c r="H494" s="6" t="s">
        <v>161</v>
      </c>
      <c r="I494" s="6" t="s">
        <v>160</v>
      </c>
      <c r="J494" s="6" t="n">
        <f aca="false">SUMIFS(Kits!$C$5:$C$163,Kits!$A$5:$A$163,$D494,Kits!$B$5:$B$163,$E494)</f>
        <v>10</v>
      </c>
      <c r="K494" s="6" t="n">
        <f aca="false">INDEX(Services!$F$5:$F$85,MATCH($A494,Services!$A$5:$A$85,0))</f>
        <v>1</v>
      </c>
      <c r="L494" s="6" t="n">
        <f aca="false">IF($H494="Auto-deduct",IF($G494="Countable",ROUNDUP($J494*IF($I494="Y",$K494,1),0),ROUND($J494*IF($I494="Y",$K494,1),1)),$J494)</f>
        <v>10</v>
      </c>
      <c r="M494" s="6" t="str">
        <f aca="false">INDEX(Items!$E$5:$E$62,MATCH($E494,Items!$A$5:$A$62,0))</f>
        <v>mL</v>
      </c>
      <c r="N494" s="6" t="n">
        <f aca="false">ROUND($L494/INDEX(Items!$F$5:$F$62,MATCH($E494,Items!$A$5:$A$62,0)),4)</f>
        <v>0.02</v>
      </c>
      <c r="O494" s="6"/>
    </row>
    <row r="495" customFormat="false" ht="15" hidden="false" customHeight="false" outlineLevel="0" collapsed="false">
      <c r="A495" s="6" t="n">
        <v>53</v>
      </c>
      <c r="B495" s="6" t="s">
        <v>357</v>
      </c>
      <c r="C495" s="6" t="s">
        <v>352</v>
      </c>
      <c r="D495" s="6" t="s">
        <v>165</v>
      </c>
      <c r="E495" s="6" t="s">
        <v>69</v>
      </c>
      <c r="F495" s="6" t="str">
        <f aca="false">INDEX(Items!$B$5:$B$62,MATCH($E495,Items!$A$5:$A$62,0))</f>
        <v>DISPOSABLES &amp; CLINIC CONSUMABLES</v>
      </c>
      <c r="G495" s="6" t="str">
        <f aca="false">INDEX(Items!$C$5:$C$62,MATCH($E495,Items!$A$5:$A$62,0))</f>
        <v>Bulk</v>
      </c>
      <c r="H495" s="6" t="s">
        <v>161</v>
      </c>
      <c r="I495" s="6" t="s">
        <v>160</v>
      </c>
      <c r="J495" s="6" t="n">
        <f aca="false">SUMIFS(Kits!$C$5:$C$163,Kits!$A$5:$A$163,$D495,Kits!$B$5:$B$163,$E495)</f>
        <v>5</v>
      </c>
      <c r="K495" s="6" t="n">
        <f aca="false">INDEX(Services!$F$5:$F$85,MATCH($A495,Services!$A$5:$A$85,0))</f>
        <v>1</v>
      </c>
      <c r="L495" s="6" t="n">
        <f aca="false">IF($H495="Auto-deduct",IF($G495="Countable",ROUNDUP($J495*IF($I495="Y",$K495,1),0),ROUND($J495*IF($I495="Y",$K495,1),1)),$J495)</f>
        <v>5</v>
      </c>
      <c r="M495" s="6" t="str">
        <f aca="false">INDEX(Items!$E$5:$E$62,MATCH($E495,Items!$A$5:$A$62,0))</f>
        <v>g</v>
      </c>
      <c r="N495" s="6" t="n">
        <f aca="false">ROUND($L495/INDEX(Items!$F$5:$F$62,MATCH($E495,Items!$A$5:$A$62,0)),4)</f>
        <v>0.0125</v>
      </c>
      <c r="O495" s="6"/>
    </row>
    <row r="496" customFormat="false" ht="15" hidden="false" customHeight="false" outlineLevel="0" collapsed="false">
      <c r="A496" s="6" t="n">
        <v>53</v>
      </c>
      <c r="B496" s="6" t="s">
        <v>357</v>
      </c>
      <c r="C496" s="6" t="s">
        <v>352</v>
      </c>
      <c r="D496" s="6" t="s">
        <v>165</v>
      </c>
      <c r="E496" s="6" t="s">
        <v>58</v>
      </c>
      <c r="F496" s="6" t="str">
        <f aca="false">INDEX(Items!$B$5:$B$62,MATCH($E496,Items!$A$5:$A$62,0))</f>
        <v>DISPOSABLES &amp; CLINIC CONSUMABLES</v>
      </c>
      <c r="G496" s="6" t="str">
        <f aca="false">INDEX(Items!$C$5:$C$62,MATCH($E496,Items!$A$5:$A$62,0))</f>
        <v>Bulk</v>
      </c>
      <c r="H496" s="6" t="s">
        <v>161</v>
      </c>
      <c r="I496" s="6" t="s">
        <v>160</v>
      </c>
      <c r="J496" s="6" t="n">
        <f aca="false">SUMIFS(Kits!$C$5:$C$163,Kits!$A$5:$A$163,$D496,Kits!$B$5:$B$163,$E496)</f>
        <v>6</v>
      </c>
      <c r="K496" s="6" t="n">
        <f aca="false">INDEX(Services!$F$5:$F$85,MATCH($A496,Services!$A$5:$A$85,0))</f>
        <v>1</v>
      </c>
      <c r="L496" s="6" t="n">
        <f aca="false">IF($H496="Auto-deduct",IF($G496="Countable",ROUNDUP($J496*IF($I496="Y",$K496,1),0),ROUND($J496*IF($I496="Y",$K496,1),1)),$J496)</f>
        <v>6</v>
      </c>
      <c r="M496" s="6" t="str">
        <f aca="false">INDEX(Items!$E$5:$E$62,MATCH($E496,Items!$A$5:$A$62,0))</f>
        <v>sheet</v>
      </c>
      <c r="N496" s="6" t="n">
        <f aca="false">ROUND($L496/INDEX(Items!$F$5:$F$62,MATCH($E496,Items!$A$5:$A$62,0)),4)</f>
        <v>0.03</v>
      </c>
      <c r="O496" s="6"/>
    </row>
    <row r="497" customFormat="false" ht="15" hidden="false" customHeight="false" outlineLevel="0" collapsed="false">
      <c r="A497" s="6" t="n">
        <v>53</v>
      </c>
      <c r="B497" s="6" t="s">
        <v>357</v>
      </c>
      <c r="C497" s="6" t="s">
        <v>352</v>
      </c>
      <c r="D497" s="6" t="s">
        <v>177</v>
      </c>
      <c r="E497" s="6" t="s">
        <v>116</v>
      </c>
      <c r="F497" s="6" t="str">
        <f aca="false">INDEX(Items!$B$5:$B$62,MATCH($E497,Items!$A$5:$A$62,0))</f>
        <v>FACIAL TREATMENT PRODUCTS (PROFESSIONAL USE)</v>
      </c>
      <c r="G497" s="6" t="str">
        <f aca="false">INDEX(Items!$C$5:$C$62,MATCH($E497,Items!$A$5:$A$62,0))</f>
        <v>Countable</v>
      </c>
      <c r="H497" s="6" t="s">
        <v>161</v>
      </c>
      <c r="I497" s="6" t="s">
        <v>160</v>
      </c>
      <c r="J497" s="6" t="n">
        <f aca="false">SUMIFS(Kits!$C$5:$C$163,Kits!$A$5:$A$163,$D497,Kits!$B$5:$B$163,$E497)</f>
        <v>1</v>
      </c>
      <c r="K497" s="6" t="n">
        <f aca="false">INDEX(Services!$F$5:$F$85,MATCH($A497,Services!$A$5:$A$85,0))</f>
        <v>1</v>
      </c>
      <c r="L497" s="6" t="n">
        <f aca="false">IF($H497="Auto-deduct",IF($G497="Countable",ROUNDUP($J497*IF($I497="Y",$K497,1),0),ROUND($J497*IF($I497="Y",$K497,1),1)),$J497)</f>
        <v>1</v>
      </c>
      <c r="M497" s="6" t="str">
        <f aca="false">INDEX(Items!$E$5:$E$62,MATCH($E497,Items!$A$5:$A$62,0))</f>
        <v>pc</v>
      </c>
      <c r="N497" s="6" t="n">
        <f aca="false">ROUND($L497/INDEX(Items!$F$5:$F$62,MATCH($E497,Items!$A$5:$A$62,0)),4)</f>
        <v>1</v>
      </c>
      <c r="O497" s="6"/>
    </row>
    <row r="498" customFormat="false" ht="15" hidden="false" customHeight="false" outlineLevel="0" collapsed="false">
      <c r="A498" s="6" t="n">
        <v>53</v>
      </c>
      <c r="B498" s="6" t="s">
        <v>357</v>
      </c>
      <c r="C498" s="6" t="s">
        <v>352</v>
      </c>
      <c r="D498" s="6" t="s">
        <v>177</v>
      </c>
      <c r="E498" s="6" t="s">
        <v>120</v>
      </c>
      <c r="F498" s="6" t="str">
        <f aca="false">INDEX(Items!$B$5:$B$62,MATCH($E498,Items!$A$5:$A$62,0))</f>
        <v>FACIAL TREATMENT PRODUCTS (PROFESSIONAL USE)</v>
      </c>
      <c r="G498" s="6" t="str">
        <f aca="false">INDEX(Items!$C$5:$C$62,MATCH($E498,Items!$A$5:$A$62,0))</f>
        <v>Countable</v>
      </c>
      <c r="H498" s="6" t="s">
        <v>161</v>
      </c>
      <c r="I498" s="6" t="s">
        <v>160</v>
      </c>
      <c r="J498" s="6" t="n">
        <f aca="false">SUMIFS(Kits!$C$5:$C$163,Kits!$A$5:$A$163,$D498,Kits!$B$5:$B$163,$E498)</f>
        <v>1</v>
      </c>
      <c r="K498" s="6" t="n">
        <f aca="false">INDEX(Services!$F$5:$F$85,MATCH($A498,Services!$A$5:$A$85,0))</f>
        <v>1</v>
      </c>
      <c r="L498" s="6" t="n">
        <f aca="false">IF($H498="Auto-deduct",IF($G498="Countable",ROUNDUP($J498*IF($I498="Y",$K498,1),0),ROUND($J498*IF($I498="Y",$K498,1),1)),$J498)</f>
        <v>1</v>
      </c>
      <c r="M498" s="6" t="str">
        <f aca="false">INDEX(Items!$E$5:$E$62,MATCH($E498,Items!$A$5:$A$62,0))</f>
        <v>pc</v>
      </c>
      <c r="N498" s="6" t="n">
        <f aca="false">ROUND($L498/INDEX(Items!$F$5:$F$62,MATCH($E498,Items!$A$5:$A$62,0)),4)</f>
        <v>1</v>
      </c>
      <c r="O498" s="6"/>
    </row>
    <row r="499" customFormat="false" ht="15" hidden="false" customHeight="false" outlineLevel="0" collapsed="false">
      <c r="A499" s="6" t="n">
        <v>53</v>
      </c>
      <c r="B499" s="6" t="s">
        <v>357</v>
      </c>
      <c r="C499" s="6" t="s">
        <v>352</v>
      </c>
      <c r="D499" s="6" t="s">
        <v>177</v>
      </c>
      <c r="E499" s="6" t="s">
        <v>114</v>
      </c>
      <c r="F499" s="6" t="str">
        <f aca="false">INDEX(Items!$B$5:$B$62,MATCH($E499,Items!$A$5:$A$62,0))</f>
        <v>FACIAL TREATMENT PRODUCTS (PROFESSIONAL USE)</v>
      </c>
      <c r="G499" s="6" t="str">
        <f aca="false">INDEX(Items!$C$5:$C$62,MATCH($E499,Items!$A$5:$A$62,0))</f>
        <v>Bulk</v>
      </c>
      <c r="H499" s="6" t="s">
        <v>161</v>
      </c>
      <c r="I499" s="6" t="s">
        <v>160</v>
      </c>
      <c r="J499" s="6" t="n">
        <f aca="false">SUMIFS(Kits!$C$5:$C$163,Kits!$A$5:$A$163,$D499,Kits!$B$5:$B$163,$E499)</f>
        <v>10</v>
      </c>
      <c r="K499" s="6" t="n">
        <f aca="false">INDEX(Services!$F$5:$F$85,MATCH($A499,Services!$A$5:$A$85,0))</f>
        <v>1</v>
      </c>
      <c r="L499" s="6" t="n">
        <f aca="false">IF($H499="Auto-deduct",IF($G499="Countable",ROUNDUP($J499*IF($I499="Y",$K499,1),0),ROUND($J499*IF($I499="Y",$K499,1),1)),$J499)</f>
        <v>10</v>
      </c>
      <c r="M499" s="6" t="str">
        <f aca="false">INDEX(Items!$E$5:$E$62,MATCH($E499,Items!$A$5:$A$62,0))</f>
        <v>mL</v>
      </c>
      <c r="N499" s="6" t="n">
        <f aca="false">ROUND($L499/INDEX(Items!$F$5:$F$62,MATCH($E499,Items!$A$5:$A$62,0)),4)</f>
        <v>0.01</v>
      </c>
      <c r="O499" s="6"/>
    </row>
    <row r="500" customFormat="false" ht="15" hidden="false" customHeight="false" outlineLevel="0" collapsed="false">
      <c r="A500" s="6" t="n">
        <v>53</v>
      </c>
      <c r="B500" s="6" t="s">
        <v>357</v>
      </c>
      <c r="C500" s="6" t="s">
        <v>352</v>
      </c>
      <c r="D500" s="6" t="s">
        <v>177</v>
      </c>
      <c r="E500" s="6" t="s">
        <v>72</v>
      </c>
      <c r="F500" s="6" t="str">
        <f aca="false">INDEX(Items!$B$5:$B$62,MATCH($E500,Items!$A$5:$A$62,0))</f>
        <v>DISPOSABLES &amp; CLINIC CONSUMABLES</v>
      </c>
      <c r="G500" s="6" t="str">
        <f aca="false">INDEX(Items!$C$5:$C$62,MATCH($E500,Items!$A$5:$A$62,0))</f>
        <v>Bulk</v>
      </c>
      <c r="H500" s="6" t="s">
        <v>161</v>
      </c>
      <c r="I500" s="6" t="s">
        <v>160</v>
      </c>
      <c r="J500" s="6" t="n">
        <f aca="false">SUMIFS(Kits!$C$5:$C$163,Kits!$A$5:$A$163,$D500,Kits!$B$5:$B$163,$E500)</f>
        <v>4</v>
      </c>
      <c r="K500" s="6" t="n">
        <f aca="false">INDEX(Services!$F$5:$F$85,MATCH($A500,Services!$A$5:$A$85,0))</f>
        <v>1</v>
      </c>
      <c r="L500" s="6" t="n">
        <f aca="false">IF($H500="Auto-deduct",IF($G500="Countable",ROUNDUP($J500*IF($I500="Y",$K500,1),0),ROUND($J500*IF($I500="Y",$K500,1),1)),$J500)</f>
        <v>4</v>
      </c>
      <c r="M500" s="6" t="str">
        <f aca="false">INDEX(Items!$E$5:$E$62,MATCH($E500,Items!$A$5:$A$62,0))</f>
        <v>pc</v>
      </c>
      <c r="N500" s="6" t="n">
        <f aca="false">ROUND($L500/INDEX(Items!$F$5:$F$62,MATCH($E500,Items!$A$5:$A$62,0)),4)</f>
        <v>0.04</v>
      </c>
      <c r="O500" s="6"/>
    </row>
    <row r="501" customFormat="false" ht="15" hidden="false" customHeight="false" outlineLevel="0" collapsed="false">
      <c r="A501" s="6" t="n">
        <v>53</v>
      </c>
      <c r="B501" s="6" t="s">
        <v>357</v>
      </c>
      <c r="C501" s="6" t="s">
        <v>352</v>
      </c>
      <c r="D501" s="6" t="s">
        <v>171</v>
      </c>
      <c r="E501" s="6" t="s">
        <v>109</v>
      </c>
      <c r="F501" s="6" t="str">
        <f aca="false">INDEX(Items!$B$5:$B$62,MATCH($E501,Items!$A$5:$A$62,0))</f>
        <v>FACIAL TREATMENT PRODUCTS (PROFESSIONAL USE)</v>
      </c>
      <c r="G501" s="6" t="str">
        <f aca="false">INDEX(Items!$C$5:$C$62,MATCH($E501,Items!$A$5:$A$62,0))</f>
        <v>Bulk</v>
      </c>
      <c r="H501" s="6" t="s">
        <v>161</v>
      </c>
      <c r="I501" s="6" t="s">
        <v>160</v>
      </c>
      <c r="J501" s="6" t="n">
        <f aca="false">SUMIFS(Kits!$C$5:$C$163,Kits!$A$5:$A$163,$D501,Kits!$B$5:$B$163,$E501)</f>
        <v>30</v>
      </c>
      <c r="K501" s="6" t="n">
        <f aca="false">INDEX(Services!$F$5:$F$85,MATCH($A501,Services!$A$5:$A$85,0))</f>
        <v>1</v>
      </c>
      <c r="L501" s="6" t="n">
        <f aca="false">IF($H501="Auto-deduct",IF($G501="Countable",ROUNDUP($J501*IF($I501="Y",$K501,1),0),ROUND($J501*IF($I501="Y",$K501,1),1)),$J501)</f>
        <v>30</v>
      </c>
      <c r="M501" s="6" t="str">
        <f aca="false">INDEX(Items!$E$5:$E$62,MATCH($E501,Items!$A$5:$A$62,0))</f>
        <v>g</v>
      </c>
      <c r="N501" s="6" t="n">
        <f aca="false">ROUND($L501/INDEX(Items!$F$5:$F$62,MATCH($E501,Items!$A$5:$A$62,0)),4)</f>
        <v>0.06</v>
      </c>
      <c r="O501" s="6"/>
    </row>
    <row r="502" customFormat="false" ht="15" hidden="false" customHeight="false" outlineLevel="0" collapsed="false">
      <c r="A502" s="6" t="n">
        <v>53</v>
      </c>
      <c r="B502" s="6" t="s">
        <v>357</v>
      </c>
      <c r="C502" s="6" t="s">
        <v>352</v>
      </c>
      <c r="D502" s="6" t="s">
        <v>171</v>
      </c>
      <c r="E502" s="6" t="s">
        <v>74</v>
      </c>
      <c r="F502" s="6" t="str">
        <f aca="false">INDEX(Items!$B$5:$B$62,MATCH($E502,Items!$A$5:$A$62,0))</f>
        <v>DISPOSABLES &amp; CLINIC CONSUMABLES</v>
      </c>
      <c r="G502" s="6" t="str">
        <f aca="false">INDEX(Items!$C$5:$C$62,MATCH($E502,Items!$A$5:$A$62,0))</f>
        <v>Bulk</v>
      </c>
      <c r="H502" s="6" t="s">
        <v>161</v>
      </c>
      <c r="I502" s="6" t="s">
        <v>160</v>
      </c>
      <c r="J502" s="6" t="n">
        <f aca="false">SUMIFS(Kits!$C$5:$C$163,Kits!$A$5:$A$163,$D502,Kits!$B$5:$B$163,$E502)</f>
        <v>1</v>
      </c>
      <c r="K502" s="6" t="n">
        <f aca="false">INDEX(Services!$F$5:$F$85,MATCH($A502,Services!$A$5:$A$85,0))</f>
        <v>1</v>
      </c>
      <c r="L502" s="6" t="n">
        <f aca="false">IF($H502="Auto-deduct",IF($G502="Countable",ROUNDUP($J502*IF($I502="Y",$K502,1),0),ROUND($J502*IF($I502="Y",$K502,1),1)),$J502)</f>
        <v>1</v>
      </c>
      <c r="M502" s="6" t="str">
        <f aca="false">INDEX(Items!$E$5:$E$62,MATCH($E502,Items!$A$5:$A$62,0))</f>
        <v>pc</v>
      </c>
      <c r="N502" s="6" t="n">
        <f aca="false">ROUND($L502/INDEX(Items!$F$5:$F$62,MATCH($E502,Items!$A$5:$A$62,0)),4)</f>
        <v>0.01</v>
      </c>
      <c r="O502" s="6"/>
    </row>
    <row r="503" customFormat="false" ht="15" hidden="false" customHeight="false" outlineLevel="0" collapsed="false">
      <c r="A503" s="6" t="n">
        <v>53</v>
      </c>
      <c r="B503" s="6" t="s">
        <v>357</v>
      </c>
      <c r="C503" s="6" t="s">
        <v>352</v>
      </c>
      <c r="D503" s="6" t="s">
        <v>171</v>
      </c>
      <c r="E503" s="6" t="s">
        <v>135</v>
      </c>
      <c r="F503" s="6" t="str">
        <f aca="false">INDEX(Items!$B$5:$B$62,MATCH($E503,Items!$A$5:$A$62,0))</f>
        <v>SKINCARE PRODUCTS (RETAIL / AFTERCARE)</v>
      </c>
      <c r="G503" s="6" t="str">
        <f aca="false">INDEX(Items!$C$5:$C$62,MATCH($E503,Items!$A$5:$A$62,0))</f>
        <v>Bulk</v>
      </c>
      <c r="H503" s="6" t="s">
        <v>161</v>
      </c>
      <c r="I503" s="6" t="s">
        <v>160</v>
      </c>
      <c r="J503" s="6" t="n">
        <f aca="false">SUMIFS(Kits!$C$5:$C$163,Kits!$A$5:$A$163,$D503,Kits!$B$5:$B$163,$E503)</f>
        <v>3</v>
      </c>
      <c r="K503" s="6" t="n">
        <f aca="false">INDEX(Services!$F$5:$F$85,MATCH($A503,Services!$A$5:$A$85,0))</f>
        <v>1</v>
      </c>
      <c r="L503" s="6" t="n">
        <f aca="false">IF($H503="Auto-deduct",IF($G503="Countable",ROUNDUP($J503*IF($I503="Y",$K503,1),0),ROUND($J503*IF($I503="Y",$K503,1),1)),$J503)</f>
        <v>3</v>
      </c>
      <c r="M503" s="6" t="str">
        <f aca="false">INDEX(Items!$E$5:$E$62,MATCH($E503,Items!$A$5:$A$62,0))</f>
        <v>g</v>
      </c>
      <c r="N503" s="6" t="n">
        <f aca="false">ROUND($L503/INDEX(Items!$F$5:$F$62,MATCH($E503,Items!$A$5:$A$62,0)),4)</f>
        <v>0.06</v>
      </c>
      <c r="O503" s="6"/>
    </row>
    <row r="504" customFormat="false" ht="15" hidden="false" customHeight="false" outlineLevel="0" collapsed="false">
      <c r="A504" s="6" t="n">
        <v>54</v>
      </c>
      <c r="B504" s="6" t="s">
        <v>360</v>
      </c>
      <c r="C504" s="6" t="s">
        <v>352</v>
      </c>
      <c r="D504" s="6" t="s">
        <v>159</v>
      </c>
      <c r="E504" s="6" t="s">
        <v>52</v>
      </c>
      <c r="F504" s="6" t="str">
        <f aca="false">INDEX(Items!$B$5:$B$62,MATCH($E504,Items!$A$5:$A$62,0))</f>
        <v>DISPOSABLES &amp; CLINIC CONSUMABLES</v>
      </c>
      <c r="G504" s="6" t="str">
        <f aca="false">INDEX(Items!$C$5:$C$62,MATCH($E504,Items!$A$5:$A$62,0))</f>
        <v>Countable</v>
      </c>
      <c r="H504" s="6" t="s">
        <v>161</v>
      </c>
      <c r="I504" s="6" t="s">
        <v>160</v>
      </c>
      <c r="J504" s="6" t="n">
        <f aca="false">SUMIFS(Kits!$C$5:$C$163,Kits!$A$5:$A$163,$D504,Kits!$B$5:$B$163,$E504)</f>
        <v>1</v>
      </c>
      <c r="K504" s="6" t="n">
        <f aca="false">INDEX(Services!$F$5:$F$85,MATCH($A504,Services!$A$5:$A$85,0))</f>
        <v>1</v>
      </c>
      <c r="L504" s="6" t="n">
        <f aca="false">IF($H504="Auto-deduct",IF($G504="Countable",ROUNDUP($J504*IF($I504="Y",$K504,1),0),ROUND($J504*IF($I504="Y",$K504,1),1)),$J504)</f>
        <v>1</v>
      </c>
      <c r="M504" s="6" t="str">
        <f aca="false">INDEX(Items!$E$5:$E$62,MATCH($E504,Items!$A$5:$A$62,0))</f>
        <v>pc</v>
      </c>
      <c r="N504" s="6" t="n">
        <f aca="false">ROUND($L504/INDEX(Items!$F$5:$F$62,MATCH($E504,Items!$A$5:$A$62,0)),4)</f>
        <v>1</v>
      </c>
      <c r="O504" s="6"/>
    </row>
    <row r="505" customFormat="false" ht="15" hidden="false" customHeight="false" outlineLevel="0" collapsed="false">
      <c r="A505" s="6" t="n">
        <v>54</v>
      </c>
      <c r="B505" s="6" t="s">
        <v>360</v>
      </c>
      <c r="C505" s="6" t="s">
        <v>352</v>
      </c>
      <c r="D505" s="6" t="s">
        <v>159</v>
      </c>
      <c r="E505" s="6" t="s">
        <v>53</v>
      </c>
      <c r="F505" s="6" t="str">
        <f aca="false">INDEX(Items!$B$5:$B$62,MATCH($E505,Items!$A$5:$A$62,0))</f>
        <v>DISPOSABLES &amp; CLINIC CONSUMABLES</v>
      </c>
      <c r="G505" s="6" t="str">
        <f aca="false">INDEX(Items!$C$5:$C$62,MATCH($E505,Items!$A$5:$A$62,0))</f>
        <v>Countable</v>
      </c>
      <c r="H505" s="6" t="s">
        <v>161</v>
      </c>
      <c r="I505" s="6" t="s">
        <v>160</v>
      </c>
      <c r="J505" s="6" t="n">
        <f aca="false">SUMIFS(Kits!$C$5:$C$163,Kits!$A$5:$A$163,$D505,Kits!$B$5:$B$163,$E505)</f>
        <v>1</v>
      </c>
      <c r="K505" s="6" t="n">
        <f aca="false">INDEX(Services!$F$5:$F$85,MATCH($A505,Services!$A$5:$A$85,0))</f>
        <v>1</v>
      </c>
      <c r="L505" s="6" t="n">
        <f aca="false">IF($H505="Auto-deduct",IF($G505="Countable",ROUNDUP($J505*IF($I505="Y",$K505,1),0),ROUND($J505*IF($I505="Y",$K505,1),1)),$J505)</f>
        <v>1</v>
      </c>
      <c r="M505" s="6" t="str">
        <f aca="false">INDEX(Items!$E$5:$E$62,MATCH($E505,Items!$A$5:$A$62,0))</f>
        <v>pair</v>
      </c>
      <c r="N505" s="6" t="n">
        <f aca="false">ROUND($L505/INDEX(Items!$F$5:$F$62,MATCH($E505,Items!$A$5:$A$62,0)),4)</f>
        <v>1</v>
      </c>
      <c r="O505" s="6"/>
    </row>
    <row r="506" customFormat="false" ht="15" hidden="false" customHeight="false" outlineLevel="0" collapsed="false">
      <c r="A506" s="6" t="n">
        <v>54</v>
      </c>
      <c r="B506" s="6" t="s">
        <v>360</v>
      </c>
      <c r="C506" s="6" t="s">
        <v>352</v>
      </c>
      <c r="D506" s="6" t="s">
        <v>159</v>
      </c>
      <c r="E506" s="6" t="s">
        <v>88</v>
      </c>
      <c r="F506" s="6" t="str">
        <f aca="false">INDEX(Items!$B$5:$B$62,MATCH($E506,Items!$A$5:$A$62,0))</f>
        <v>DISPOSABLES &amp; CLINIC CONSUMABLES</v>
      </c>
      <c r="G506" s="6" t="str">
        <f aca="false">INDEX(Items!$C$5:$C$62,MATCH($E506,Items!$A$5:$A$62,0))</f>
        <v>Bulk</v>
      </c>
      <c r="H506" s="6" t="s">
        <v>161</v>
      </c>
      <c r="I506" s="6" t="s">
        <v>160</v>
      </c>
      <c r="J506" s="6" t="n">
        <f aca="false">SUMIFS(Kits!$C$5:$C$163,Kits!$A$5:$A$163,$D506,Kits!$B$5:$B$163,$E506)</f>
        <v>5</v>
      </c>
      <c r="K506" s="6" t="n">
        <f aca="false">INDEX(Services!$F$5:$F$85,MATCH($A506,Services!$A$5:$A$85,0))</f>
        <v>1</v>
      </c>
      <c r="L506" s="6" t="n">
        <f aca="false">IF($H506="Auto-deduct",IF($G506="Countable",ROUNDUP($J506*IF($I506="Y",$K506,1),0),ROUND($J506*IF($I506="Y",$K506,1),1)),$J506)</f>
        <v>5</v>
      </c>
      <c r="M506" s="6" t="str">
        <f aca="false">INDEX(Items!$E$5:$E$62,MATCH($E506,Items!$A$5:$A$62,0))</f>
        <v>mL</v>
      </c>
      <c r="N506" s="6" t="n">
        <f aca="false">ROUND($L506/INDEX(Items!$F$5:$F$62,MATCH($E506,Items!$A$5:$A$62,0)),4)</f>
        <v>0.01</v>
      </c>
      <c r="O506" s="6"/>
    </row>
    <row r="507" customFormat="false" ht="15" hidden="false" customHeight="false" outlineLevel="0" collapsed="false">
      <c r="A507" s="6" t="n">
        <v>54</v>
      </c>
      <c r="B507" s="6" t="s">
        <v>360</v>
      </c>
      <c r="C507" s="6" t="s">
        <v>352</v>
      </c>
      <c r="D507" s="6" t="s">
        <v>165</v>
      </c>
      <c r="E507" s="6" t="s">
        <v>50</v>
      </c>
      <c r="F507" s="6" t="str">
        <f aca="false">INDEX(Items!$B$5:$B$62,MATCH($E507,Items!$A$5:$A$62,0))</f>
        <v>DISPOSABLES &amp; CLINIC CONSUMABLES</v>
      </c>
      <c r="G507" s="6" t="str">
        <f aca="false">INDEX(Items!$C$5:$C$62,MATCH($E507,Items!$A$5:$A$62,0))</f>
        <v>Countable</v>
      </c>
      <c r="H507" s="6" t="s">
        <v>161</v>
      </c>
      <c r="I507" s="6" t="s">
        <v>160</v>
      </c>
      <c r="J507" s="6" t="n">
        <f aca="false">SUMIFS(Kits!$C$5:$C$163,Kits!$A$5:$A$163,$D507,Kits!$B$5:$B$163,$E507)</f>
        <v>1</v>
      </c>
      <c r="K507" s="6" t="n">
        <f aca="false">INDEX(Services!$F$5:$F$85,MATCH($A507,Services!$A$5:$A$85,0))</f>
        <v>1</v>
      </c>
      <c r="L507" s="6" t="n">
        <f aca="false">IF($H507="Auto-deduct",IF($G507="Countable",ROUNDUP($J507*IF($I507="Y",$K507,1),0),ROUND($J507*IF($I507="Y",$K507,1),1)),$J507)</f>
        <v>1</v>
      </c>
      <c r="M507" s="6" t="str">
        <f aca="false">INDEX(Items!$E$5:$E$62,MATCH($E507,Items!$A$5:$A$62,0))</f>
        <v>pc</v>
      </c>
      <c r="N507" s="6" t="n">
        <f aca="false">ROUND($L507/INDEX(Items!$F$5:$F$62,MATCH($E507,Items!$A$5:$A$62,0)),4)</f>
        <v>1</v>
      </c>
      <c r="O507" s="6"/>
    </row>
    <row r="508" customFormat="false" ht="15" hidden="false" customHeight="false" outlineLevel="0" collapsed="false">
      <c r="A508" s="6" t="n">
        <v>54</v>
      </c>
      <c r="B508" s="6" t="s">
        <v>360</v>
      </c>
      <c r="C508" s="6" t="s">
        <v>352</v>
      </c>
      <c r="D508" s="6" t="s">
        <v>165</v>
      </c>
      <c r="E508" s="6" t="s">
        <v>98</v>
      </c>
      <c r="F508" s="6" t="str">
        <f aca="false">INDEX(Items!$B$5:$B$62,MATCH($E508,Items!$A$5:$A$62,0))</f>
        <v>FACIAL / TREATMENT PREP PRODUCTS</v>
      </c>
      <c r="G508" s="6" t="str">
        <f aca="false">INDEX(Items!$C$5:$C$62,MATCH($E508,Items!$A$5:$A$62,0))</f>
        <v>Bulk</v>
      </c>
      <c r="H508" s="6" t="s">
        <v>161</v>
      </c>
      <c r="I508" s="6" t="s">
        <v>160</v>
      </c>
      <c r="J508" s="6" t="n">
        <f aca="false">SUMIFS(Kits!$C$5:$C$163,Kits!$A$5:$A$163,$D508,Kits!$B$5:$B$163,$E508)</f>
        <v>5</v>
      </c>
      <c r="K508" s="6" t="n">
        <f aca="false">INDEX(Services!$F$5:$F$85,MATCH($A508,Services!$A$5:$A$85,0))</f>
        <v>1</v>
      </c>
      <c r="L508" s="6" t="n">
        <f aca="false">IF($H508="Auto-deduct",IF($G508="Countable",ROUNDUP($J508*IF($I508="Y",$K508,1),0),ROUND($J508*IF($I508="Y",$K508,1),1)),$J508)</f>
        <v>5</v>
      </c>
      <c r="M508" s="6" t="str">
        <f aca="false">INDEX(Items!$E$5:$E$62,MATCH($E508,Items!$A$5:$A$62,0))</f>
        <v>mL</v>
      </c>
      <c r="N508" s="6" t="n">
        <f aca="false">ROUND($L508/INDEX(Items!$F$5:$F$62,MATCH($E508,Items!$A$5:$A$62,0)),4)</f>
        <v>0.01</v>
      </c>
      <c r="O508" s="6"/>
    </row>
    <row r="509" customFormat="false" ht="15" hidden="false" customHeight="false" outlineLevel="0" collapsed="false">
      <c r="A509" s="6" t="n">
        <v>54</v>
      </c>
      <c r="B509" s="6" t="s">
        <v>360</v>
      </c>
      <c r="C509" s="6" t="s">
        <v>352</v>
      </c>
      <c r="D509" s="6" t="s">
        <v>165</v>
      </c>
      <c r="E509" s="6" t="s">
        <v>92</v>
      </c>
      <c r="F509" s="6" t="str">
        <f aca="false">INDEX(Items!$B$5:$B$62,MATCH($E509,Items!$A$5:$A$62,0))</f>
        <v>FACIAL / TREATMENT PREP PRODUCTS</v>
      </c>
      <c r="G509" s="6" t="str">
        <f aca="false">INDEX(Items!$C$5:$C$62,MATCH($E509,Items!$A$5:$A$62,0))</f>
        <v>Bulk</v>
      </c>
      <c r="H509" s="6" t="s">
        <v>161</v>
      </c>
      <c r="I509" s="6" t="s">
        <v>160</v>
      </c>
      <c r="J509" s="6" t="n">
        <f aca="false">SUMIFS(Kits!$C$5:$C$163,Kits!$A$5:$A$163,$D509,Kits!$B$5:$B$163,$E509)</f>
        <v>10</v>
      </c>
      <c r="K509" s="6" t="n">
        <f aca="false">INDEX(Services!$F$5:$F$85,MATCH($A509,Services!$A$5:$A$85,0))</f>
        <v>1</v>
      </c>
      <c r="L509" s="6" t="n">
        <f aca="false">IF($H509="Auto-deduct",IF($G509="Countable",ROUNDUP($J509*IF($I509="Y",$K509,1),0),ROUND($J509*IF($I509="Y",$K509,1),1)),$J509)</f>
        <v>10</v>
      </c>
      <c r="M509" s="6" t="str">
        <f aca="false">INDEX(Items!$E$5:$E$62,MATCH($E509,Items!$A$5:$A$62,0))</f>
        <v>mL</v>
      </c>
      <c r="N509" s="6" t="n">
        <f aca="false">ROUND($L509/INDEX(Items!$F$5:$F$62,MATCH($E509,Items!$A$5:$A$62,0)),4)</f>
        <v>0.02</v>
      </c>
      <c r="O509" s="6"/>
    </row>
    <row r="510" customFormat="false" ht="15" hidden="false" customHeight="false" outlineLevel="0" collapsed="false">
      <c r="A510" s="6" t="n">
        <v>54</v>
      </c>
      <c r="B510" s="6" t="s">
        <v>360</v>
      </c>
      <c r="C510" s="6" t="s">
        <v>352</v>
      </c>
      <c r="D510" s="6" t="s">
        <v>165</v>
      </c>
      <c r="E510" s="6" t="s">
        <v>69</v>
      </c>
      <c r="F510" s="6" t="str">
        <f aca="false">INDEX(Items!$B$5:$B$62,MATCH($E510,Items!$A$5:$A$62,0))</f>
        <v>DISPOSABLES &amp; CLINIC CONSUMABLES</v>
      </c>
      <c r="G510" s="6" t="str">
        <f aca="false">INDEX(Items!$C$5:$C$62,MATCH($E510,Items!$A$5:$A$62,0))</f>
        <v>Bulk</v>
      </c>
      <c r="H510" s="6" t="s">
        <v>161</v>
      </c>
      <c r="I510" s="6" t="s">
        <v>160</v>
      </c>
      <c r="J510" s="6" t="n">
        <f aca="false">SUMIFS(Kits!$C$5:$C$163,Kits!$A$5:$A$163,$D510,Kits!$B$5:$B$163,$E510)</f>
        <v>5</v>
      </c>
      <c r="K510" s="6" t="n">
        <f aca="false">INDEX(Services!$F$5:$F$85,MATCH($A510,Services!$A$5:$A$85,0))</f>
        <v>1</v>
      </c>
      <c r="L510" s="6" t="n">
        <f aca="false">IF($H510="Auto-deduct",IF($G510="Countable",ROUNDUP($J510*IF($I510="Y",$K510,1),0),ROUND($J510*IF($I510="Y",$K510,1),1)),$J510)</f>
        <v>5</v>
      </c>
      <c r="M510" s="6" t="str">
        <f aca="false">INDEX(Items!$E$5:$E$62,MATCH($E510,Items!$A$5:$A$62,0))</f>
        <v>g</v>
      </c>
      <c r="N510" s="6" t="n">
        <f aca="false">ROUND($L510/INDEX(Items!$F$5:$F$62,MATCH($E510,Items!$A$5:$A$62,0)),4)</f>
        <v>0.0125</v>
      </c>
      <c r="O510" s="6"/>
    </row>
    <row r="511" customFormat="false" ht="15" hidden="false" customHeight="false" outlineLevel="0" collapsed="false">
      <c r="A511" s="6" t="n">
        <v>54</v>
      </c>
      <c r="B511" s="6" t="s">
        <v>360</v>
      </c>
      <c r="C511" s="6" t="s">
        <v>352</v>
      </c>
      <c r="D511" s="6" t="s">
        <v>165</v>
      </c>
      <c r="E511" s="6" t="s">
        <v>58</v>
      </c>
      <c r="F511" s="6" t="str">
        <f aca="false">INDEX(Items!$B$5:$B$62,MATCH($E511,Items!$A$5:$A$62,0))</f>
        <v>DISPOSABLES &amp; CLINIC CONSUMABLES</v>
      </c>
      <c r="G511" s="6" t="str">
        <f aca="false">INDEX(Items!$C$5:$C$62,MATCH($E511,Items!$A$5:$A$62,0))</f>
        <v>Bulk</v>
      </c>
      <c r="H511" s="6" t="s">
        <v>161</v>
      </c>
      <c r="I511" s="6" t="s">
        <v>160</v>
      </c>
      <c r="J511" s="6" t="n">
        <f aca="false">SUMIFS(Kits!$C$5:$C$163,Kits!$A$5:$A$163,$D511,Kits!$B$5:$B$163,$E511)</f>
        <v>6</v>
      </c>
      <c r="K511" s="6" t="n">
        <f aca="false">INDEX(Services!$F$5:$F$85,MATCH($A511,Services!$A$5:$A$85,0))</f>
        <v>1</v>
      </c>
      <c r="L511" s="6" t="n">
        <f aca="false">IF($H511="Auto-deduct",IF($G511="Countable",ROUNDUP($J511*IF($I511="Y",$K511,1),0),ROUND($J511*IF($I511="Y",$K511,1),1)),$J511)</f>
        <v>6</v>
      </c>
      <c r="M511" s="6" t="str">
        <f aca="false">INDEX(Items!$E$5:$E$62,MATCH($E511,Items!$A$5:$A$62,0))</f>
        <v>sheet</v>
      </c>
      <c r="N511" s="6" t="n">
        <f aca="false">ROUND($L511/INDEX(Items!$F$5:$F$62,MATCH($E511,Items!$A$5:$A$62,0)),4)</f>
        <v>0.03</v>
      </c>
      <c r="O511" s="6"/>
    </row>
    <row r="512" customFormat="false" ht="15" hidden="false" customHeight="false" outlineLevel="0" collapsed="false">
      <c r="A512" s="6" t="n">
        <v>54</v>
      </c>
      <c r="B512" s="6" t="s">
        <v>360</v>
      </c>
      <c r="C512" s="6" t="s">
        <v>352</v>
      </c>
      <c r="D512" s="6" t="s">
        <v>179</v>
      </c>
      <c r="E512" s="6" t="s">
        <v>112</v>
      </c>
      <c r="F512" s="6" t="str">
        <f aca="false">INDEX(Items!$B$5:$B$62,MATCH($E512,Items!$A$5:$A$62,0))</f>
        <v>FACIAL TREATMENT PRODUCTS (PROFESSIONAL USE)</v>
      </c>
      <c r="G512" s="6" t="str">
        <f aca="false">INDEX(Items!$C$5:$C$62,MATCH($E512,Items!$A$5:$A$62,0))</f>
        <v>Bulk</v>
      </c>
      <c r="H512" s="6" t="s">
        <v>161</v>
      </c>
      <c r="I512" s="6" t="s">
        <v>160</v>
      </c>
      <c r="J512" s="6" t="n">
        <f aca="false">SUMIFS(Kits!$C$5:$C$163,Kits!$A$5:$A$163,$D512,Kits!$B$5:$B$163,$E512)</f>
        <v>8</v>
      </c>
      <c r="K512" s="6" t="n">
        <f aca="false">INDEX(Services!$F$5:$F$85,MATCH($A512,Services!$A$5:$A$85,0))</f>
        <v>1</v>
      </c>
      <c r="L512" s="6" t="n">
        <f aca="false">IF($H512="Auto-deduct",IF($G512="Countable",ROUNDUP($J512*IF($I512="Y",$K512,1),0),ROUND($J512*IF($I512="Y",$K512,1),1)),$J512)</f>
        <v>8</v>
      </c>
      <c r="M512" s="6" t="str">
        <f aca="false">INDEX(Items!$E$5:$E$62,MATCH($E512,Items!$A$5:$A$62,0))</f>
        <v>g</v>
      </c>
      <c r="N512" s="6" t="n">
        <f aca="false">ROUND($L512/INDEX(Items!$F$5:$F$62,MATCH($E512,Items!$A$5:$A$62,0)),4)</f>
        <v>0.016</v>
      </c>
      <c r="O512" s="6"/>
    </row>
    <row r="513" customFormat="false" ht="15" hidden="false" customHeight="false" outlineLevel="0" collapsed="false">
      <c r="A513" s="6" t="n">
        <v>54</v>
      </c>
      <c r="B513" s="6" t="s">
        <v>360</v>
      </c>
      <c r="C513" s="6" t="s">
        <v>352</v>
      </c>
      <c r="D513" s="6" t="s">
        <v>179</v>
      </c>
      <c r="E513" s="6" t="s">
        <v>114</v>
      </c>
      <c r="F513" s="6" t="str">
        <f aca="false">INDEX(Items!$B$5:$B$62,MATCH($E513,Items!$A$5:$A$62,0))</f>
        <v>FACIAL TREATMENT PRODUCTS (PROFESSIONAL USE)</v>
      </c>
      <c r="G513" s="6" t="str">
        <f aca="false">INDEX(Items!$C$5:$C$62,MATCH($E513,Items!$A$5:$A$62,0))</f>
        <v>Bulk</v>
      </c>
      <c r="H513" s="6" t="s">
        <v>161</v>
      </c>
      <c r="I513" s="6" t="s">
        <v>160</v>
      </c>
      <c r="J513" s="6" t="n">
        <f aca="false">SUMIFS(Kits!$C$5:$C$163,Kits!$A$5:$A$163,$D513,Kits!$B$5:$B$163,$E513)</f>
        <v>10</v>
      </c>
      <c r="K513" s="6" t="n">
        <f aca="false">INDEX(Services!$F$5:$F$85,MATCH($A513,Services!$A$5:$A$85,0))</f>
        <v>1</v>
      </c>
      <c r="L513" s="6" t="n">
        <f aca="false">IF($H513="Auto-deduct",IF($G513="Countable",ROUNDUP($J513*IF($I513="Y",$K513,1),0),ROUND($J513*IF($I513="Y",$K513,1),1)),$J513)</f>
        <v>10</v>
      </c>
      <c r="M513" s="6" t="str">
        <f aca="false">INDEX(Items!$E$5:$E$62,MATCH($E513,Items!$A$5:$A$62,0))</f>
        <v>mL</v>
      </c>
      <c r="N513" s="6" t="n">
        <f aca="false">ROUND($L513/INDEX(Items!$F$5:$F$62,MATCH($E513,Items!$A$5:$A$62,0)),4)</f>
        <v>0.01</v>
      </c>
      <c r="O513" s="6"/>
    </row>
    <row r="514" customFormat="false" ht="15" hidden="false" customHeight="false" outlineLevel="0" collapsed="false">
      <c r="A514" s="6" t="n">
        <v>54</v>
      </c>
      <c r="B514" s="6" t="s">
        <v>360</v>
      </c>
      <c r="C514" s="6" t="s">
        <v>352</v>
      </c>
      <c r="D514" s="6" t="s">
        <v>179</v>
      </c>
      <c r="E514" s="6" t="s">
        <v>67</v>
      </c>
      <c r="F514" s="6" t="str">
        <f aca="false">INDEX(Items!$B$5:$B$62,MATCH($E514,Items!$A$5:$A$62,0))</f>
        <v>DISPOSABLES &amp; CLINIC CONSUMABLES</v>
      </c>
      <c r="G514" s="6" t="str">
        <f aca="false">INDEX(Items!$C$5:$C$62,MATCH($E514,Items!$A$5:$A$62,0))</f>
        <v>Bulk</v>
      </c>
      <c r="H514" s="6" t="s">
        <v>161</v>
      </c>
      <c r="I514" s="6" t="s">
        <v>160</v>
      </c>
      <c r="J514" s="6" t="n">
        <f aca="false">SUMIFS(Kits!$C$5:$C$163,Kits!$A$5:$A$163,$D514,Kits!$B$5:$B$163,$E514)</f>
        <v>6</v>
      </c>
      <c r="K514" s="6" t="n">
        <f aca="false">INDEX(Services!$F$5:$F$85,MATCH($A514,Services!$A$5:$A$85,0))</f>
        <v>1</v>
      </c>
      <c r="L514" s="6" t="n">
        <f aca="false">IF($H514="Auto-deduct",IF($G514="Countable",ROUNDUP($J514*IF($I514="Y",$K514,1),0),ROUND($J514*IF($I514="Y",$K514,1),1)),$J514)</f>
        <v>6</v>
      </c>
      <c r="M514" s="6" t="str">
        <f aca="false">INDEX(Items!$E$5:$E$62,MATCH($E514,Items!$A$5:$A$62,0))</f>
        <v>sheet</v>
      </c>
      <c r="N514" s="6" t="n">
        <f aca="false">ROUND($L514/INDEX(Items!$F$5:$F$62,MATCH($E514,Items!$A$5:$A$62,0)),4)</f>
        <v>0.06</v>
      </c>
      <c r="O514" s="6"/>
    </row>
    <row r="515" customFormat="false" ht="15" hidden="false" customHeight="false" outlineLevel="0" collapsed="false">
      <c r="A515" s="6" t="n">
        <v>54</v>
      </c>
      <c r="B515" s="6" t="s">
        <v>360</v>
      </c>
      <c r="C515" s="6" t="s">
        <v>352</v>
      </c>
      <c r="D515" s="6" t="s">
        <v>173</v>
      </c>
      <c r="E515" s="6" t="s">
        <v>107</v>
      </c>
      <c r="F515" s="6" t="str">
        <f aca="false">INDEX(Items!$B$5:$B$62,MATCH($E515,Items!$A$5:$A$62,0))</f>
        <v>FACIAL TREATMENT PRODUCTS (PROFESSIONAL USE)</v>
      </c>
      <c r="G515" s="6" t="str">
        <f aca="false">INDEX(Items!$C$5:$C$62,MATCH($E515,Items!$A$5:$A$62,0))</f>
        <v>Bulk</v>
      </c>
      <c r="H515" s="6" t="s">
        <v>161</v>
      </c>
      <c r="I515" s="6" t="s">
        <v>160</v>
      </c>
      <c r="J515" s="6" t="n">
        <f aca="false">SUMIFS(Kits!$C$5:$C$163,Kits!$A$5:$A$163,$D515,Kits!$B$5:$B$163,$E515)</f>
        <v>30</v>
      </c>
      <c r="K515" s="6" t="n">
        <f aca="false">INDEX(Services!$F$5:$F$85,MATCH($A515,Services!$A$5:$A$85,0))</f>
        <v>1</v>
      </c>
      <c r="L515" s="6" t="n">
        <f aca="false">IF($H515="Auto-deduct",IF($G515="Countable",ROUNDUP($J515*IF($I515="Y",$K515,1),0),ROUND($J515*IF($I515="Y",$K515,1),1)),$J515)</f>
        <v>30</v>
      </c>
      <c r="M515" s="6" t="str">
        <f aca="false">INDEX(Items!$E$5:$E$62,MATCH($E515,Items!$A$5:$A$62,0))</f>
        <v>g</v>
      </c>
      <c r="N515" s="6" t="n">
        <f aca="false">ROUND($L515/INDEX(Items!$F$5:$F$62,MATCH($E515,Items!$A$5:$A$62,0)),4)</f>
        <v>0.06</v>
      </c>
      <c r="O515" s="6"/>
    </row>
    <row r="516" customFormat="false" ht="15" hidden="false" customHeight="false" outlineLevel="0" collapsed="false">
      <c r="A516" s="6" t="n">
        <v>54</v>
      </c>
      <c r="B516" s="6" t="s">
        <v>360</v>
      </c>
      <c r="C516" s="6" t="s">
        <v>352</v>
      </c>
      <c r="D516" s="6" t="s">
        <v>173</v>
      </c>
      <c r="E516" s="6" t="s">
        <v>74</v>
      </c>
      <c r="F516" s="6" t="str">
        <f aca="false">INDEX(Items!$B$5:$B$62,MATCH($E516,Items!$A$5:$A$62,0))</f>
        <v>DISPOSABLES &amp; CLINIC CONSUMABLES</v>
      </c>
      <c r="G516" s="6" t="str">
        <f aca="false">INDEX(Items!$C$5:$C$62,MATCH($E516,Items!$A$5:$A$62,0))</f>
        <v>Bulk</v>
      </c>
      <c r="H516" s="6" t="s">
        <v>161</v>
      </c>
      <c r="I516" s="6" t="s">
        <v>160</v>
      </c>
      <c r="J516" s="6" t="n">
        <f aca="false">SUMIFS(Kits!$C$5:$C$163,Kits!$A$5:$A$163,$D516,Kits!$B$5:$B$163,$E516)</f>
        <v>1</v>
      </c>
      <c r="K516" s="6" t="n">
        <f aca="false">INDEX(Services!$F$5:$F$85,MATCH($A516,Services!$A$5:$A$85,0))</f>
        <v>1</v>
      </c>
      <c r="L516" s="6" t="n">
        <f aca="false">IF($H516="Auto-deduct",IF($G516="Countable",ROUNDUP($J516*IF($I516="Y",$K516,1),0),ROUND($J516*IF($I516="Y",$K516,1),1)),$J516)</f>
        <v>1</v>
      </c>
      <c r="M516" s="6" t="str">
        <f aca="false">INDEX(Items!$E$5:$E$62,MATCH($E516,Items!$A$5:$A$62,0))</f>
        <v>pc</v>
      </c>
      <c r="N516" s="6" t="n">
        <f aca="false">ROUND($L516/INDEX(Items!$F$5:$F$62,MATCH($E516,Items!$A$5:$A$62,0)),4)</f>
        <v>0.01</v>
      </c>
      <c r="O516" s="6"/>
    </row>
    <row r="517" customFormat="false" ht="15" hidden="false" customHeight="false" outlineLevel="0" collapsed="false">
      <c r="A517" s="6" t="n">
        <v>54</v>
      </c>
      <c r="B517" s="6" t="s">
        <v>360</v>
      </c>
      <c r="C517" s="6" t="s">
        <v>352</v>
      </c>
      <c r="D517" s="6" t="s">
        <v>173</v>
      </c>
      <c r="E517" s="6" t="s">
        <v>135</v>
      </c>
      <c r="F517" s="6" t="str">
        <f aca="false">INDEX(Items!$B$5:$B$62,MATCH($E517,Items!$A$5:$A$62,0))</f>
        <v>SKINCARE PRODUCTS (RETAIL / AFTERCARE)</v>
      </c>
      <c r="G517" s="6" t="str">
        <f aca="false">INDEX(Items!$C$5:$C$62,MATCH($E517,Items!$A$5:$A$62,0))</f>
        <v>Bulk</v>
      </c>
      <c r="H517" s="6" t="s">
        <v>161</v>
      </c>
      <c r="I517" s="6" t="s">
        <v>160</v>
      </c>
      <c r="J517" s="6" t="n">
        <f aca="false">SUMIFS(Kits!$C$5:$C$163,Kits!$A$5:$A$163,$D517,Kits!$B$5:$B$163,$E517)</f>
        <v>3</v>
      </c>
      <c r="K517" s="6" t="n">
        <f aca="false">INDEX(Services!$F$5:$F$85,MATCH($A517,Services!$A$5:$A$85,0))</f>
        <v>1</v>
      </c>
      <c r="L517" s="6" t="n">
        <f aca="false">IF($H517="Auto-deduct",IF($G517="Countable",ROUNDUP($J517*IF($I517="Y",$K517,1),0),ROUND($J517*IF($I517="Y",$K517,1),1)),$J517)</f>
        <v>3</v>
      </c>
      <c r="M517" s="6" t="str">
        <f aca="false">INDEX(Items!$E$5:$E$62,MATCH($E517,Items!$A$5:$A$62,0))</f>
        <v>g</v>
      </c>
      <c r="N517" s="6" t="n">
        <f aca="false">ROUND($L517/INDEX(Items!$F$5:$F$62,MATCH($E517,Items!$A$5:$A$62,0)),4)</f>
        <v>0.06</v>
      </c>
      <c r="O517" s="6"/>
    </row>
    <row r="518" customFormat="false" ht="15" hidden="false" customHeight="false" outlineLevel="0" collapsed="false">
      <c r="A518" s="6" t="n">
        <v>55</v>
      </c>
      <c r="B518" s="6" t="s">
        <v>362</v>
      </c>
      <c r="C518" s="6" t="s">
        <v>352</v>
      </c>
      <c r="D518" s="6" t="s">
        <v>159</v>
      </c>
      <c r="E518" s="6" t="s">
        <v>52</v>
      </c>
      <c r="F518" s="6" t="str">
        <f aca="false">INDEX(Items!$B$5:$B$62,MATCH($E518,Items!$A$5:$A$62,0))</f>
        <v>DISPOSABLES &amp; CLINIC CONSUMABLES</v>
      </c>
      <c r="G518" s="6" t="str">
        <f aca="false">INDEX(Items!$C$5:$C$62,MATCH($E518,Items!$A$5:$A$62,0))</f>
        <v>Countable</v>
      </c>
      <c r="H518" s="6" t="s">
        <v>161</v>
      </c>
      <c r="I518" s="6" t="s">
        <v>160</v>
      </c>
      <c r="J518" s="6" t="n">
        <f aca="false">SUMIFS(Kits!$C$5:$C$163,Kits!$A$5:$A$163,$D518,Kits!$B$5:$B$163,$E518)</f>
        <v>1</v>
      </c>
      <c r="K518" s="6" t="n">
        <f aca="false">INDEX(Services!$F$5:$F$85,MATCH($A518,Services!$A$5:$A$85,0))</f>
        <v>1</v>
      </c>
      <c r="L518" s="6" t="n">
        <f aca="false">IF($H518="Auto-deduct",IF($G518="Countable",ROUNDUP($J518*IF($I518="Y",$K518,1),0),ROUND($J518*IF($I518="Y",$K518,1),1)),$J518)</f>
        <v>1</v>
      </c>
      <c r="M518" s="6" t="str">
        <f aca="false">INDEX(Items!$E$5:$E$62,MATCH($E518,Items!$A$5:$A$62,0))</f>
        <v>pc</v>
      </c>
      <c r="N518" s="6" t="n">
        <f aca="false">ROUND($L518/INDEX(Items!$F$5:$F$62,MATCH($E518,Items!$A$5:$A$62,0)),4)</f>
        <v>1</v>
      </c>
      <c r="O518" s="6"/>
    </row>
    <row r="519" customFormat="false" ht="15" hidden="false" customHeight="false" outlineLevel="0" collapsed="false">
      <c r="A519" s="6" t="n">
        <v>55</v>
      </c>
      <c r="B519" s="6" t="s">
        <v>362</v>
      </c>
      <c r="C519" s="6" t="s">
        <v>352</v>
      </c>
      <c r="D519" s="6" t="s">
        <v>159</v>
      </c>
      <c r="E519" s="6" t="s">
        <v>53</v>
      </c>
      <c r="F519" s="6" t="str">
        <f aca="false">INDEX(Items!$B$5:$B$62,MATCH($E519,Items!$A$5:$A$62,0))</f>
        <v>DISPOSABLES &amp; CLINIC CONSUMABLES</v>
      </c>
      <c r="G519" s="6" t="str">
        <f aca="false">INDEX(Items!$C$5:$C$62,MATCH($E519,Items!$A$5:$A$62,0))</f>
        <v>Countable</v>
      </c>
      <c r="H519" s="6" t="s">
        <v>161</v>
      </c>
      <c r="I519" s="6" t="s">
        <v>160</v>
      </c>
      <c r="J519" s="6" t="n">
        <f aca="false">SUMIFS(Kits!$C$5:$C$163,Kits!$A$5:$A$163,$D519,Kits!$B$5:$B$163,$E519)</f>
        <v>1</v>
      </c>
      <c r="K519" s="6" t="n">
        <f aca="false">INDEX(Services!$F$5:$F$85,MATCH($A519,Services!$A$5:$A$85,0))</f>
        <v>1</v>
      </c>
      <c r="L519" s="6" t="n">
        <f aca="false">IF($H519="Auto-deduct",IF($G519="Countable",ROUNDUP($J519*IF($I519="Y",$K519,1),0),ROUND($J519*IF($I519="Y",$K519,1),1)),$J519)</f>
        <v>1</v>
      </c>
      <c r="M519" s="6" t="str">
        <f aca="false">INDEX(Items!$E$5:$E$62,MATCH($E519,Items!$A$5:$A$62,0))</f>
        <v>pair</v>
      </c>
      <c r="N519" s="6" t="n">
        <f aca="false">ROUND($L519/INDEX(Items!$F$5:$F$62,MATCH($E519,Items!$A$5:$A$62,0)),4)</f>
        <v>1</v>
      </c>
      <c r="O519" s="6"/>
    </row>
    <row r="520" customFormat="false" ht="15" hidden="false" customHeight="false" outlineLevel="0" collapsed="false">
      <c r="A520" s="6" t="n">
        <v>55</v>
      </c>
      <c r="B520" s="6" t="s">
        <v>362</v>
      </c>
      <c r="C520" s="6" t="s">
        <v>352</v>
      </c>
      <c r="D520" s="6" t="s">
        <v>159</v>
      </c>
      <c r="E520" s="6" t="s">
        <v>88</v>
      </c>
      <c r="F520" s="6" t="str">
        <f aca="false">INDEX(Items!$B$5:$B$62,MATCH($E520,Items!$A$5:$A$62,0))</f>
        <v>DISPOSABLES &amp; CLINIC CONSUMABLES</v>
      </c>
      <c r="G520" s="6" t="str">
        <f aca="false">INDEX(Items!$C$5:$C$62,MATCH($E520,Items!$A$5:$A$62,0))</f>
        <v>Bulk</v>
      </c>
      <c r="H520" s="6" t="s">
        <v>161</v>
      </c>
      <c r="I520" s="6" t="s">
        <v>160</v>
      </c>
      <c r="J520" s="6" t="n">
        <f aca="false">SUMIFS(Kits!$C$5:$C$163,Kits!$A$5:$A$163,$D520,Kits!$B$5:$B$163,$E520)</f>
        <v>5</v>
      </c>
      <c r="K520" s="6" t="n">
        <f aca="false">INDEX(Services!$F$5:$F$85,MATCH($A520,Services!$A$5:$A$85,0))</f>
        <v>1</v>
      </c>
      <c r="L520" s="6" t="n">
        <f aca="false">IF($H520="Auto-deduct",IF($G520="Countable",ROUNDUP($J520*IF($I520="Y",$K520,1),0),ROUND($J520*IF($I520="Y",$K520,1),1)),$J520)</f>
        <v>5</v>
      </c>
      <c r="M520" s="6" t="str">
        <f aca="false">INDEX(Items!$E$5:$E$62,MATCH($E520,Items!$A$5:$A$62,0))</f>
        <v>mL</v>
      </c>
      <c r="N520" s="6" t="n">
        <f aca="false">ROUND($L520/INDEX(Items!$F$5:$F$62,MATCH($E520,Items!$A$5:$A$62,0)),4)</f>
        <v>0.01</v>
      </c>
      <c r="O520" s="6"/>
    </row>
    <row r="521" customFormat="false" ht="15" hidden="false" customHeight="false" outlineLevel="0" collapsed="false">
      <c r="A521" s="6" t="n">
        <v>55</v>
      </c>
      <c r="B521" s="6" t="s">
        <v>362</v>
      </c>
      <c r="C521" s="6" t="s">
        <v>352</v>
      </c>
      <c r="D521" s="6" t="s">
        <v>165</v>
      </c>
      <c r="E521" s="6" t="s">
        <v>50</v>
      </c>
      <c r="F521" s="6" t="str">
        <f aca="false">INDEX(Items!$B$5:$B$62,MATCH($E521,Items!$A$5:$A$62,0))</f>
        <v>DISPOSABLES &amp; CLINIC CONSUMABLES</v>
      </c>
      <c r="G521" s="6" t="str">
        <f aca="false">INDEX(Items!$C$5:$C$62,MATCH($E521,Items!$A$5:$A$62,0))</f>
        <v>Countable</v>
      </c>
      <c r="H521" s="6" t="s">
        <v>161</v>
      </c>
      <c r="I521" s="6" t="s">
        <v>160</v>
      </c>
      <c r="J521" s="6" t="n">
        <f aca="false">SUMIFS(Kits!$C$5:$C$163,Kits!$A$5:$A$163,$D521,Kits!$B$5:$B$163,$E521)</f>
        <v>1</v>
      </c>
      <c r="K521" s="6" t="n">
        <f aca="false">INDEX(Services!$F$5:$F$85,MATCH($A521,Services!$A$5:$A$85,0))</f>
        <v>1</v>
      </c>
      <c r="L521" s="6" t="n">
        <f aca="false">IF($H521="Auto-deduct",IF($G521="Countable",ROUNDUP($J521*IF($I521="Y",$K521,1),0),ROUND($J521*IF($I521="Y",$K521,1),1)),$J521)</f>
        <v>1</v>
      </c>
      <c r="M521" s="6" t="str">
        <f aca="false">INDEX(Items!$E$5:$E$62,MATCH($E521,Items!$A$5:$A$62,0))</f>
        <v>pc</v>
      </c>
      <c r="N521" s="6" t="n">
        <f aca="false">ROUND($L521/INDEX(Items!$F$5:$F$62,MATCH($E521,Items!$A$5:$A$62,0)),4)</f>
        <v>1</v>
      </c>
      <c r="O521" s="6"/>
    </row>
    <row r="522" customFormat="false" ht="15" hidden="false" customHeight="false" outlineLevel="0" collapsed="false">
      <c r="A522" s="6" t="n">
        <v>55</v>
      </c>
      <c r="B522" s="6" t="s">
        <v>362</v>
      </c>
      <c r="C522" s="6" t="s">
        <v>352</v>
      </c>
      <c r="D522" s="6" t="s">
        <v>165</v>
      </c>
      <c r="E522" s="6" t="s">
        <v>98</v>
      </c>
      <c r="F522" s="6" t="str">
        <f aca="false">INDEX(Items!$B$5:$B$62,MATCH($E522,Items!$A$5:$A$62,0))</f>
        <v>FACIAL / TREATMENT PREP PRODUCTS</v>
      </c>
      <c r="G522" s="6" t="str">
        <f aca="false">INDEX(Items!$C$5:$C$62,MATCH($E522,Items!$A$5:$A$62,0))</f>
        <v>Bulk</v>
      </c>
      <c r="H522" s="6" t="s">
        <v>161</v>
      </c>
      <c r="I522" s="6" t="s">
        <v>160</v>
      </c>
      <c r="J522" s="6" t="n">
        <f aca="false">SUMIFS(Kits!$C$5:$C$163,Kits!$A$5:$A$163,$D522,Kits!$B$5:$B$163,$E522)</f>
        <v>5</v>
      </c>
      <c r="K522" s="6" t="n">
        <f aca="false">INDEX(Services!$F$5:$F$85,MATCH($A522,Services!$A$5:$A$85,0))</f>
        <v>1</v>
      </c>
      <c r="L522" s="6" t="n">
        <f aca="false">IF($H522="Auto-deduct",IF($G522="Countable",ROUNDUP($J522*IF($I522="Y",$K522,1),0),ROUND($J522*IF($I522="Y",$K522,1),1)),$J522)</f>
        <v>5</v>
      </c>
      <c r="M522" s="6" t="str">
        <f aca="false">INDEX(Items!$E$5:$E$62,MATCH($E522,Items!$A$5:$A$62,0))</f>
        <v>mL</v>
      </c>
      <c r="N522" s="6" t="n">
        <f aca="false">ROUND($L522/INDEX(Items!$F$5:$F$62,MATCH($E522,Items!$A$5:$A$62,0)),4)</f>
        <v>0.01</v>
      </c>
      <c r="O522" s="6"/>
    </row>
    <row r="523" customFormat="false" ht="15" hidden="false" customHeight="false" outlineLevel="0" collapsed="false">
      <c r="A523" s="6" t="n">
        <v>55</v>
      </c>
      <c r="B523" s="6" t="s">
        <v>362</v>
      </c>
      <c r="C523" s="6" t="s">
        <v>352</v>
      </c>
      <c r="D523" s="6" t="s">
        <v>165</v>
      </c>
      <c r="E523" s="6" t="s">
        <v>92</v>
      </c>
      <c r="F523" s="6" t="str">
        <f aca="false">INDEX(Items!$B$5:$B$62,MATCH($E523,Items!$A$5:$A$62,0))</f>
        <v>FACIAL / TREATMENT PREP PRODUCTS</v>
      </c>
      <c r="G523" s="6" t="str">
        <f aca="false">INDEX(Items!$C$5:$C$62,MATCH($E523,Items!$A$5:$A$62,0))</f>
        <v>Bulk</v>
      </c>
      <c r="H523" s="6" t="s">
        <v>161</v>
      </c>
      <c r="I523" s="6" t="s">
        <v>160</v>
      </c>
      <c r="J523" s="6" t="n">
        <f aca="false">SUMIFS(Kits!$C$5:$C$163,Kits!$A$5:$A$163,$D523,Kits!$B$5:$B$163,$E523)</f>
        <v>10</v>
      </c>
      <c r="K523" s="6" t="n">
        <f aca="false">INDEX(Services!$F$5:$F$85,MATCH($A523,Services!$A$5:$A$85,0))</f>
        <v>1</v>
      </c>
      <c r="L523" s="6" t="n">
        <f aca="false">IF($H523="Auto-deduct",IF($G523="Countable",ROUNDUP($J523*IF($I523="Y",$K523,1),0),ROUND($J523*IF($I523="Y",$K523,1),1)),$J523)</f>
        <v>10</v>
      </c>
      <c r="M523" s="6" t="str">
        <f aca="false">INDEX(Items!$E$5:$E$62,MATCH($E523,Items!$A$5:$A$62,0))</f>
        <v>mL</v>
      </c>
      <c r="N523" s="6" t="n">
        <f aca="false">ROUND($L523/INDEX(Items!$F$5:$F$62,MATCH($E523,Items!$A$5:$A$62,0)),4)</f>
        <v>0.02</v>
      </c>
      <c r="O523" s="6"/>
    </row>
    <row r="524" customFormat="false" ht="15" hidden="false" customHeight="false" outlineLevel="0" collapsed="false">
      <c r="A524" s="6" t="n">
        <v>55</v>
      </c>
      <c r="B524" s="6" t="s">
        <v>362</v>
      </c>
      <c r="C524" s="6" t="s">
        <v>352</v>
      </c>
      <c r="D524" s="6" t="s">
        <v>165</v>
      </c>
      <c r="E524" s="6" t="s">
        <v>69</v>
      </c>
      <c r="F524" s="6" t="str">
        <f aca="false">INDEX(Items!$B$5:$B$62,MATCH($E524,Items!$A$5:$A$62,0))</f>
        <v>DISPOSABLES &amp; CLINIC CONSUMABLES</v>
      </c>
      <c r="G524" s="6" t="str">
        <f aca="false">INDEX(Items!$C$5:$C$62,MATCH($E524,Items!$A$5:$A$62,0))</f>
        <v>Bulk</v>
      </c>
      <c r="H524" s="6" t="s">
        <v>161</v>
      </c>
      <c r="I524" s="6" t="s">
        <v>160</v>
      </c>
      <c r="J524" s="6" t="n">
        <f aca="false">SUMIFS(Kits!$C$5:$C$163,Kits!$A$5:$A$163,$D524,Kits!$B$5:$B$163,$E524)</f>
        <v>5</v>
      </c>
      <c r="K524" s="6" t="n">
        <f aca="false">INDEX(Services!$F$5:$F$85,MATCH($A524,Services!$A$5:$A$85,0))</f>
        <v>1</v>
      </c>
      <c r="L524" s="6" t="n">
        <f aca="false">IF($H524="Auto-deduct",IF($G524="Countable",ROUNDUP($J524*IF($I524="Y",$K524,1),0),ROUND($J524*IF($I524="Y",$K524,1),1)),$J524)</f>
        <v>5</v>
      </c>
      <c r="M524" s="6" t="str">
        <f aca="false">INDEX(Items!$E$5:$E$62,MATCH($E524,Items!$A$5:$A$62,0))</f>
        <v>g</v>
      </c>
      <c r="N524" s="6" t="n">
        <f aca="false">ROUND($L524/INDEX(Items!$F$5:$F$62,MATCH($E524,Items!$A$5:$A$62,0)),4)</f>
        <v>0.0125</v>
      </c>
      <c r="O524" s="6"/>
    </row>
    <row r="525" customFormat="false" ht="15" hidden="false" customHeight="false" outlineLevel="0" collapsed="false">
      <c r="A525" s="6" t="n">
        <v>55</v>
      </c>
      <c r="B525" s="6" t="s">
        <v>362</v>
      </c>
      <c r="C525" s="6" t="s">
        <v>352</v>
      </c>
      <c r="D525" s="6" t="s">
        <v>165</v>
      </c>
      <c r="E525" s="6" t="s">
        <v>58</v>
      </c>
      <c r="F525" s="6" t="str">
        <f aca="false">INDEX(Items!$B$5:$B$62,MATCH($E525,Items!$A$5:$A$62,0))</f>
        <v>DISPOSABLES &amp; CLINIC CONSUMABLES</v>
      </c>
      <c r="G525" s="6" t="str">
        <f aca="false">INDEX(Items!$C$5:$C$62,MATCH($E525,Items!$A$5:$A$62,0))</f>
        <v>Bulk</v>
      </c>
      <c r="H525" s="6" t="s">
        <v>161</v>
      </c>
      <c r="I525" s="6" t="s">
        <v>160</v>
      </c>
      <c r="J525" s="6" t="n">
        <f aca="false">SUMIFS(Kits!$C$5:$C$163,Kits!$A$5:$A$163,$D525,Kits!$B$5:$B$163,$E525)</f>
        <v>6</v>
      </c>
      <c r="K525" s="6" t="n">
        <f aca="false">INDEX(Services!$F$5:$F$85,MATCH($A525,Services!$A$5:$A$85,0))</f>
        <v>1</v>
      </c>
      <c r="L525" s="6" t="n">
        <f aca="false">IF($H525="Auto-deduct",IF($G525="Countable",ROUNDUP($J525*IF($I525="Y",$K525,1),0),ROUND($J525*IF($I525="Y",$K525,1),1)),$J525)</f>
        <v>6</v>
      </c>
      <c r="M525" s="6" t="str">
        <f aca="false">INDEX(Items!$E$5:$E$62,MATCH($E525,Items!$A$5:$A$62,0))</f>
        <v>sheet</v>
      </c>
      <c r="N525" s="6" t="n">
        <f aca="false">ROUND($L525/INDEX(Items!$F$5:$F$62,MATCH($E525,Items!$A$5:$A$62,0)),4)</f>
        <v>0.03</v>
      </c>
      <c r="O525" s="6"/>
    </row>
    <row r="526" customFormat="false" ht="15" hidden="false" customHeight="false" outlineLevel="0" collapsed="false">
      <c r="A526" s="6" t="n">
        <v>55</v>
      </c>
      <c r="B526" s="6" t="s">
        <v>362</v>
      </c>
      <c r="C526" s="6" t="s">
        <v>352</v>
      </c>
      <c r="D526" s="6" t="s">
        <v>167</v>
      </c>
      <c r="E526" s="6" t="s">
        <v>72</v>
      </c>
      <c r="F526" s="6" t="str">
        <f aca="false">INDEX(Items!$B$5:$B$62,MATCH($E526,Items!$A$5:$A$62,0))</f>
        <v>DISPOSABLES &amp; CLINIC CONSUMABLES</v>
      </c>
      <c r="G526" s="6" t="str">
        <f aca="false">INDEX(Items!$C$5:$C$62,MATCH($E526,Items!$A$5:$A$62,0))</f>
        <v>Bulk</v>
      </c>
      <c r="H526" s="6" t="s">
        <v>161</v>
      </c>
      <c r="I526" s="6" t="s">
        <v>160</v>
      </c>
      <c r="J526" s="6" t="n">
        <f aca="false">SUMIFS(Kits!$C$5:$C$163,Kits!$A$5:$A$163,$D526,Kits!$B$5:$B$163,$E526)</f>
        <v>4</v>
      </c>
      <c r="K526" s="6" t="n">
        <f aca="false">INDEX(Services!$F$5:$F$85,MATCH($A526,Services!$A$5:$A$85,0))</f>
        <v>1</v>
      </c>
      <c r="L526" s="6" t="n">
        <f aca="false">IF($H526="Auto-deduct",IF($G526="Countable",ROUNDUP($J526*IF($I526="Y",$K526,1),0),ROUND($J526*IF($I526="Y",$K526,1),1)),$J526)</f>
        <v>4</v>
      </c>
      <c r="M526" s="6" t="str">
        <f aca="false">INDEX(Items!$E$5:$E$62,MATCH($E526,Items!$A$5:$A$62,0))</f>
        <v>pc</v>
      </c>
      <c r="N526" s="6" t="n">
        <f aca="false">ROUND($L526/INDEX(Items!$F$5:$F$62,MATCH($E526,Items!$A$5:$A$62,0)),4)</f>
        <v>0.04</v>
      </c>
      <c r="O526" s="6"/>
    </row>
    <row r="527" customFormat="false" ht="15" hidden="false" customHeight="false" outlineLevel="0" collapsed="false">
      <c r="A527" s="6" t="n">
        <v>55</v>
      </c>
      <c r="B527" s="6" t="s">
        <v>362</v>
      </c>
      <c r="C527" s="6" t="s">
        <v>352</v>
      </c>
      <c r="D527" s="6" t="s">
        <v>167</v>
      </c>
      <c r="E527" s="6" t="s">
        <v>81</v>
      </c>
      <c r="F527" s="6" t="str">
        <f aca="false">INDEX(Items!$B$5:$B$62,MATCH($E527,Items!$A$5:$A$62,0))</f>
        <v>DISPOSABLES &amp; CLINIC CONSUMABLES</v>
      </c>
      <c r="G527" s="6" t="str">
        <f aca="false">INDEX(Items!$C$5:$C$62,MATCH($E527,Items!$A$5:$A$62,0))</f>
        <v>Bulk</v>
      </c>
      <c r="H527" s="6" t="s">
        <v>161</v>
      </c>
      <c r="I527" s="6" t="s">
        <v>160</v>
      </c>
      <c r="J527" s="6" t="n">
        <f aca="false">SUMIFS(Kits!$C$5:$C$163,Kits!$A$5:$A$163,$D527,Kits!$B$5:$B$163,$E527)</f>
        <v>2</v>
      </c>
      <c r="K527" s="6" t="n">
        <f aca="false">INDEX(Services!$F$5:$F$85,MATCH($A527,Services!$A$5:$A$85,0))</f>
        <v>1</v>
      </c>
      <c r="L527" s="6" t="n">
        <f aca="false">IF($H527="Auto-deduct",IF($G527="Countable",ROUNDUP($J527*IF($I527="Y",$K527,1),0),ROUND($J527*IF($I527="Y",$K527,1),1)),$J527)</f>
        <v>2</v>
      </c>
      <c r="M527" s="6" t="str">
        <f aca="false">INDEX(Items!$E$5:$E$62,MATCH($E527,Items!$A$5:$A$62,0))</f>
        <v>pc</v>
      </c>
      <c r="N527" s="6" t="n">
        <f aca="false">ROUND($L527/INDEX(Items!$F$5:$F$62,MATCH($E527,Items!$A$5:$A$62,0)),4)</f>
        <v>0.02</v>
      </c>
      <c r="O527" s="6"/>
    </row>
    <row r="528" customFormat="false" ht="15" hidden="false" customHeight="false" outlineLevel="0" collapsed="false">
      <c r="A528" s="6" t="n">
        <v>55</v>
      </c>
      <c r="B528" s="6" t="s">
        <v>362</v>
      </c>
      <c r="C528" s="6" t="s">
        <v>352</v>
      </c>
      <c r="D528" s="6" t="s">
        <v>167</v>
      </c>
      <c r="E528" s="6" t="s">
        <v>88</v>
      </c>
      <c r="F528" s="6" t="str">
        <f aca="false">INDEX(Items!$B$5:$B$62,MATCH($E528,Items!$A$5:$A$62,0))</f>
        <v>DISPOSABLES &amp; CLINIC CONSUMABLES</v>
      </c>
      <c r="G528" s="6" t="str">
        <f aca="false">INDEX(Items!$C$5:$C$62,MATCH($E528,Items!$A$5:$A$62,0))</f>
        <v>Bulk</v>
      </c>
      <c r="H528" s="6" t="s">
        <v>161</v>
      </c>
      <c r="I528" s="6" t="s">
        <v>160</v>
      </c>
      <c r="J528" s="6" t="n">
        <f aca="false">SUMIFS(Kits!$C$5:$C$163,Kits!$A$5:$A$163,$D528,Kits!$B$5:$B$163,$E528)</f>
        <v>5</v>
      </c>
      <c r="K528" s="6" t="n">
        <f aca="false">INDEX(Services!$F$5:$F$85,MATCH($A528,Services!$A$5:$A$85,0))</f>
        <v>1</v>
      </c>
      <c r="L528" s="6" t="n">
        <f aca="false">IF($H528="Auto-deduct",IF($G528="Countable",ROUNDUP($J528*IF($I528="Y",$K528,1),0),ROUND($J528*IF($I528="Y",$K528,1),1)),$J528)</f>
        <v>5</v>
      </c>
      <c r="M528" s="6" t="str">
        <f aca="false">INDEX(Items!$E$5:$E$62,MATCH($E528,Items!$A$5:$A$62,0))</f>
        <v>mL</v>
      </c>
      <c r="N528" s="6" t="n">
        <f aca="false">ROUND($L528/INDEX(Items!$F$5:$F$62,MATCH($E528,Items!$A$5:$A$62,0)),4)</f>
        <v>0.01</v>
      </c>
      <c r="O528" s="6"/>
    </row>
    <row r="529" customFormat="false" ht="15" hidden="false" customHeight="false" outlineLevel="0" collapsed="false">
      <c r="A529" s="6" t="n">
        <v>55</v>
      </c>
      <c r="B529" s="6" t="s">
        <v>362</v>
      </c>
      <c r="C529" s="6" t="s">
        <v>352</v>
      </c>
      <c r="D529" s="6" t="s">
        <v>169</v>
      </c>
      <c r="E529" s="6" t="s">
        <v>100</v>
      </c>
      <c r="F529" s="6" t="str">
        <f aca="false">INDEX(Items!$B$5:$B$62,MATCH($E529,Items!$A$5:$A$62,0))</f>
        <v>FACIAL / TREATMENT PREP PRODUCTS</v>
      </c>
      <c r="G529" s="6" t="str">
        <f aca="false">INDEX(Items!$C$5:$C$62,MATCH($E529,Items!$A$5:$A$62,0))</f>
        <v>Bulk</v>
      </c>
      <c r="H529" s="6" t="s">
        <v>161</v>
      </c>
      <c r="I529" s="6" t="s">
        <v>160</v>
      </c>
      <c r="J529" s="6" t="n">
        <f aca="false">SUMIFS(Kits!$C$5:$C$163,Kits!$A$5:$A$163,$D529,Kits!$B$5:$B$163,$E529)</f>
        <v>5</v>
      </c>
      <c r="K529" s="6" t="n">
        <f aca="false">INDEX(Services!$F$5:$F$85,MATCH($A529,Services!$A$5:$A$85,0))</f>
        <v>1</v>
      </c>
      <c r="L529" s="6" t="n">
        <f aca="false">IF($H529="Auto-deduct",IF($G529="Countable",ROUNDUP($J529*IF($I529="Y",$K529,1),0),ROUND($J529*IF($I529="Y",$K529,1),1)),$J529)</f>
        <v>5</v>
      </c>
      <c r="M529" s="6" t="str">
        <f aca="false">INDEX(Items!$E$5:$E$62,MATCH($E529,Items!$A$5:$A$62,0))</f>
        <v>g</v>
      </c>
      <c r="N529" s="6" t="n">
        <f aca="false">ROUND($L529/INDEX(Items!$F$5:$F$62,MATCH($E529,Items!$A$5:$A$62,0)),4)</f>
        <v>0.02</v>
      </c>
      <c r="O529" s="6"/>
    </row>
    <row r="530" customFormat="false" ht="15" hidden="false" customHeight="false" outlineLevel="0" collapsed="false">
      <c r="A530" s="6" t="n">
        <v>55</v>
      </c>
      <c r="B530" s="6" t="s">
        <v>362</v>
      </c>
      <c r="C530" s="6" t="s">
        <v>352</v>
      </c>
      <c r="D530" s="6" t="s">
        <v>181</v>
      </c>
      <c r="E530" s="6" t="s">
        <v>104</v>
      </c>
      <c r="F530" s="6" t="str">
        <f aca="false">INDEX(Items!$B$5:$B$62,MATCH($E530,Items!$A$5:$A$62,0))</f>
        <v>FACIAL TREATMENT PRODUCTS (PROFESSIONAL USE)</v>
      </c>
      <c r="G530" s="6" t="str">
        <f aca="false">INDEX(Items!$C$5:$C$62,MATCH($E530,Items!$A$5:$A$62,0))</f>
        <v>Bulk</v>
      </c>
      <c r="H530" s="6" t="s">
        <v>161</v>
      </c>
      <c r="I530" s="6" t="s">
        <v>160</v>
      </c>
      <c r="J530" s="6" t="n">
        <f aca="false">SUMIFS(Kits!$C$5:$C$163,Kits!$A$5:$A$163,$D530,Kits!$B$5:$B$163,$E530)</f>
        <v>30</v>
      </c>
      <c r="K530" s="6" t="n">
        <f aca="false">INDEX(Services!$F$5:$F$85,MATCH($A530,Services!$A$5:$A$85,0))</f>
        <v>1</v>
      </c>
      <c r="L530" s="6" t="n">
        <f aca="false">IF($H530="Auto-deduct",IF($G530="Countable",ROUNDUP($J530*IF($I530="Y",$K530,1),0),ROUND($J530*IF($I530="Y",$K530,1),1)),$J530)</f>
        <v>30</v>
      </c>
      <c r="M530" s="6" t="str">
        <f aca="false">INDEX(Items!$E$5:$E$62,MATCH($E530,Items!$A$5:$A$62,0))</f>
        <v>g</v>
      </c>
      <c r="N530" s="6" t="n">
        <f aca="false">ROUND($L530/INDEX(Items!$F$5:$F$62,MATCH($E530,Items!$A$5:$A$62,0)),4)</f>
        <v>0.06</v>
      </c>
      <c r="O530" s="6"/>
    </row>
    <row r="531" customFormat="false" ht="15" hidden="false" customHeight="false" outlineLevel="0" collapsed="false">
      <c r="A531" s="6" t="n">
        <v>55</v>
      </c>
      <c r="B531" s="6" t="s">
        <v>362</v>
      </c>
      <c r="C531" s="6" t="s">
        <v>352</v>
      </c>
      <c r="D531" s="6" t="s">
        <v>181</v>
      </c>
      <c r="E531" s="6" t="s">
        <v>118</v>
      </c>
      <c r="F531" s="6" t="str">
        <f aca="false">INDEX(Items!$B$5:$B$62,MATCH($E531,Items!$A$5:$A$62,0))</f>
        <v>FACIAL TREATMENT PRODUCTS (PROFESSIONAL USE)</v>
      </c>
      <c r="G531" s="6" t="str">
        <f aca="false">INDEX(Items!$C$5:$C$62,MATCH($E531,Items!$A$5:$A$62,0))</f>
        <v>Countable</v>
      </c>
      <c r="H531" s="6" t="s">
        <v>161</v>
      </c>
      <c r="I531" s="6" t="s">
        <v>160</v>
      </c>
      <c r="J531" s="6" t="n">
        <f aca="false">SUMIFS(Kits!$C$5:$C$163,Kits!$A$5:$A$163,$D531,Kits!$B$5:$B$163,$E531)</f>
        <v>1</v>
      </c>
      <c r="K531" s="6" t="n">
        <f aca="false">INDEX(Services!$F$5:$F$85,MATCH($A531,Services!$A$5:$A$85,0))</f>
        <v>1</v>
      </c>
      <c r="L531" s="6" t="n">
        <f aca="false">IF($H531="Auto-deduct",IF($G531="Countable",ROUNDUP($J531*IF($I531="Y",$K531,1),0),ROUND($J531*IF($I531="Y",$K531,1),1)),$J531)</f>
        <v>1</v>
      </c>
      <c r="M531" s="6" t="str">
        <f aca="false">INDEX(Items!$E$5:$E$62,MATCH($E531,Items!$A$5:$A$62,0))</f>
        <v>pc</v>
      </c>
      <c r="N531" s="6" t="n">
        <f aca="false">ROUND($L531/INDEX(Items!$F$5:$F$62,MATCH($E531,Items!$A$5:$A$62,0)),4)</f>
        <v>1</v>
      </c>
      <c r="O531" s="6"/>
    </row>
    <row r="532" customFormat="false" ht="15" hidden="false" customHeight="false" outlineLevel="0" collapsed="false">
      <c r="A532" s="6" t="n">
        <v>55</v>
      </c>
      <c r="B532" s="6" t="s">
        <v>362</v>
      </c>
      <c r="C532" s="6" t="s">
        <v>352</v>
      </c>
      <c r="D532" s="6" t="s">
        <v>181</v>
      </c>
      <c r="E532" s="6" t="s">
        <v>74</v>
      </c>
      <c r="F532" s="6" t="str">
        <f aca="false">INDEX(Items!$B$5:$B$62,MATCH($E532,Items!$A$5:$A$62,0))</f>
        <v>DISPOSABLES &amp; CLINIC CONSUMABLES</v>
      </c>
      <c r="G532" s="6" t="str">
        <f aca="false">INDEX(Items!$C$5:$C$62,MATCH($E532,Items!$A$5:$A$62,0))</f>
        <v>Bulk</v>
      </c>
      <c r="H532" s="6" t="s">
        <v>161</v>
      </c>
      <c r="I532" s="6" t="s">
        <v>160</v>
      </c>
      <c r="J532" s="6" t="n">
        <f aca="false">SUMIFS(Kits!$C$5:$C$163,Kits!$A$5:$A$163,$D532,Kits!$B$5:$B$163,$E532)</f>
        <v>1</v>
      </c>
      <c r="K532" s="6" t="n">
        <f aca="false">INDEX(Services!$F$5:$F$85,MATCH($A532,Services!$A$5:$A$85,0))</f>
        <v>1</v>
      </c>
      <c r="L532" s="6" t="n">
        <f aca="false">IF($H532="Auto-deduct",IF($G532="Countable",ROUNDUP($J532*IF($I532="Y",$K532,1),0),ROUND($J532*IF($I532="Y",$K532,1),1)),$J532)</f>
        <v>1</v>
      </c>
      <c r="M532" s="6" t="str">
        <f aca="false">INDEX(Items!$E$5:$E$62,MATCH($E532,Items!$A$5:$A$62,0))</f>
        <v>pc</v>
      </c>
      <c r="N532" s="6" t="n">
        <f aca="false">ROUND($L532/INDEX(Items!$F$5:$F$62,MATCH($E532,Items!$A$5:$A$62,0)),4)</f>
        <v>0.01</v>
      </c>
      <c r="O532" s="6"/>
    </row>
    <row r="533" customFormat="false" ht="15" hidden="false" customHeight="false" outlineLevel="0" collapsed="false">
      <c r="A533" s="6" t="n">
        <v>55</v>
      </c>
      <c r="B533" s="6" t="s">
        <v>362</v>
      </c>
      <c r="C533" s="6" t="s">
        <v>352</v>
      </c>
      <c r="D533" s="6" t="s">
        <v>181</v>
      </c>
      <c r="E533" s="6" t="s">
        <v>135</v>
      </c>
      <c r="F533" s="6" t="str">
        <f aca="false">INDEX(Items!$B$5:$B$62,MATCH($E533,Items!$A$5:$A$62,0))</f>
        <v>SKINCARE PRODUCTS (RETAIL / AFTERCARE)</v>
      </c>
      <c r="G533" s="6" t="str">
        <f aca="false">INDEX(Items!$C$5:$C$62,MATCH($E533,Items!$A$5:$A$62,0))</f>
        <v>Bulk</v>
      </c>
      <c r="H533" s="6" t="s">
        <v>161</v>
      </c>
      <c r="I533" s="6" t="s">
        <v>160</v>
      </c>
      <c r="J533" s="6" t="n">
        <f aca="false">SUMIFS(Kits!$C$5:$C$163,Kits!$A$5:$A$163,$D533,Kits!$B$5:$B$163,$E533)</f>
        <v>3</v>
      </c>
      <c r="K533" s="6" t="n">
        <f aca="false">INDEX(Services!$F$5:$F$85,MATCH($A533,Services!$A$5:$A$85,0))</f>
        <v>1</v>
      </c>
      <c r="L533" s="6" t="n">
        <f aca="false">IF($H533="Auto-deduct",IF($G533="Countable",ROUNDUP($J533*IF($I533="Y",$K533,1),0),ROUND($J533*IF($I533="Y",$K533,1),1)),$J533)</f>
        <v>3</v>
      </c>
      <c r="M533" s="6" t="str">
        <f aca="false">INDEX(Items!$E$5:$E$62,MATCH($E533,Items!$A$5:$A$62,0))</f>
        <v>g</v>
      </c>
      <c r="N533" s="6" t="n">
        <f aca="false">ROUND($L533/INDEX(Items!$F$5:$F$62,MATCH($E533,Items!$A$5:$A$62,0)),4)</f>
        <v>0.06</v>
      </c>
      <c r="O533" s="6"/>
    </row>
    <row r="534" customFormat="false" ht="15" hidden="false" customHeight="false" outlineLevel="0" collapsed="false">
      <c r="A534" s="6" t="n">
        <v>56</v>
      </c>
      <c r="B534" s="6" t="s">
        <v>364</v>
      </c>
      <c r="C534" s="6" t="s">
        <v>352</v>
      </c>
      <c r="D534" s="6" t="s">
        <v>159</v>
      </c>
      <c r="E534" s="6" t="s">
        <v>52</v>
      </c>
      <c r="F534" s="6" t="str">
        <f aca="false">INDEX(Items!$B$5:$B$62,MATCH($E534,Items!$A$5:$A$62,0))</f>
        <v>DISPOSABLES &amp; CLINIC CONSUMABLES</v>
      </c>
      <c r="G534" s="6" t="str">
        <f aca="false">INDEX(Items!$C$5:$C$62,MATCH($E534,Items!$A$5:$A$62,0))</f>
        <v>Countable</v>
      </c>
      <c r="H534" s="6" t="s">
        <v>161</v>
      </c>
      <c r="I534" s="6" t="s">
        <v>160</v>
      </c>
      <c r="J534" s="6" t="n">
        <f aca="false">SUMIFS(Kits!$C$5:$C$163,Kits!$A$5:$A$163,$D534,Kits!$B$5:$B$163,$E534)</f>
        <v>1</v>
      </c>
      <c r="K534" s="6" t="n">
        <f aca="false">INDEX(Services!$F$5:$F$85,MATCH($A534,Services!$A$5:$A$85,0))</f>
        <v>1</v>
      </c>
      <c r="L534" s="6" t="n">
        <f aca="false">IF($H534="Auto-deduct",IF($G534="Countable",ROUNDUP($J534*IF($I534="Y",$K534,1),0),ROUND($J534*IF($I534="Y",$K534,1),1)),$J534)</f>
        <v>1</v>
      </c>
      <c r="M534" s="6" t="str">
        <f aca="false">INDEX(Items!$E$5:$E$62,MATCH($E534,Items!$A$5:$A$62,0))</f>
        <v>pc</v>
      </c>
      <c r="N534" s="6" t="n">
        <f aca="false">ROUND($L534/INDEX(Items!$F$5:$F$62,MATCH($E534,Items!$A$5:$A$62,0)),4)</f>
        <v>1</v>
      </c>
      <c r="O534" s="6"/>
    </row>
    <row r="535" customFormat="false" ht="15" hidden="false" customHeight="false" outlineLevel="0" collapsed="false">
      <c r="A535" s="6" t="n">
        <v>56</v>
      </c>
      <c r="B535" s="6" t="s">
        <v>364</v>
      </c>
      <c r="C535" s="6" t="s">
        <v>352</v>
      </c>
      <c r="D535" s="6" t="s">
        <v>159</v>
      </c>
      <c r="E535" s="6" t="s">
        <v>53</v>
      </c>
      <c r="F535" s="6" t="str">
        <f aca="false">INDEX(Items!$B$5:$B$62,MATCH($E535,Items!$A$5:$A$62,0))</f>
        <v>DISPOSABLES &amp; CLINIC CONSUMABLES</v>
      </c>
      <c r="G535" s="6" t="str">
        <f aca="false">INDEX(Items!$C$5:$C$62,MATCH($E535,Items!$A$5:$A$62,0))</f>
        <v>Countable</v>
      </c>
      <c r="H535" s="6" t="s">
        <v>161</v>
      </c>
      <c r="I535" s="6" t="s">
        <v>160</v>
      </c>
      <c r="J535" s="6" t="n">
        <f aca="false">SUMIFS(Kits!$C$5:$C$163,Kits!$A$5:$A$163,$D535,Kits!$B$5:$B$163,$E535)</f>
        <v>1</v>
      </c>
      <c r="K535" s="6" t="n">
        <f aca="false">INDEX(Services!$F$5:$F$85,MATCH($A535,Services!$A$5:$A$85,0))</f>
        <v>1</v>
      </c>
      <c r="L535" s="6" t="n">
        <f aca="false">IF($H535="Auto-deduct",IF($G535="Countable",ROUNDUP($J535*IF($I535="Y",$K535,1),0),ROUND($J535*IF($I535="Y",$K535,1),1)),$J535)</f>
        <v>1</v>
      </c>
      <c r="M535" s="6" t="str">
        <f aca="false">INDEX(Items!$E$5:$E$62,MATCH($E535,Items!$A$5:$A$62,0))</f>
        <v>pair</v>
      </c>
      <c r="N535" s="6" t="n">
        <f aca="false">ROUND($L535/INDEX(Items!$F$5:$F$62,MATCH($E535,Items!$A$5:$A$62,0)),4)</f>
        <v>1</v>
      </c>
      <c r="O535" s="6"/>
    </row>
    <row r="536" customFormat="false" ht="15" hidden="false" customHeight="false" outlineLevel="0" collapsed="false">
      <c r="A536" s="6" t="n">
        <v>56</v>
      </c>
      <c r="B536" s="6" t="s">
        <v>364</v>
      </c>
      <c r="C536" s="6" t="s">
        <v>352</v>
      </c>
      <c r="D536" s="6" t="s">
        <v>159</v>
      </c>
      <c r="E536" s="6" t="s">
        <v>88</v>
      </c>
      <c r="F536" s="6" t="str">
        <f aca="false">INDEX(Items!$B$5:$B$62,MATCH($E536,Items!$A$5:$A$62,0))</f>
        <v>DISPOSABLES &amp; CLINIC CONSUMABLES</v>
      </c>
      <c r="G536" s="6" t="str">
        <f aca="false">INDEX(Items!$C$5:$C$62,MATCH($E536,Items!$A$5:$A$62,0))</f>
        <v>Bulk</v>
      </c>
      <c r="H536" s="6" t="s">
        <v>161</v>
      </c>
      <c r="I536" s="6" t="s">
        <v>160</v>
      </c>
      <c r="J536" s="6" t="n">
        <f aca="false">SUMIFS(Kits!$C$5:$C$163,Kits!$A$5:$A$163,$D536,Kits!$B$5:$B$163,$E536)</f>
        <v>5</v>
      </c>
      <c r="K536" s="6" t="n">
        <f aca="false">INDEX(Services!$F$5:$F$85,MATCH($A536,Services!$A$5:$A$85,0))</f>
        <v>1</v>
      </c>
      <c r="L536" s="6" t="n">
        <f aca="false">IF($H536="Auto-deduct",IF($G536="Countable",ROUNDUP($J536*IF($I536="Y",$K536,1),0),ROUND($J536*IF($I536="Y",$K536,1),1)),$J536)</f>
        <v>5</v>
      </c>
      <c r="M536" s="6" t="str">
        <f aca="false">INDEX(Items!$E$5:$E$62,MATCH($E536,Items!$A$5:$A$62,0))</f>
        <v>mL</v>
      </c>
      <c r="N536" s="6" t="n">
        <f aca="false">ROUND($L536/INDEX(Items!$F$5:$F$62,MATCH($E536,Items!$A$5:$A$62,0)),4)</f>
        <v>0.01</v>
      </c>
      <c r="O536" s="6"/>
    </row>
    <row r="537" customFormat="false" ht="15" hidden="false" customHeight="false" outlineLevel="0" collapsed="false">
      <c r="A537" s="6" t="n">
        <v>56</v>
      </c>
      <c r="B537" s="6" t="s">
        <v>364</v>
      </c>
      <c r="C537" s="6" t="s">
        <v>352</v>
      </c>
      <c r="D537" s="6" t="s">
        <v>165</v>
      </c>
      <c r="E537" s="6" t="s">
        <v>50</v>
      </c>
      <c r="F537" s="6" t="str">
        <f aca="false">INDEX(Items!$B$5:$B$62,MATCH($E537,Items!$A$5:$A$62,0))</f>
        <v>DISPOSABLES &amp; CLINIC CONSUMABLES</v>
      </c>
      <c r="G537" s="6" t="str">
        <f aca="false">INDEX(Items!$C$5:$C$62,MATCH($E537,Items!$A$5:$A$62,0))</f>
        <v>Countable</v>
      </c>
      <c r="H537" s="6" t="s">
        <v>161</v>
      </c>
      <c r="I537" s="6" t="s">
        <v>160</v>
      </c>
      <c r="J537" s="6" t="n">
        <f aca="false">SUMIFS(Kits!$C$5:$C$163,Kits!$A$5:$A$163,$D537,Kits!$B$5:$B$163,$E537)</f>
        <v>1</v>
      </c>
      <c r="K537" s="6" t="n">
        <f aca="false">INDEX(Services!$F$5:$F$85,MATCH($A537,Services!$A$5:$A$85,0))</f>
        <v>1</v>
      </c>
      <c r="L537" s="6" t="n">
        <f aca="false">IF($H537="Auto-deduct",IF($G537="Countable",ROUNDUP($J537*IF($I537="Y",$K537,1),0),ROUND($J537*IF($I537="Y",$K537,1),1)),$J537)</f>
        <v>1</v>
      </c>
      <c r="M537" s="6" t="str">
        <f aca="false">INDEX(Items!$E$5:$E$62,MATCH($E537,Items!$A$5:$A$62,0))</f>
        <v>pc</v>
      </c>
      <c r="N537" s="6" t="n">
        <f aca="false">ROUND($L537/INDEX(Items!$F$5:$F$62,MATCH($E537,Items!$A$5:$A$62,0)),4)</f>
        <v>1</v>
      </c>
      <c r="O537" s="6"/>
    </row>
    <row r="538" customFormat="false" ht="15" hidden="false" customHeight="false" outlineLevel="0" collapsed="false">
      <c r="A538" s="6" t="n">
        <v>56</v>
      </c>
      <c r="B538" s="6" t="s">
        <v>364</v>
      </c>
      <c r="C538" s="6" t="s">
        <v>352</v>
      </c>
      <c r="D538" s="6" t="s">
        <v>165</v>
      </c>
      <c r="E538" s="6" t="s">
        <v>98</v>
      </c>
      <c r="F538" s="6" t="str">
        <f aca="false">INDEX(Items!$B$5:$B$62,MATCH($E538,Items!$A$5:$A$62,0))</f>
        <v>FACIAL / TREATMENT PREP PRODUCTS</v>
      </c>
      <c r="G538" s="6" t="str">
        <f aca="false">INDEX(Items!$C$5:$C$62,MATCH($E538,Items!$A$5:$A$62,0))</f>
        <v>Bulk</v>
      </c>
      <c r="H538" s="6" t="s">
        <v>161</v>
      </c>
      <c r="I538" s="6" t="s">
        <v>160</v>
      </c>
      <c r="J538" s="6" t="n">
        <f aca="false">SUMIFS(Kits!$C$5:$C$163,Kits!$A$5:$A$163,$D538,Kits!$B$5:$B$163,$E538)</f>
        <v>5</v>
      </c>
      <c r="K538" s="6" t="n">
        <f aca="false">INDEX(Services!$F$5:$F$85,MATCH($A538,Services!$A$5:$A$85,0))</f>
        <v>1</v>
      </c>
      <c r="L538" s="6" t="n">
        <f aca="false">IF($H538="Auto-deduct",IF($G538="Countable",ROUNDUP($J538*IF($I538="Y",$K538,1),0),ROUND($J538*IF($I538="Y",$K538,1),1)),$J538)</f>
        <v>5</v>
      </c>
      <c r="M538" s="6" t="str">
        <f aca="false">INDEX(Items!$E$5:$E$62,MATCH($E538,Items!$A$5:$A$62,0))</f>
        <v>mL</v>
      </c>
      <c r="N538" s="6" t="n">
        <f aca="false">ROUND($L538/INDEX(Items!$F$5:$F$62,MATCH($E538,Items!$A$5:$A$62,0)),4)</f>
        <v>0.01</v>
      </c>
      <c r="O538" s="6"/>
    </row>
    <row r="539" customFormat="false" ht="15" hidden="false" customHeight="false" outlineLevel="0" collapsed="false">
      <c r="A539" s="6" t="n">
        <v>56</v>
      </c>
      <c r="B539" s="6" t="s">
        <v>364</v>
      </c>
      <c r="C539" s="6" t="s">
        <v>352</v>
      </c>
      <c r="D539" s="6" t="s">
        <v>165</v>
      </c>
      <c r="E539" s="6" t="s">
        <v>92</v>
      </c>
      <c r="F539" s="6" t="str">
        <f aca="false">INDEX(Items!$B$5:$B$62,MATCH($E539,Items!$A$5:$A$62,0))</f>
        <v>FACIAL / TREATMENT PREP PRODUCTS</v>
      </c>
      <c r="G539" s="6" t="str">
        <f aca="false">INDEX(Items!$C$5:$C$62,MATCH($E539,Items!$A$5:$A$62,0))</f>
        <v>Bulk</v>
      </c>
      <c r="H539" s="6" t="s">
        <v>161</v>
      </c>
      <c r="I539" s="6" t="s">
        <v>160</v>
      </c>
      <c r="J539" s="6" t="n">
        <f aca="false">SUMIFS(Kits!$C$5:$C$163,Kits!$A$5:$A$163,$D539,Kits!$B$5:$B$163,$E539)</f>
        <v>10</v>
      </c>
      <c r="K539" s="6" t="n">
        <f aca="false">INDEX(Services!$F$5:$F$85,MATCH($A539,Services!$A$5:$A$85,0))</f>
        <v>1</v>
      </c>
      <c r="L539" s="6" t="n">
        <f aca="false">IF($H539="Auto-deduct",IF($G539="Countable",ROUNDUP($J539*IF($I539="Y",$K539,1),0),ROUND($J539*IF($I539="Y",$K539,1),1)),$J539)</f>
        <v>10</v>
      </c>
      <c r="M539" s="6" t="str">
        <f aca="false">INDEX(Items!$E$5:$E$62,MATCH($E539,Items!$A$5:$A$62,0))</f>
        <v>mL</v>
      </c>
      <c r="N539" s="6" t="n">
        <f aca="false">ROUND($L539/INDEX(Items!$F$5:$F$62,MATCH($E539,Items!$A$5:$A$62,0)),4)</f>
        <v>0.02</v>
      </c>
      <c r="O539" s="6"/>
    </row>
    <row r="540" customFormat="false" ht="15" hidden="false" customHeight="false" outlineLevel="0" collapsed="false">
      <c r="A540" s="6" t="n">
        <v>56</v>
      </c>
      <c r="B540" s="6" t="s">
        <v>364</v>
      </c>
      <c r="C540" s="6" t="s">
        <v>352</v>
      </c>
      <c r="D540" s="6" t="s">
        <v>165</v>
      </c>
      <c r="E540" s="6" t="s">
        <v>69</v>
      </c>
      <c r="F540" s="6" t="str">
        <f aca="false">INDEX(Items!$B$5:$B$62,MATCH($E540,Items!$A$5:$A$62,0))</f>
        <v>DISPOSABLES &amp; CLINIC CONSUMABLES</v>
      </c>
      <c r="G540" s="6" t="str">
        <f aca="false">INDEX(Items!$C$5:$C$62,MATCH($E540,Items!$A$5:$A$62,0))</f>
        <v>Bulk</v>
      </c>
      <c r="H540" s="6" t="s">
        <v>161</v>
      </c>
      <c r="I540" s="6" t="s">
        <v>160</v>
      </c>
      <c r="J540" s="6" t="n">
        <f aca="false">SUMIFS(Kits!$C$5:$C$163,Kits!$A$5:$A$163,$D540,Kits!$B$5:$B$163,$E540)</f>
        <v>5</v>
      </c>
      <c r="K540" s="6" t="n">
        <f aca="false">INDEX(Services!$F$5:$F$85,MATCH($A540,Services!$A$5:$A$85,0))</f>
        <v>1</v>
      </c>
      <c r="L540" s="6" t="n">
        <f aca="false">IF($H540="Auto-deduct",IF($G540="Countable",ROUNDUP($J540*IF($I540="Y",$K540,1),0),ROUND($J540*IF($I540="Y",$K540,1),1)),$J540)</f>
        <v>5</v>
      </c>
      <c r="M540" s="6" t="str">
        <f aca="false">INDEX(Items!$E$5:$E$62,MATCH($E540,Items!$A$5:$A$62,0))</f>
        <v>g</v>
      </c>
      <c r="N540" s="6" t="n">
        <f aca="false">ROUND($L540/INDEX(Items!$F$5:$F$62,MATCH($E540,Items!$A$5:$A$62,0)),4)</f>
        <v>0.0125</v>
      </c>
      <c r="O540" s="6"/>
    </row>
    <row r="541" customFormat="false" ht="15" hidden="false" customHeight="false" outlineLevel="0" collapsed="false">
      <c r="A541" s="6" t="n">
        <v>56</v>
      </c>
      <c r="B541" s="6" t="s">
        <v>364</v>
      </c>
      <c r="C541" s="6" t="s">
        <v>352</v>
      </c>
      <c r="D541" s="6" t="s">
        <v>165</v>
      </c>
      <c r="E541" s="6" t="s">
        <v>58</v>
      </c>
      <c r="F541" s="6" t="str">
        <f aca="false">INDEX(Items!$B$5:$B$62,MATCH($E541,Items!$A$5:$A$62,0))</f>
        <v>DISPOSABLES &amp; CLINIC CONSUMABLES</v>
      </c>
      <c r="G541" s="6" t="str">
        <f aca="false">INDEX(Items!$C$5:$C$62,MATCH($E541,Items!$A$5:$A$62,0))</f>
        <v>Bulk</v>
      </c>
      <c r="H541" s="6" t="s">
        <v>161</v>
      </c>
      <c r="I541" s="6" t="s">
        <v>160</v>
      </c>
      <c r="J541" s="6" t="n">
        <f aca="false">SUMIFS(Kits!$C$5:$C$163,Kits!$A$5:$A$163,$D541,Kits!$B$5:$B$163,$E541)</f>
        <v>6</v>
      </c>
      <c r="K541" s="6" t="n">
        <f aca="false">INDEX(Services!$F$5:$F$85,MATCH($A541,Services!$A$5:$A$85,0))</f>
        <v>1</v>
      </c>
      <c r="L541" s="6" t="n">
        <f aca="false">IF($H541="Auto-deduct",IF($G541="Countable",ROUNDUP($J541*IF($I541="Y",$K541,1),0),ROUND($J541*IF($I541="Y",$K541,1),1)),$J541)</f>
        <v>6</v>
      </c>
      <c r="M541" s="6" t="str">
        <f aca="false">INDEX(Items!$E$5:$E$62,MATCH($E541,Items!$A$5:$A$62,0))</f>
        <v>sheet</v>
      </c>
      <c r="N541" s="6" t="n">
        <f aca="false">ROUND($L541/INDEX(Items!$F$5:$F$62,MATCH($E541,Items!$A$5:$A$62,0)),4)</f>
        <v>0.03</v>
      </c>
      <c r="O541" s="6"/>
    </row>
    <row r="542" customFormat="false" ht="15" hidden="false" customHeight="false" outlineLevel="0" collapsed="false">
      <c r="A542" s="6" t="n">
        <v>56</v>
      </c>
      <c r="B542" s="6" t="s">
        <v>364</v>
      </c>
      <c r="C542" s="6" t="s">
        <v>352</v>
      </c>
      <c r="D542" s="6" t="s">
        <v>167</v>
      </c>
      <c r="E542" s="6" t="s">
        <v>72</v>
      </c>
      <c r="F542" s="6" t="str">
        <f aca="false">INDEX(Items!$B$5:$B$62,MATCH($E542,Items!$A$5:$A$62,0))</f>
        <v>DISPOSABLES &amp; CLINIC CONSUMABLES</v>
      </c>
      <c r="G542" s="6" t="str">
        <f aca="false">INDEX(Items!$C$5:$C$62,MATCH($E542,Items!$A$5:$A$62,0))</f>
        <v>Bulk</v>
      </c>
      <c r="H542" s="6" t="s">
        <v>161</v>
      </c>
      <c r="I542" s="6" t="s">
        <v>160</v>
      </c>
      <c r="J542" s="6" t="n">
        <f aca="false">SUMIFS(Kits!$C$5:$C$163,Kits!$A$5:$A$163,$D542,Kits!$B$5:$B$163,$E542)</f>
        <v>4</v>
      </c>
      <c r="K542" s="6" t="n">
        <f aca="false">INDEX(Services!$F$5:$F$85,MATCH($A542,Services!$A$5:$A$85,0))</f>
        <v>1</v>
      </c>
      <c r="L542" s="6" t="n">
        <f aca="false">IF($H542="Auto-deduct",IF($G542="Countable",ROUNDUP($J542*IF($I542="Y",$K542,1),0),ROUND($J542*IF($I542="Y",$K542,1),1)),$J542)</f>
        <v>4</v>
      </c>
      <c r="M542" s="6" t="str">
        <f aca="false">INDEX(Items!$E$5:$E$62,MATCH($E542,Items!$A$5:$A$62,0))</f>
        <v>pc</v>
      </c>
      <c r="N542" s="6" t="n">
        <f aca="false">ROUND($L542/INDEX(Items!$F$5:$F$62,MATCH($E542,Items!$A$5:$A$62,0)),4)</f>
        <v>0.04</v>
      </c>
      <c r="O542" s="6"/>
    </row>
    <row r="543" customFormat="false" ht="15" hidden="false" customHeight="false" outlineLevel="0" collapsed="false">
      <c r="A543" s="6" t="n">
        <v>56</v>
      </c>
      <c r="B543" s="6" t="s">
        <v>364</v>
      </c>
      <c r="C543" s="6" t="s">
        <v>352</v>
      </c>
      <c r="D543" s="6" t="s">
        <v>167</v>
      </c>
      <c r="E543" s="6" t="s">
        <v>81</v>
      </c>
      <c r="F543" s="6" t="str">
        <f aca="false">INDEX(Items!$B$5:$B$62,MATCH($E543,Items!$A$5:$A$62,0))</f>
        <v>DISPOSABLES &amp; CLINIC CONSUMABLES</v>
      </c>
      <c r="G543" s="6" t="str">
        <f aca="false">INDEX(Items!$C$5:$C$62,MATCH($E543,Items!$A$5:$A$62,0))</f>
        <v>Bulk</v>
      </c>
      <c r="H543" s="6" t="s">
        <v>161</v>
      </c>
      <c r="I543" s="6" t="s">
        <v>160</v>
      </c>
      <c r="J543" s="6" t="n">
        <f aca="false">SUMIFS(Kits!$C$5:$C$163,Kits!$A$5:$A$163,$D543,Kits!$B$5:$B$163,$E543)</f>
        <v>2</v>
      </c>
      <c r="K543" s="6" t="n">
        <f aca="false">INDEX(Services!$F$5:$F$85,MATCH($A543,Services!$A$5:$A$85,0))</f>
        <v>1</v>
      </c>
      <c r="L543" s="6" t="n">
        <f aca="false">IF($H543="Auto-deduct",IF($G543="Countable",ROUNDUP($J543*IF($I543="Y",$K543,1),0),ROUND($J543*IF($I543="Y",$K543,1),1)),$J543)</f>
        <v>2</v>
      </c>
      <c r="M543" s="6" t="str">
        <f aca="false">INDEX(Items!$E$5:$E$62,MATCH($E543,Items!$A$5:$A$62,0))</f>
        <v>pc</v>
      </c>
      <c r="N543" s="6" t="n">
        <f aca="false">ROUND($L543/INDEX(Items!$F$5:$F$62,MATCH($E543,Items!$A$5:$A$62,0)),4)</f>
        <v>0.02</v>
      </c>
      <c r="O543" s="6"/>
    </row>
    <row r="544" customFormat="false" ht="15" hidden="false" customHeight="false" outlineLevel="0" collapsed="false">
      <c r="A544" s="6" t="n">
        <v>56</v>
      </c>
      <c r="B544" s="6" t="s">
        <v>364</v>
      </c>
      <c r="C544" s="6" t="s">
        <v>352</v>
      </c>
      <c r="D544" s="6" t="s">
        <v>167</v>
      </c>
      <c r="E544" s="6" t="s">
        <v>88</v>
      </c>
      <c r="F544" s="6" t="str">
        <f aca="false">INDEX(Items!$B$5:$B$62,MATCH($E544,Items!$A$5:$A$62,0))</f>
        <v>DISPOSABLES &amp; CLINIC CONSUMABLES</v>
      </c>
      <c r="G544" s="6" t="str">
        <f aca="false">INDEX(Items!$C$5:$C$62,MATCH($E544,Items!$A$5:$A$62,0))</f>
        <v>Bulk</v>
      </c>
      <c r="H544" s="6" t="s">
        <v>161</v>
      </c>
      <c r="I544" s="6" t="s">
        <v>160</v>
      </c>
      <c r="J544" s="6" t="n">
        <f aca="false">SUMIFS(Kits!$C$5:$C$163,Kits!$A$5:$A$163,$D544,Kits!$B$5:$B$163,$E544)</f>
        <v>5</v>
      </c>
      <c r="K544" s="6" t="n">
        <f aca="false">INDEX(Services!$F$5:$F$85,MATCH($A544,Services!$A$5:$A$85,0))</f>
        <v>1</v>
      </c>
      <c r="L544" s="6" t="n">
        <f aca="false">IF($H544="Auto-deduct",IF($G544="Countable",ROUNDUP($J544*IF($I544="Y",$K544,1),0),ROUND($J544*IF($I544="Y",$K544,1),1)),$J544)</f>
        <v>5</v>
      </c>
      <c r="M544" s="6" t="str">
        <f aca="false">INDEX(Items!$E$5:$E$62,MATCH($E544,Items!$A$5:$A$62,0))</f>
        <v>mL</v>
      </c>
      <c r="N544" s="6" t="n">
        <f aca="false">ROUND($L544/INDEX(Items!$F$5:$F$62,MATCH($E544,Items!$A$5:$A$62,0)),4)</f>
        <v>0.01</v>
      </c>
      <c r="O544" s="6"/>
    </row>
    <row r="545" customFormat="false" ht="15" hidden="false" customHeight="false" outlineLevel="0" collapsed="false">
      <c r="A545" s="6" t="n">
        <v>56</v>
      </c>
      <c r="B545" s="6" t="s">
        <v>364</v>
      </c>
      <c r="C545" s="6" t="s">
        <v>352</v>
      </c>
      <c r="D545" s="6" t="s">
        <v>183</v>
      </c>
      <c r="E545" s="6" t="s">
        <v>96</v>
      </c>
      <c r="F545" s="6" t="str">
        <f aca="false">INDEX(Items!$B$5:$B$62,MATCH($E545,Items!$A$5:$A$62,0))</f>
        <v>FACIAL / TREATMENT PREP PRODUCTS</v>
      </c>
      <c r="G545" s="6" t="str">
        <f aca="false">INDEX(Items!$C$5:$C$62,MATCH($E545,Items!$A$5:$A$62,0))</f>
        <v>Bulk</v>
      </c>
      <c r="H545" s="6" t="s">
        <v>161</v>
      </c>
      <c r="I545" s="6" t="s">
        <v>160</v>
      </c>
      <c r="J545" s="6" t="n">
        <f aca="false">SUMIFS(Kits!$C$5:$C$163,Kits!$A$5:$A$163,$D545,Kits!$B$5:$B$163,$E545)</f>
        <v>10</v>
      </c>
      <c r="K545" s="6" t="n">
        <f aca="false">INDEX(Services!$F$5:$F$85,MATCH($A545,Services!$A$5:$A$85,0))</f>
        <v>1</v>
      </c>
      <c r="L545" s="6" t="n">
        <f aca="false">IF($H545="Auto-deduct",IF($G545="Countable",ROUNDUP($J545*IF($I545="Y",$K545,1),0),ROUND($J545*IF($I545="Y",$K545,1),1)),$J545)</f>
        <v>10</v>
      </c>
      <c r="M545" s="6" t="str">
        <f aca="false">INDEX(Items!$E$5:$E$62,MATCH($E545,Items!$A$5:$A$62,0))</f>
        <v>mL</v>
      </c>
      <c r="N545" s="6" t="n">
        <f aca="false">ROUND($L545/INDEX(Items!$F$5:$F$62,MATCH($E545,Items!$A$5:$A$62,0)),4)</f>
        <v>0.04</v>
      </c>
      <c r="O545" s="6"/>
    </row>
    <row r="546" customFormat="false" ht="15" hidden="false" customHeight="false" outlineLevel="0" collapsed="false">
      <c r="A546" s="6" t="n">
        <v>56</v>
      </c>
      <c r="B546" s="6" t="s">
        <v>364</v>
      </c>
      <c r="C546" s="6" t="s">
        <v>352</v>
      </c>
      <c r="D546" s="6" t="s">
        <v>183</v>
      </c>
      <c r="E546" s="6" t="s">
        <v>95</v>
      </c>
      <c r="F546" s="6" t="str">
        <f aca="false">INDEX(Items!$B$5:$B$62,MATCH($E546,Items!$A$5:$A$62,0))</f>
        <v>FACIAL / TREATMENT PREP PRODUCTS</v>
      </c>
      <c r="G546" s="6" t="str">
        <f aca="false">INDEX(Items!$C$5:$C$62,MATCH($E546,Items!$A$5:$A$62,0))</f>
        <v>Bulk</v>
      </c>
      <c r="H546" s="6" t="s">
        <v>161</v>
      </c>
      <c r="I546" s="6" t="s">
        <v>160</v>
      </c>
      <c r="J546" s="6" t="n">
        <f aca="false">SUMIFS(Kits!$C$5:$C$163,Kits!$A$5:$A$163,$D546,Kits!$B$5:$B$163,$E546)</f>
        <v>5</v>
      </c>
      <c r="K546" s="6" t="n">
        <f aca="false">INDEX(Services!$F$5:$F$85,MATCH($A546,Services!$A$5:$A$85,0))</f>
        <v>1</v>
      </c>
      <c r="L546" s="6" t="n">
        <f aca="false">IF($H546="Auto-deduct",IF($G546="Countable",ROUNDUP($J546*IF($I546="Y",$K546,1),0),ROUND($J546*IF($I546="Y",$K546,1),1)),$J546)</f>
        <v>5</v>
      </c>
      <c r="M546" s="6" t="str">
        <f aca="false">INDEX(Items!$E$5:$E$62,MATCH($E546,Items!$A$5:$A$62,0))</f>
        <v>mL</v>
      </c>
      <c r="N546" s="6" t="n">
        <f aca="false">ROUND($L546/INDEX(Items!$F$5:$F$62,MATCH($E546,Items!$A$5:$A$62,0)),4)</f>
        <v>0.01</v>
      </c>
      <c r="O546" s="6"/>
    </row>
    <row r="547" customFormat="false" ht="15" hidden="false" customHeight="false" outlineLevel="0" collapsed="false">
      <c r="A547" s="6" t="n">
        <v>56</v>
      </c>
      <c r="B547" s="6" t="s">
        <v>364</v>
      </c>
      <c r="C547" s="6" t="s">
        <v>352</v>
      </c>
      <c r="D547" s="6" t="s">
        <v>183</v>
      </c>
      <c r="E547" s="6" t="s">
        <v>97</v>
      </c>
      <c r="F547" s="6" t="str">
        <f aca="false">INDEX(Items!$B$5:$B$62,MATCH($E547,Items!$A$5:$A$62,0))</f>
        <v>FACIAL / TREATMENT PREP PRODUCTS</v>
      </c>
      <c r="G547" s="6" t="str">
        <f aca="false">INDEX(Items!$C$5:$C$62,MATCH($E547,Items!$A$5:$A$62,0))</f>
        <v>Bulk</v>
      </c>
      <c r="H547" s="6" t="s">
        <v>161</v>
      </c>
      <c r="I547" s="6" t="s">
        <v>160</v>
      </c>
      <c r="J547" s="6" t="n">
        <f aca="false">SUMIFS(Kits!$C$5:$C$163,Kits!$A$5:$A$163,$D547,Kits!$B$5:$B$163,$E547)</f>
        <v>5</v>
      </c>
      <c r="K547" s="6" t="n">
        <f aca="false">INDEX(Services!$F$5:$F$85,MATCH($A547,Services!$A$5:$A$85,0))</f>
        <v>1</v>
      </c>
      <c r="L547" s="6" t="n">
        <f aca="false">IF($H547="Auto-deduct",IF($G547="Countable",ROUNDUP($J547*IF($I547="Y",$K547,1),0),ROUND($J547*IF($I547="Y",$K547,1),1)),$J547)</f>
        <v>5</v>
      </c>
      <c r="M547" s="6" t="str">
        <f aca="false">INDEX(Items!$E$5:$E$62,MATCH($E547,Items!$A$5:$A$62,0))</f>
        <v>mL</v>
      </c>
      <c r="N547" s="6" t="n">
        <f aca="false">ROUND($L547/INDEX(Items!$F$5:$F$62,MATCH($E547,Items!$A$5:$A$62,0)),4)</f>
        <v>0.02</v>
      </c>
      <c r="O547" s="6"/>
    </row>
    <row r="548" customFormat="false" ht="15" hidden="false" customHeight="false" outlineLevel="0" collapsed="false">
      <c r="A548" s="6" t="n">
        <v>56</v>
      </c>
      <c r="B548" s="6" t="s">
        <v>364</v>
      </c>
      <c r="C548" s="6" t="s">
        <v>352</v>
      </c>
      <c r="D548" s="6" t="s">
        <v>183</v>
      </c>
      <c r="E548" s="6" t="s">
        <v>84</v>
      </c>
      <c r="F548" s="6" t="str">
        <f aca="false">INDEX(Items!$B$5:$B$62,MATCH($E548,Items!$A$5:$A$62,0))</f>
        <v>DISPOSABLES &amp; CLINIC CONSUMABLES</v>
      </c>
      <c r="G548" s="6" t="str">
        <f aca="false">INDEX(Items!$C$5:$C$62,MATCH($E548,Items!$A$5:$A$62,0))</f>
        <v>Countable</v>
      </c>
      <c r="H548" s="6" t="s">
        <v>161</v>
      </c>
      <c r="I548" s="6" t="s">
        <v>160</v>
      </c>
      <c r="J548" s="6" t="n">
        <f aca="false">SUMIFS(Kits!$C$5:$C$163,Kits!$A$5:$A$163,$D548,Kits!$B$5:$B$163,$E548)</f>
        <v>2</v>
      </c>
      <c r="K548" s="6" t="n">
        <f aca="false">INDEX(Services!$F$5:$F$85,MATCH($A548,Services!$A$5:$A$85,0))</f>
        <v>1</v>
      </c>
      <c r="L548" s="6" t="n">
        <f aca="false">IF($H548="Auto-deduct",IF($G548="Countable",ROUNDUP($J548*IF($I548="Y",$K548,1),0),ROUND($J548*IF($I548="Y",$K548,1),1)),$J548)</f>
        <v>2</v>
      </c>
      <c r="M548" s="6" t="str">
        <f aca="false">INDEX(Items!$E$5:$E$62,MATCH($E548,Items!$A$5:$A$62,0))</f>
        <v>pc</v>
      </c>
      <c r="N548" s="6" t="n">
        <f aca="false">ROUND($L548/INDEX(Items!$F$5:$F$62,MATCH($E548,Items!$A$5:$A$62,0)),4)</f>
        <v>2</v>
      </c>
      <c r="O548" s="6"/>
    </row>
    <row r="549" customFormat="false" ht="15" hidden="false" customHeight="false" outlineLevel="0" collapsed="false">
      <c r="A549" s="6" t="n">
        <v>56</v>
      </c>
      <c r="B549" s="6" t="s">
        <v>364</v>
      </c>
      <c r="C549" s="6" t="s">
        <v>352</v>
      </c>
      <c r="D549" s="6" t="s">
        <v>183</v>
      </c>
      <c r="E549" s="6" t="s">
        <v>74</v>
      </c>
      <c r="F549" s="6" t="str">
        <f aca="false">INDEX(Items!$B$5:$B$62,MATCH($E549,Items!$A$5:$A$62,0))</f>
        <v>DISPOSABLES &amp; CLINIC CONSUMABLES</v>
      </c>
      <c r="G549" s="6" t="str">
        <f aca="false">INDEX(Items!$C$5:$C$62,MATCH($E549,Items!$A$5:$A$62,0))</f>
        <v>Bulk</v>
      </c>
      <c r="H549" s="6" t="s">
        <v>161</v>
      </c>
      <c r="I549" s="6" t="s">
        <v>160</v>
      </c>
      <c r="J549" s="6" t="n">
        <f aca="false">SUMIFS(Kits!$C$5:$C$163,Kits!$A$5:$A$163,$D549,Kits!$B$5:$B$163,$E549)</f>
        <v>2</v>
      </c>
      <c r="K549" s="6" t="n">
        <f aca="false">INDEX(Services!$F$5:$F$85,MATCH($A549,Services!$A$5:$A$85,0))</f>
        <v>1</v>
      </c>
      <c r="L549" s="6" t="n">
        <f aca="false">IF($H549="Auto-deduct",IF($G549="Countable",ROUNDUP($J549*IF($I549="Y",$K549,1),0),ROUND($J549*IF($I549="Y",$K549,1),1)),$J549)</f>
        <v>2</v>
      </c>
      <c r="M549" s="6" t="str">
        <f aca="false">INDEX(Items!$E$5:$E$62,MATCH($E549,Items!$A$5:$A$62,0))</f>
        <v>pc</v>
      </c>
      <c r="N549" s="6" t="n">
        <f aca="false">ROUND($L549/INDEX(Items!$F$5:$F$62,MATCH($E549,Items!$A$5:$A$62,0)),4)</f>
        <v>0.02</v>
      </c>
      <c r="O549" s="6"/>
    </row>
    <row r="550" customFormat="false" ht="15" hidden="false" customHeight="false" outlineLevel="0" collapsed="false">
      <c r="A550" s="6" t="n">
        <v>56</v>
      </c>
      <c r="B550" s="6" t="s">
        <v>364</v>
      </c>
      <c r="C550" s="6" t="s">
        <v>352</v>
      </c>
      <c r="D550" s="6" t="s">
        <v>183</v>
      </c>
      <c r="E550" s="6" t="s">
        <v>109</v>
      </c>
      <c r="F550" s="6" t="str">
        <f aca="false">INDEX(Items!$B$5:$B$62,MATCH($E550,Items!$A$5:$A$62,0))</f>
        <v>FACIAL TREATMENT PRODUCTS (PROFESSIONAL USE)</v>
      </c>
      <c r="G550" s="6" t="str">
        <f aca="false">INDEX(Items!$C$5:$C$62,MATCH($E550,Items!$A$5:$A$62,0))</f>
        <v>Bulk</v>
      </c>
      <c r="H550" s="6" t="s">
        <v>161</v>
      </c>
      <c r="I550" s="6" t="s">
        <v>160</v>
      </c>
      <c r="J550" s="6" t="n">
        <f aca="false">SUMIFS(Kits!$C$5:$C$163,Kits!$A$5:$A$163,$D550,Kits!$B$5:$B$163,$E550)</f>
        <v>30</v>
      </c>
      <c r="K550" s="6" t="n">
        <f aca="false">INDEX(Services!$F$5:$F$85,MATCH($A550,Services!$A$5:$A$85,0))</f>
        <v>1</v>
      </c>
      <c r="L550" s="6" t="n">
        <f aca="false">IF($H550="Auto-deduct",IF($G550="Countable",ROUNDUP($J550*IF($I550="Y",$K550,1),0),ROUND($J550*IF($I550="Y",$K550,1),1)),$J550)</f>
        <v>30</v>
      </c>
      <c r="M550" s="6" t="str">
        <f aca="false">INDEX(Items!$E$5:$E$62,MATCH($E550,Items!$A$5:$A$62,0))</f>
        <v>g</v>
      </c>
      <c r="N550" s="6" t="n">
        <f aca="false">ROUND($L550/INDEX(Items!$F$5:$F$62,MATCH($E550,Items!$A$5:$A$62,0)),4)</f>
        <v>0.06</v>
      </c>
      <c r="O550" s="6"/>
    </row>
    <row r="551" customFormat="false" ht="15" hidden="false" customHeight="false" outlineLevel="0" collapsed="false">
      <c r="A551" s="6" t="n">
        <v>56</v>
      </c>
      <c r="B551" s="6" t="s">
        <v>364</v>
      </c>
      <c r="C551" s="6" t="s">
        <v>352</v>
      </c>
      <c r="D551" s="6" t="s">
        <v>183</v>
      </c>
      <c r="E551" s="6" t="s">
        <v>135</v>
      </c>
      <c r="F551" s="6" t="str">
        <f aca="false">INDEX(Items!$B$5:$B$62,MATCH($E551,Items!$A$5:$A$62,0))</f>
        <v>SKINCARE PRODUCTS (RETAIL / AFTERCARE)</v>
      </c>
      <c r="G551" s="6" t="str">
        <f aca="false">INDEX(Items!$C$5:$C$62,MATCH($E551,Items!$A$5:$A$62,0))</f>
        <v>Bulk</v>
      </c>
      <c r="H551" s="6" t="s">
        <v>161</v>
      </c>
      <c r="I551" s="6" t="s">
        <v>160</v>
      </c>
      <c r="J551" s="6" t="n">
        <f aca="false">SUMIFS(Kits!$C$5:$C$163,Kits!$A$5:$A$163,$D551,Kits!$B$5:$B$163,$E551)</f>
        <v>3</v>
      </c>
      <c r="K551" s="6" t="n">
        <f aca="false">INDEX(Services!$F$5:$F$85,MATCH($A551,Services!$A$5:$A$85,0))</f>
        <v>1</v>
      </c>
      <c r="L551" s="6" t="n">
        <f aca="false">IF($H551="Auto-deduct",IF($G551="Countable",ROUNDUP($J551*IF($I551="Y",$K551,1),0),ROUND($J551*IF($I551="Y",$K551,1),1)),$J551)</f>
        <v>3</v>
      </c>
      <c r="M551" s="6" t="str">
        <f aca="false">INDEX(Items!$E$5:$E$62,MATCH($E551,Items!$A$5:$A$62,0))</f>
        <v>g</v>
      </c>
      <c r="N551" s="6" t="n">
        <f aca="false">ROUND($L551/INDEX(Items!$F$5:$F$62,MATCH($E551,Items!$A$5:$A$62,0)),4)</f>
        <v>0.06</v>
      </c>
      <c r="O551" s="6"/>
    </row>
    <row r="552" customFormat="false" ht="15" hidden="false" customHeight="false" outlineLevel="0" collapsed="false">
      <c r="A552" s="6" t="n">
        <v>56</v>
      </c>
      <c r="B552" s="6" t="s">
        <v>364</v>
      </c>
      <c r="C552" s="6" t="s">
        <v>352</v>
      </c>
      <c r="D552" s="6" t="s">
        <v>183</v>
      </c>
      <c r="E552" s="6" t="s">
        <v>121</v>
      </c>
      <c r="F552" s="6" t="str">
        <f aca="false">INDEX(Items!$B$5:$B$62,MATCH($E552,Items!$A$5:$A$62,0))</f>
        <v>SKINCARE PRODUCTS (RETAIL / AFTERCARE)</v>
      </c>
      <c r="G552" s="6" t="str">
        <f aca="false">INDEX(Items!$C$5:$C$62,MATCH($E552,Items!$A$5:$A$62,0))</f>
        <v>Countable</v>
      </c>
      <c r="H552" s="6" t="s">
        <v>185</v>
      </c>
      <c r="I552" s="6" t="s">
        <v>160</v>
      </c>
      <c r="J552" s="6" t="n">
        <f aca="false">SUMIFS(Kits!$C$5:$C$163,Kits!$A$5:$A$163,$D552,Kits!$B$5:$B$163,$E552)</f>
        <v>1</v>
      </c>
      <c r="K552" s="6" t="n">
        <f aca="false">INDEX(Services!$F$5:$F$85,MATCH($A552,Services!$A$5:$A$85,0))</f>
        <v>1</v>
      </c>
      <c r="L552" s="6" t="n">
        <f aca="false">IF($H552="Auto-deduct",IF($G552="Countable",ROUNDUP($J552*IF($I552="Y",$K552,1),0),ROUND($J552*IF($I552="Y",$K552,1),1)),$J552)</f>
        <v>1</v>
      </c>
      <c r="M552" s="6" t="str">
        <f aca="false">INDEX(Items!$E$5:$E$62,MATCH($E552,Items!$A$5:$A$62,0))</f>
        <v>bottle</v>
      </c>
      <c r="N552" s="6" t="n">
        <f aca="false">ROUND($L552/INDEX(Items!$F$5:$F$62,MATCH($E552,Items!$A$5:$A$62,0)),4)</f>
        <v>1</v>
      </c>
      <c r="O552" s="6"/>
    </row>
    <row r="553" customFormat="false" ht="15" hidden="false" customHeight="false" outlineLevel="0" collapsed="false">
      <c r="A553" s="6" t="n">
        <v>56</v>
      </c>
      <c r="B553" s="6" t="s">
        <v>364</v>
      </c>
      <c r="C553" s="6" t="s">
        <v>352</v>
      </c>
      <c r="D553" s="6" t="s">
        <v>183</v>
      </c>
      <c r="E553" s="6" t="s">
        <v>143</v>
      </c>
      <c r="F553" s="6" t="str">
        <f aca="false">INDEX(Items!$B$5:$B$62,MATCH($E553,Items!$A$5:$A$62,0))</f>
        <v>SOAPS &amp; CLEANSERS</v>
      </c>
      <c r="G553" s="6" t="str">
        <f aca="false">INDEX(Items!$C$5:$C$62,MATCH($E553,Items!$A$5:$A$62,0))</f>
        <v>Countable</v>
      </c>
      <c r="H553" s="6" t="s">
        <v>185</v>
      </c>
      <c r="I553" s="6" t="s">
        <v>160</v>
      </c>
      <c r="J553" s="6" t="n">
        <f aca="false">SUMIFS(Kits!$C$5:$C$163,Kits!$A$5:$A$163,$D553,Kits!$B$5:$B$163,$E553)</f>
        <v>1</v>
      </c>
      <c r="K553" s="6" t="n">
        <f aca="false">INDEX(Services!$F$5:$F$85,MATCH($A553,Services!$A$5:$A$85,0))</f>
        <v>1</v>
      </c>
      <c r="L553" s="6" t="n">
        <f aca="false">IF($H553="Auto-deduct",IF($G553="Countable",ROUNDUP($J553*IF($I553="Y",$K553,1),0),ROUND($J553*IF($I553="Y",$K553,1),1)),$J553)</f>
        <v>1</v>
      </c>
      <c r="M553" s="6" t="str">
        <f aca="false">INDEX(Items!$E$5:$E$62,MATCH($E553,Items!$A$5:$A$62,0))</f>
        <v>bar</v>
      </c>
      <c r="N553" s="6" t="n">
        <f aca="false">ROUND($L553/INDEX(Items!$F$5:$F$62,MATCH($E553,Items!$A$5:$A$62,0)),4)</f>
        <v>1</v>
      </c>
      <c r="O553" s="6"/>
    </row>
    <row r="554" customFormat="false" ht="15" hidden="false" customHeight="false" outlineLevel="0" collapsed="false">
      <c r="A554" s="6" t="n">
        <v>57</v>
      </c>
      <c r="B554" s="6" t="s">
        <v>366</v>
      </c>
      <c r="C554" s="6" t="s">
        <v>352</v>
      </c>
      <c r="D554" s="6" t="s">
        <v>159</v>
      </c>
      <c r="E554" s="6" t="s">
        <v>52</v>
      </c>
      <c r="F554" s="6" t="str">
        <f aca="false">INDEX(Items!$B$5:$B$62,MATCH($E554,Items!$A$5:$A$62,0))</f>
        <v>DISPOSABLES &amp; CLINIC CONSUMABLES</v>
      </c>
      <c r="G554" s="6" t="str">
        <f aca="false">INDEX(Items!$C$5:$C$62,MATCH($E554,Items!$A$5:$A$62,0))</f>
        <v>Countable</v>
      </c>
      <c r="H554" s="6" t="s">
        <v>161</v>
      </c>
      <c r="I554" s="6" t="s">
        <v>160</v>
      </c>
      <c r="J554" s="6" t="n">
        <f aca="false">SUMIFS(Kits!$C$5:$C$163,Kits!$A$5:$A$163,$D554,Kits!$B$5:$B$163,$E554)</f>
        <v>1</v>
      </c>
      <c r="K554" s="6" t="n">
        <f aca="false">INDEX(Services!$F$5:$F$85,MATCH($A554,Services!$A$5:$A$85,0))</f>
        <v>1</v>
      </c>
      <c r="L554" s="6" t="n">
        <f aca="false">IF($H554="Auto-deduct",IF($G554="Countable",ROUNDUP($J554*IF($I554="Y",$K554,1),0),ROUND($J554*IF($I554="Y",$K554,1),1)),$J554)</f>
        <v>1</v>
      </c>
      <c r="M554" s="6" t="str">
        <f aca="false">INDEX(Items!$E$5:$E$62,MATCH($E554,Items!$A$5:$A$62,0))</f>
        <v>pc</v>
      </c>
      <c r="N554" s="6" t="n">
        <f aca="false">ROUND($L554/INDEX(Items!$F$5:$F$62,MATCH($E554,Items!$A$5:$A$62,0)),4)</f>
        <v>1</v>
      </c>
      <c r="O554" s="6"/>
    </row>
    <row r="555" customFormat="false" ht="15" hidden="false" customHeight="false" outlineLevel="0" collapsed="false">
      <c r="A555" s="6" t="n">
        <v>57</v>
      </c>
      <c r="B555" s="6" t="s">
        <v>366</v>
      </c>
      <c r="C555" s="6" t="s">
        <v>352</v>
      </c>
      <c r="D555" s="6" t="s">
        <v>159</v>
      </c>
      <c r="E555" s="6" t="s">
        <v>53</v>
      </c>
      <c r="F555" s="6" t="str">
        <f aca="false">INDEX(Items!$B$5:$B$62,MATCH($E555,Items!$A$5:$A$62,0))</f>
        <v>DISPOSABLES &amp; CLINIC CONSUMABLES</v>
      </c>
      <c r="G555" s="6" t="str">
        <f aca="false">INDEX(Items!$C$5:$C$62,MATCH($E555,Items!$A$5:$A$62,0))</f>
        <v>Countable</v>
      </c>
      <c r="H555" s="6" t="s">
        <v>161</v>
      </c>
      <c r="I555" s="6" t="s">
        <v>160</v>
      </c>
      <c r="J555" s="6" t="n">
        <f aca="false">SUMIFS(Kits!$C$5:$C$163,Kits!$A$5:$A$163,$D555,Kits!$B$5:$B$163,$E555)</f>
        <v>1</v>
      </c>
      <c r="K555" s="6" t="n">
        <f aca="false">INDEX(Services!$F$5:$F$85,MATCH($A555,Services!$A$5:$A$85,0))</f>
        <v>1</v>
      </c>
      <c r="L555" s="6" t="n">
        <f aca="false">IF($H555="Auto-deduct",IF($G555="Countable",ROUNDUP($J555*IF($I555="Y",$K555,1),0),ROUND($J555*IF($I555="Y",$K555,1),1)),$J555)</f>
        <v>1</v>
      </c>
      <c r="M555" s="6" t="str">
        <f aca="false">INDEX(Items!$E$5:$E$62,MATCH($E555,Items!$A$5:$A$62,0))</f>
        <v>pair</v>
      </c>
      <c r="N555" s="6" t="n">
        <f aca="false">ROUND($L555/INDEX(Items!$F$5:$F$62,MATCH($E555,Items!$A$5:$A$62,0)),4)</f>
        <v>1</v>
      </c>
      <c r="O555" s="6"/>
    </row>
    <row r="556" customFormat="false" ht="15" hidden="false" customHeight="false" outlineLevel="0" collapsed="false">
      <c r="A556" s="6" t="n">
        <v>57</v>
      </c>
      <c r="B556" s="6" t="s">
        <v>366</v>
      </c>
      <c r="C556" s="6" t="s">
        <v>352</v>
      </c>
      <c r="D556" s="6" t="s">
        <v>159</v>
      </c>
      <c r="E556" s="6" t="s">
        <v>88</v>
      </c>
      <c r="F556" s="6" t="str">
        <f aca="false">INDEX(Items!$B$5:$B$62,MATCH($E556,Items!$A$5:$A$62,0))</f>
        <v>DISPOSABLES &amp; CLINIC CONSUMABLES</v>
      </c>
      <c r="G556" s="6" t="str">
        <f aca="false">INDEX(Items!$C$5:$C$62,MATCH($E556,Items!$A$5:$A$62,0))</f>
        <v>Bulk</v>
      </c>
      <c r="H556" s="6" t="s">
        <v>161</v>
      </c>
      <c r="I556" s="6" t="s">
        <v>160</v>
      </c>
      <c r="J556" s="6" t="n">
        <f aca="false">SUMIFS(Kits!$C$5:$C$163,Kits!$A$5:$A$163,$D556,Kits!$B$5:$B$163,$E556)</f>
        <v>5</v>
      </c>
      <c r="K556" s="6" t="n">
        <f aca="false">INDEX(Services!$F$5:$F$85,MATCH($A556,Services!$A$5:$A$85,0))</f>
        <v>1</v>
      </c>
      <c r="L556" s="6" t="n">
        <f aca="false">IF($H556="Auto-deduct",IF($G556="Countable",ROUNDUP($J556*IF($I556="Y",$K556,1),0),ROUND($J556*IF($I556="Y",$K556,1),1)),$J556)</f>
        <v>5</v>
      </c>
      <c r="M556" s="6" t="str">
        <f aca="false">INDEX(Items!$E$5:$E$62,MATCH($E556,Items!$A$5:$A$62,0))</f>
        <v>mL</v>
      </c>
      <c r="N556" s="6" t="n">
        <f aca="false">ROUND($L556/INDEX(Items!$F$5:$F$62,MATCH($E556,Items!$A$5:$A$62,0)),4)</f>
        <v>0.01</v>
      </c>
      <c r="O556" s="6"/>
    </row>
    <row r="557" customFormat="false" ht="15" hidden="false" customHeight="false" outlineLevel="0" collapsed="false">
      <c r="A557" s="6" t="n">
        <v>57</v>
      </c>
      <c r="B557" s="6" t="s">
        <v>366</v>
      </c>
      <c r="C557" s="6" t="s">
        <v>352</v>
      </c>
      <c r="D557" s="6" t="s">
        <v>165</v>
      </c>
      <c r="E557" s="6" t="s">
        <v>50</v>
      </c>
      <c r="F557" s="6" t="str">
        <f aca="false">INDEX(Items!$B$5:$B$62,MATCH($E557,Items!$A$5:$A$62,0))</f>
        <v>DISPOSABLES &amp; CLINIC CONSUMABLES</v>
      </c>
      <c r="G557" s="6" t="str">
        <f aca="false">INDEX(Items!$C$5:$C$62,MATCH($E557,Items!$A$5:$A$62,0))</f>
        <v>Countable</v>
      </c>
      <c r="H557" s="6" t="s">
        <v>161</v>
      </c>
      <c r="I557" s="6" t="s">
        <v>160</v>
      </c>
      <c r="J557" s="6" t="n">
        <f aca="false">SUMIFS(Kits!$C$5:$C$163,Kits!$A$5:$A$163,$D557,Kits!$B$5:$B$163,$E557)</f>
        <v>1</v>
      </c>
      <c r="K557" s="6" t="n">
        <f aca="false">INDEX(Services!$F$5:$F$85,MATCH($A557,Services!$A$5:$A$85,0))</f>
        <v>1</v>
      </c>
      <c r="L557" s="6" t="n">
        <f aca="false">IF($H557="Auto-deduct",IF($G557="Countable",ROUNDUP($J557*IF($I557="Y",$K557,1),0),ROUND($J557*IF($I557="Y",$K557,1),1)),$J557)</f>
        <v>1</v>
      </c>
      <c r="M557" s="6" t="str">
        <f aca="false">INDEX(Items!$E$5:$E$62,MATCH($E557,Items!$A$5:$A$62,0))</f>
        <v>pc</v>
      </c>
      <c r="N557" s="6" t="n">
        <f aca="false">ROUND($L557/INDEX(Items!$F$5:$F$62,MATCH($E557,Items!$A$5:$A$62,0)),4)</f>
        <v>1</v>
      </c>
      <c r="O557" s="6"/>
    </row>
    <row r="558" customFormat="false" ht="15" hidden="false" customHeight="false" outlineLevel="0" collapsed="false">
      <c r="A558" s="6" t="n">
        <v>57</v>
      </c>
      <c r="B558" s="6" t="s">
        <v>366</v>
      </c>
      <c r="C558" s="6" t="s">
        <v>352</v>
      </c>
      <c r="D558" s="6" t="s">
        <v>165</v>
      </c>
      <c r="E558" s="6" t="s">
        <v>98</v>
      </c>
      <c r="F558" s="6" t="str">
        <f aca="false">INDEX(Items!$B$5:$B$62,MATCH($E558,Items!$A$5:$A$62,0))</f>
        <v>FACIAL / TREATMENT PREP PRODUCTS</v>
      </c>
      <c r="G558" s="6" t="str">
        <f aca="false">INDEX(Items!$C$5:$C$62,MATCH($E558,Items!$A$5:$A$62,0))</f>
        <v>Bulk</v>
      </c>
      <c r="H558" s="6" t="s">
        <v>161</v>
      </c>
      <c r="I558" s="6" t="s">
        <v>160</v>
      </c>
      <c r="J558" s="6" t="n">
        <f aca="false">SUMIFS(Kits!$C$5:$C$163,Kits!$A$5:$A$163,$D558,Kits!$B$5:$B$163,$E558)</f>
        <v>5</v>
      </c>
      <c r="K558" s="6" t="n">
        <f aca="false">INDEX(Services!$F$5:$F$85,MATCH($A558,Services!$A$5:$A$85,0))</f>
        <v>1</v>
      </c>
      <c r="L558" s="6" t="n">
        <f aca="false">IF($H558="Auto-deduct",IF($G558="Countable",ROUNDUP($J558*IF($I558="Y",$K558,1),0),ROUND($J558*IF($I558="Y",$K558,1),1)),$J558)</f>
        <v>5</v>
      </c>
      <c r="M558" s="6" t="str">
        <f aca="false">INDEX(Items!$E$5:$E$62,MATCH($E558,Items!$A$5:$A$62,0))</f>
        <v>mL</v>
      </c>
      <c r="N558" s="6" t="n">
        <f aca="false">ROUND($L558/INDEX(Items!$F$5:$F$62,MATCH($E558,Items!$A$5:$A$62,0)),4)</f>
        <v>0.01</v>
      </c>
      <c r="O558" s="6"/>
    </row>
    <row r="559" customFormat="false" ht="15" hidden="false" customHeight="false" outlineLevel="0" collapsed="false">
      <c r="A559" s="6" t="n">
        <v>57</v>
      </c>
      <c r="B559" s="6" t="s">
        <v>366</v>
      </c>
      <c r="C559" s="6" t="s">
        <v>352</v>
      </c>
      <c r="D559" s="6" t="s">
        <v>165</v>
      </c>
      <c r="E559" s="6" t="s">
        <v>92</v>
      </c>
      <c r="F559" s="6" t="str">
        <f aca="false">INDEX(Items!$B$5:$B$62,MATCH($E559,Items!$A$5:$A$62,0))</f>
        <v>FACIAL / TREATMENT PREP PRODUCTS</v>
      </c>
      <c r="G559" s="6" t="str">
        <f aca="false">INDEX(Items!$C$5:$C$62,MATCH($E559,Items!$A$5:$A$62,0))</f>
        <v>Bulk</v>
      </c>
      <c r="H559" s="6" t="s">
        <v>161</v>
      </c>
      <c r="I559" s="6" t="s">
        <v>160</v>
      </c>
      <c r="J559" s="6" t="n">
        <f aca="false">SUMIFS(Kits!$C$5:$C$163,Kits!$A$5:$A$163,$D559,Kits!$B$5:$B$163,$E559)</f>
        <v>10</v>
      </c>
      <c r="K559" s="6" t="n">
        <f aca="false">INDEX(Services!$F$5:$F$85,MATCH($A559,Services!$A$5:$A$85,0))</f>
        <v>1</v>
      </c>
      <c r="L559" s="6" t="n">
        <f aca="false">IF($H559="Auto-deduct",IF($G559="Countable",ROUNDUP($J559*IF($I559="Y",$K559,1),0),ROUND($J559*IF($I559="Y",$K559,1),1)),$J559)</f>
        <v>10</v>
      </c>
      <c r="M559" s="6" t="str">
        <f aca="false">INDEX(Items!$E$5:$E$62,MATCH($E559,Items!$A$5:$A$62,0))</f>
        <v>mL</v>
      </c>
      <c r="N559" s="6" t="n">
        <f aca="false">ROUND($L559/INDEX(Items!$F$5:$F$62,MATCH($E559,Items!$A$5:$A$62,0)),4)</f>
        <v>0.02</v>
      </c>
      <c r="O559" s="6"/>
    </row>
    <row r="560" customFormat="false" ht="15" hidden="false" customHeight="false" outlineLevel="0" collapsed="false">
      <c r="A560" s="6" t="n">
        <v>57</v>
      </c>
      <c r="B560" s="6" t="s">
        <v>366</v>
      </c>
      <c r="C560" s="6" t="s">
        <v>352</v>
      </c>
      <c r="D560" s="6" t="s">
        <v>165</v>
      </c>
      <c r="E560" s="6" t="s">
        <v>69</v>
      </c>
      <c r="F560" s="6" t="str">
        <f aca="false">INDEX(Items!$B$5:$B$62,MATCH($E560,Items!$A$5:$A$62,0))</f>
        <v>DISPOSABLES &amp; CLINIC CONSUMABLES</v>
      </c>
      <c r="G560" s="6" t="str">
        <f aca="false">INDEX(Items!$C$5:$C$62,MATCH($E560,Items!$A$5:$A$62,0))</f>
        <v>Bulk</v>
      </c>
      <c r="H560" s="6" t="s">
        <v>161</v>
      </c>
      <c r="I560" s="6" t="s">
        <v>160</v>
      </c>
      <c r="J560" s="6" t="n">
        <f aca="false">SUMIFS(Kits!$C$5:$C$163,Kits!$A$5:$A$163,$D560,Kits!$B$5:$B$163,$E560)</f>
        <v>5</v>
      </c>
      <c r="K560" s="6" t="n">
        <f aca="false">INDEX(Services!$F$5:$F$85,MATCH($A560,Services!$A$5:$A$85,0))</f>
        <v>1</v>
      </c>
      <c r="L560" s="6" t="n">
        <f aca="false">IF($H560="Auto-deduct",IF($G560="Countable",ROUNDUP($J560*IF($I560="Y",$K560,1),0),ROUND($J560*IF($I560="Y",$K560,1),1)),$J560)</f>
        <v>5</v>
      </c>
      <c r="M560" s="6" t="str">
        <f aca="false">INDEX(Items!$E$5:$E$62,MATCH($E560,Items!$A$5:$A$62,0))</f>
        <v>g</v>
      </c>
      <c r="N560" s="6" t="n">
        <f aca="false">ROUND($L560/INDEX(Items!$F$5:$F$62,MATCH($E560,Items!$A$5:$A$62,0)),4)</f>
        <v>0.0125</v>
      </c>
      <c r="O560" s="6"/>
    </row>
    <row r="561" customFormat="false" ht="15" hidden="false" customHeight="false" outlineLevel="0" collapsed="false">
      <c r="A561" s="6" t="n">
        <v>57</v>
      </c>
      <c r="B561" s="6" t="s">
        <v>366</v>
      </c>
      <c r="C561" s="6" t="s">
        <v>352</v>
      </c>
      <c r="D561" s="6" t="s">
        <v>165</v>
      </c>
      <c r="E561" s="6" t="s">
        <v>58</v>
      </c>
      <c r="F561" s="6" t="str">
        <f aca="false">INDEX(Items!$B$5:$B$62,MATCH($E561,Items!$A$5:$A$62,0))</f>
        <v>DISPOSABLES &amp; CLINIC CONSUMABLES</v>
      </c>
      <c r="G561" s="6" t="str">
        <f aca="false">INDEX(Items!$C$5:$C$62,MATCH($E561,Items!$A$5:$A$62,0))</f>
        <v>Bulk</v>
      </c>
      <c r="H561" s="6" t="s">
        <v>161</v>
      </c>
      <c r="I561" s="6" t="s">
        <v>160</v>
      </c>
      <c r="J561" s="6" t="n">
        <f aca="false">SUMIFS(Kits!$C$5:$C$163,Kits!$A$5:$A$163,$D561,Kits!$B$5:$B$163,$E561)</f>
        <v>6</v>
      </c>
      <c r="K561" s="6" t="n">
        <f aca="false">INDEX(Services!$F$5:$F$85,MATCH($A561,Services!$A$5:$A$85,0))</f>
        <v>1</v>
      </c>
      <c r="L561" s="6" t="n">
        <f aca="false">IF($H561="Auto-deduct",IF($G561="Countable",ROUNDUP($J561*IF($I561="Y",$K561,1),0),ROUND($J561*IF($I561="Y",$K561,1),1)),$J561)</f>
        <v>6</v>
      </c>
      <c r="M561" s="6" t="str">
        <f aca="false">INDEX(Items!$E$5:$E$62,MATCH($E561,Items!$A$5:$A$62,0))</f>
        <v>sheet</v>
      </c>
      <c r="N561" s="6" t="n">
        <f aca="false">ROUND($L561/INDEX(Items!$F$5:$F$62,MATCH($E561,Items!$A$5:$A$62,0)),4)</f>
        <v>0.03</v>
      </c>
      <c r="O561" s="6"/>
    </row>
    <row r="562" customFormat="false" ht="15" hidden="false" customHeight="false" outlineLevel="0" collapsed="false">
      <c r="A562" s="6" t="n">
        <v>57</v>
      </c>
      <c r="B562" s="6" t="s">
        <v>366</v>
      </c>
      <c r="C562" s="6" t="s">
        <v>352</v>
      </c>
      <c r="D562" s="6" t="s">
        <v>167</v>
      </c>
      <c r="E562" s="6" t="s">
        <v>72</v>
      </c>
      <c r="F562" s="6" t="str">
        <f aca="false">INDEX(Items!$B$5:$B$62,MATCH($E562,Items!$A$5:$A$62,0))</f>
        <v>DISPOSABLES &amp; CLINIC CONSUMABLES</v>
      </c>
      <c r="G562" s="6" t="str">
        <f aca="false">INDEX(Items!$C$5:$C$62,MATCH($E562,Items!$A$5:$A$62,0))</f>
        <v>Bulk</v>
      </c>
      <c r="H562" s="6" t="s">
        <v>161</v>
      </c>
      <c r="I562" s="6" t="s">
        <v>160</v>
      </c>
      <c r="J562" s="6" t="n">
        <f aca="false">SUMIFS(Kits!$C$5:$C$163,Kits!$A$5:$A$163,$D562,Kits!$B$5:$B$163,$E562)</f>
        <v>4</v>
      </c>
      <c r="K562" s="6" t="n">
        <f aca="false">INDEX(Services!$F$5:$F$85,MATCH($A562,Services!$A$5:$A$85,0))</f>
        <v>1</v>
      </c>
      <c r="L562" s="6" t="n">
        <f aca="false">IF($H562="Auto-deduct",IF($G562="Countable",ROUNDUP($J562*IF($I562="Y",$K562,1),0),ROUND($J562*IF($I562="Y",$K562,1),1)),$J562)</f>
        <v>4</v>
      </c>
      <c r="M562" s="6" t="str">
        <f aca="false">INDEX(Items!$E$5:$E$62,MATCH($E562,Items!$A$5:$A$62,0))</f>
        <v>pc</v>
      </c>
      <c r="N562" s="6" t="n">
        <f aca="false">ROUND($L562/INDEX(Items!$F$5:$F$62,MATCH($E562,Items!$A$5:$A$62,0)),4)</f>
        <v>0.04</v>
      </c>
      <c r="O562" s="6"/>
    </row>
    <row r="563" customFormat="false" ht="15" hidden="false" customHeight="false" outlineLevel="0" collapsed="false">
      <c r="A563" s="6" t="n">
        <v>57</v>
      </c>
      <c r="B563" s="6" t="s">
        <v>366</v>
      </c>
      <c r="C563" s="6" t="s">
        <v>352</v>
      </c>
      <c r="D563" s="6" t="s">
        <v>167</v>
      </c>
      <c r="E563" s="6" t="s">
        <v>81</v>
      </c>
      <c r="F563" s="6" t="str">
        <f aca="false">INDEX(Items!$B$5:$B$62,MATCH($E563,Items!$A$5:$A$62,0))</f>
        <v>DISPOSABLES &amp; CLINIC CONSUMABLES</v>
      </c>
      <c r="G563" s="6" t="str">
        <f aca="false">INDEX(Items!$C$5:$C$62,MATCH($E563,Items!$A$5:$A$62,0))</f>
        <v>Bulk</v>
      </c>
      <c r="H563" s="6" t="s">
        <v>161</v>
      </c>
      <c r="I563" s="6" t="s">
        <v>160</v>
      </c>
      <c r="J563" s="6" t="n">
        <f aca="false">SUMIFS(Kits!$C$5:$C$163,Kits!$A$5:$A$163,$D563,Kits!$B$5:$B$163,$E563)</f>
        <v>2</v>
      </c>
      <c r="K563" s="6" t="n">
        <f aca="false">INDEX(Services!$F$5:$F$85,MATCH($A563,Services!$A$5:$A$85,0))</f>
        <v>1</v>
      </c>
      <c r="L563" s="6" t="n">
        <f aca="false">IF($H563="Auto-deduct",IF($G563="Countable",ROUNDUP($J563*IF($I563="Y",$K563,1),0),ROUND($J563*IF($I563="Y",$K563,1),1)),$J563)</f>
        <v>2</v>
      </c>
      <c r="M563" s="6" t="str">
        <f aca="false">INDEX(Items!$E$5:$E$62,MATCH($E563,Items!$A$5:$A$62,0))</f>
        <v>pc</v>
      </c>
      <c r="N563" s="6" t="n">
        <f aca="false">ROUND($L563/INDEX(Items!$F$5:$F$62,MATCH($E563,Items!$A$5:$A$62,0)),4)</f>
        <v>0.02</v>
      </c>
      <c r="O563" s="6"/>
    </row>
    <row r="564" customFormat="false" ht="15" hidden="false" customHeight="false" outlineLevel="0" collapsed="false">
      <c r="A564" s="6" t="n">
        <v>57</v>
      </c>
      <c r="B564" s="6" t="s">
        <v>366</v>
      </c>
      <c r="C564" s="6" t="s">
        <v>352</v>
      </c>
      <c r="D564" s="6" t="s">
        <v>167</v>
      </c>
      <c r="E564" s="6" t="s">
        <v>88</v>
      </c>
      <c r="F564" s="6" t="str">
        <f aca="false">INDEX(Items!$B$5:$B$62,MATCH($E564,Items!$A$5:$A$62,0))</f>
        <v>DISPOSABLES &amp; CLINIC CONSUMABLES</v>
      </c>
      <c r="G564" s="6" t="str">
        <f aca="false">INDEX(Items!$C$5:$C$62,MATCH($E564,Items!$A$5:$A$62,0))</f>
        <v>Bulk</v>
      </c>
      <c r="H564" s="6" t="s">
        <v>161</v>
      </c>
      <c r="I564" s="6" t="s">
        <v>160</v>
      </c>
      <c r="J564" s="6" t="n">
        <f aca="false">SUMIFS(Kits!$C$5:$C$163,Kits!$A$5:$A$163,$D564,Kits!$B$5:$B$163,$E564)</f>
        <v>5</v>
      </c>
      <c r="K564" s="6" t="n">
        <f aca="false">INDEX(Services!$F$5:$F$85,MATCH($A564,Services!$A$5:$A$85,0))</f>
        <v>1</v>
      </c>
      <c r="L564" s="6" t="n">
        <f aca="false">IF($H564="Auto-deduct",IF($G564="Countable",ROUNDUP($J564*IF($I564="Y",$K564,1),0),ROUND($J564*IF($I564="Y",$K564,1),1)),$J564)</f>
        <v>5</v>
      </c>
      <c r="M564" s="6" t="str">
        <f aca="false">INDEX(Items!$E$5:$E$62,MATCH($E564,Items!$A$5:$A$62,0))</f>
        <v>mL</v>
      </c>
      <c r="N564" s="6" t="n">
        <f aca="false">ROUND($L564/INDEX(Items!$F$5:$F$62,MATCH($E564,Items!$A$5:$A$62,0)),4)</f>
        <v>0.01</v>
      </c>
      <c r="O564" s="6"/>
    </row>
    <row r="565" customFormat="false" ht="15" hidden="false" customHeight="false" outlineLevel="0" collapsed="false">
      <c r="A565" s="6" t="n">
        <v>57</v>
      </c>
      <c r="B565" s="6" t="s">
        <v>366</v>
      </c>
      <c r="C565" s="6" t="s">
        <v>352</v>
      </c>
      <c r="D565" s="6" t="s">
        <v>183</v>
      </c>
      <c r="E565" s="6" t="s">
        <v>96</v>
      </c>
      <c r="F565" s="6" t="str">
        <f aca="false">INDEX(Items!$B$5:$B$62,MATCH($E565,Items!$A$5:$A$62,0))</f>
        <v>FACIAL / TREATMENT PREP PRODUCTS</v>
      </c>
      <c r="G565" s="6" t="str">
        <f aca="false">INDEX(Items!$C$5:$C$62,MATCH($E565,Items!$A$5:$A$62,0))</f>
        <v>Bulk</v>
      </c>
      <c r="H565" s="6" t="s">
        <v>161</v>
      </c>
      <c r="I565" s="6" t="s">
        <v>160</v>
      </c>
      <c r="J565" s="6" t="n">
        <f aca="false">SUMIFS(Kits!$C$5:$C$163,Kits!$A$5:$A$163,$D565,Kits!$B$5:$B$163,$E565)</f>
        <v>10</v>
      </c>
      <c r="K565" s="6" t="n">
        <f aca="false">INDEX(Services!$F$5:$F$85,MATCH($A565,Services!$A$5:$A$85,0))</f>
        <v>1</v>
      </c>
      <c r="L565" s="6" t="n">
        <f aca="false">IF($H565="Auto-deduct",IF($G565="Countable",ROUNDUP($J565*IF($I565="Y",$K565,1),0),ROUND($J565*IF($I565="Y",$K565,1),1)),$J565)</f>
        <v>10</v>
      </c>
      <c r="M565" s="6" t="str">
        <f aca="false">INDEX(Items!$E$5:$E$62,MATCH($E565,Items!$A$5:$A$62,0))</f>
        <v>mL</v>
      </c>
      <c r="N565" s="6" t="n">
        <f aca="false">ROUND($L565/INDEX(Items!$F$5:$F$62,MATCH($E565,Items!$A$5:$A$62,0)),4)</f>
        <v>0.04</v>
      </c>
      <c r="O565" s="6"/>
    </row>
    <row r="566" customFormat="false" ht="15" hidden="false" customHeight="false" outlineLevel="0" collapsed="false">
      <c r="A566" s="6" t="n">
        <v>57</v>
      </c>
      <c r="B566" s="6" t="s">
        <v>366</v>
      </c>
      <c r="C566" s="6" t="s">
        <v>352</v>
      </c>
      <c r="D566" s="6" t="s">
        <v>183</v>
      </c>
      <c r="E566" s="6" t="s">
        <v>95</v>
      </c>
      <c r="F566" s="6" t="str">
        <f aca="false">INDEX(Items!$B$5:$B$62,MATCH($E566,Items!$A$5:$A$62,0))</f>
        <v>FACIAL / TREATMENT PREP PRODUCTS</v>
      </c>
      <c r="G566" s="6" t="str">
        <f aca="false">INDEX(Items!$C$5:$C$62,MATCH($E566,Items!$A$5:$A$62,0))</f>
        <v>Bulk</v>
      </c>
      <c r="H566" s="6" t="s">
        <v>161</v>
      </c>
      <c r="I566" s="6" t="s">
        <v>160</v>
      </c>
      <c r="J566" s="6" t="n">
        <f aca="false">SUMIFS(Kits!$C$5:$C$163,Kits!$A$5:$A$163,$D566,Kits!$B$5:$B$163,$E566)</f>
        <v>5</v>
      </c>
      <c r="K566" s="6" t="n">
        <f aca="false">INDEX(Services!$F$5:$F$85,MATCH($A566,Services!$A$5:$A$85,0))</f>
        <v>1</v>
      </c>
      <c r="L566" s="6" t="n">
        <f aca="false">IF($H566="Auto-deduct",IF($G566="Countable",ROUNDUP($J566*IF($I566="Y",$K566,1),0),ROUND($J566*IF($I566="Y",$K566,1),1)),$J566)</f>
        <v>5</v>
      </c>
      <c r="M566" s="6" t="str">
        <f aca="false">INDEX(Items!$E$5:$E$62,MATCH($E566,Items!$A$5:$A$62,0))</f>
        <v>mL</v>
      </c>
      <c r="N566" s="6" t="n">
        <f aca="false">ROUND($L566/INDEX(Items!$F$5:$F$62,MATCH($E566,Items!$A$5:$A$62,0)),4)</f>
        <v>0.01</v>
      </c>
      <c r="O566" s="6"/>
    </row>
    <row r="567" customFormat="false" ht="15" hidden="false" customHeight="false" outlineLevel="0" collapsed="false">
      <c r="A567" s="6" t="n">
        <v>57</v>
      </c>
      <c r="B567" s="6" t="s">
        <v>366</v>
      </c>
      <c r="C567" s="6" t="s">
        <v>352</v>
      </c>
      <c r="D567" s="6" t="s">
        <v>183</v>
      </c>
      <c r="E567" s="6" t="s">
        <v>97</v>
      </c>
      <c r="F567" s="6" t="str">
        <f aca="false">INDEX(Items!$B$5:$B$62,MATCH($E567,Items!$A$5:$A$62,0))</f>
        <v>FACIAL / TREATMENT PREP PRODUCTS</v>
      </c>
      <c r="G567" s="6" t="str">
        <f aca="false">INDEX(Items!$C$5:$C$62,MATCH($E567,Items!$A$5:$A$62,0))</f>
        <v>Bulk</v>
      </c>
      <c r="H567" s="6" t="s">
        <v>161</v>
      </c>
      <c r="I567" s="6" t="s">
        <v>160</v>
      </c>
      <c r="J567" s="6" t="n">
        <f aca="false">SUMIFS(Kits!$C$5:$C$163,Kits!$A$5:$A$163,$D567,Kits!$B$5:$B$163,$E567)</f>
        <v>5</v>
      </c>
      <c r="K567" s="6" t="n">
        <f aca="false">INDEX(Services!$F$5:$F$85,MATCH($A567,Services!$A$5:$A$85,0))</f>
        <v>1</v>
      </c>
      <c r="L567" s="6" t="n">
        <f aca="false">IF($H567="Auto-deduct",IF($G567="Countable",ROUNDUP($J567*IF($I567="Y",$K567,1),0),ROUND($J567*IF($I567="Y",$K567,1),1)),$J567)</f>
        <v>5</v>
      </c>
      <c r="M567" s="6" t="str">
        <f aca="false">INDEX(Items!$E$5:$E$62,MATCH($E567,Items!$A$5:$A$62,0))</f>
        <v>mL</v>
      </c>
      <c r="N567" s="6" t="n">
        <f aca="false">ROUND($L567/INDEX(Items!$F$5:$F$62,MATCH($E567,Items!$A$5:$A$62,0)),4)</f>
        <v>0.02</v>
      </c>
      <c r="O567" s="6"/>
    </row>
    <row r="568" customFormat="false" ht="15" hidden="false" customHeight="false" outlineLevel="0" collapsed="false">
      <c r="A568" s="6" t="n">
        <v>57</v>
      </c>
      <c r="B568" s="6" t="s">
        <v>366</v>
      </c>
      <c r="C568" s="6" t="s">
        <v>352</v>
      </c>
      <c r="D568" s="6" t="s">
        <v>183</v>
      </c>
      <c r="E568" s="6" t="s">
        <v>84</v>
      </c>
      <c r="F568" s="6" t="str">
        <f aca="false">INDEX(Items!$B$5:$B$62,MATCH($E568,Items!$A$5:$A$62,0))</f>
        <v>DISPOSABLES &amp; CLINIC CONSUMABLES</v>
      </c>
      <c r="G568" s="6" t="str">
        <f aca="false">INDEX(Items!$C$5:$C$62,MATCH($E568,Items!$A$5:$A$62,0))</f>
        <v>Countable</v>
      </c>
      <c r="H568" s="6" t="s">
        <v>161</v>
      </c>
      <c r="I568" s="6" t="s">
        <v>160</v>
      </c>
      <c r="J568" s="6" t="n">
        <f aca="false">SUMIFS(Kits!$C$5:$C$163,Kits!$A$5:$A$163,$D568,Kits!$B$5:$B$163,$E568)</f>
        <v>2</v>
      </c>
      <c r="K568" s="6" t="n">
        <f aca="false">INDEX(Services!$F$5:$F$85,MATCH($A568,Services!$A$5:$A$85,0))</f>
        <v>1</v>
      </c>
      <c r="L568" s="6" t="n">
        <f aca="false">IF($H568="Auto-deduct",IF($G568="Countable",ROUNDUP($J568*IF($I568="Y",$K568,1),0),ROUND($J568*IF($I568="Y",$K568,1),1)),$J568)</f>
        <v>2</v>
      </c>
      <c r="M568" s="6" t="str">
        <f aca="false">INDEX(Items!$E$5:$E$62,MATCH($E568,Items!$A$5:$A$62,0))</f>
        <v>pc</v>
      </c>
      <c r="N568" s="6" t="n">
        <f aca="false">ROUND($L568/INDEX(Items!$F$5:$F$62,MATCH($E568,Items!$A$5:$A$62,0)),4)</f>
        <v>2</v>
      </c>
      <c r="O568" s="6"/>
    </row>
    <row r="569" customFormat="false" ht="15" hidden="false" customHeight="false" outlineLevel="0" collapsed="false">
      <c r="A569" s="6" t="n">
        <v>57</v>
      </c>
      <c r="B569" s="6" t="s">
        <v>366</v>
      </c>
      <c r="C569" s="6" t="s">
        <v>352</v>
      </c>
      <c r="D569" s="6" t="s">
        <v>183</v>
      </c>
      <c r="E569" s="6" t="s">
        <v>74</v>
      </c>
      <c r="F569" s="6" t="str">
        <f aca="false">INDEX(Items!$B$5:$B$62,MATCH($E569,Items!$A$5:$A$62,0))</f>
        <v>DISPOSABLES &amp; CLINIC CONSUMABLES</v>
      </c>
      <c r="G569" s="6" t="str">
        <f aca="false">INDEX(Items!$C$5:$C$62,MATCH($E569,Items!$A$5:$A$62,0))</f>
        <v>Bulk</v>
      </c>
      <c r="H569" s="6" t="s">
        <v>161</v>
      </c>
      <c r="I569" s="6" t="s">
        <v>160</v>
      </c>
      <c r="J569" s="6" t="n">
        <f aca="false">SUMIFS(Kits!$C$5:$C$163,Kits!$A$5:$A$163,$D569,Kits!$B$5:$B$163,$E569)</f>
        <v>2</v>
      </c>
      <c r="K569" s="6" t="n">
        <f aca="false">INDEX(Services!$F$5:$F$85,MATCH($A569,Services!$A$5:$A$85,0))</f>
        <v>1</v>
      </c>
      <c r="L569" s="6" t="n">
        <f aca="false">IF($H569="Auto-deduct",IF($G569="Countable",ROUNDUP($J569*IF($I569="Y",$K569,1),0),ROUND($J569*IF($I569="Y",$K569,1),1)),$J569)</f>
        <v>2</v>
      </c>
      <c r="M569" s="6" t="str">
        <f aca="false">INDEX(Items!$E$5:$E$62,MATCH($E569,Items!$A$5:$A$62,0))</f>
        <v>pc</v>
      </c>
      <c r="N569" s="6" t="n">
        <f aca="false">ROUND($L569/INDEX(Items!$F$5:$F$62,MATCH($E569,Items!$A$5:$A$62,0)),4)</f>
        <v>0.02</v>
      </c>
      <c r="O569" s="6"/>
    </row>
    <row r="570" customFormat="false" ht="15" hidden="false" customHeight="false" outlineLevel="0" collapsed="false">
      <c r="A570" s="6" t="n">
        <v>57</v>
      </c>
      <c r="B570" s="6" t="s">
        <v>366</v>
      </c>
      <c r="C570" s="6" t="s">
        <v>352</v>
      </c>
      <c r="D570" s="6" t="s">
        <v>183</v>
      </c>
      <c r="E570" s="6" t="s">
        <v>109</v>
      </c>
      <c r="F570" s="6" t="str">
        <f aca="false">INDEX(Items!$B$5:$B$62,MATCH($E570,Items!$A$5:$A$62,0))</f>
        <v>FACIAL TREATMENT PRODUCTS (PROFESSIONAL USE)</v>
      </c>
      <c r="G570" s="6" t="str">
        <f aca="false">INDEX(Items!$C$5:$C$62,MATCH($E570,Items!$A$5:$A$62,0))</f>
        <v>Bulk</v>
      </c>
      <c r="H570" s="6" t="s">
        <v>161</v>
      </c>
      <c r="I570" s="6" t="s">
        <v>160</v>
      </c>
      <c r="J570" s="6" t="n">
        <f aca="false">SUMIFS(Kits!$C$5:$C$163,Kits!$A$5:$A$163,$D570,Kits!$B$5:$B$163,$E570)</f>
        <v>30</v>
      </c>
      <c r="K570" s="6" t="n">
        <f aca="false">INDEX(Services!$F$5:$F$85,MATCH($A570,Services!$A$5:$A$85,0))</f>
        <v>1</v>
      </c>
      <c r="L570" s="6" t="n">
        <f aca="false">IF($H570="Auto-deduct",IF($G570="Countable",ROUNDUP($J570*IF($I570="Y",$K570,1),0),ROUND($J570*IF($I570="Y",$K570,1),1)),$J570)</f>
        <v>30</v>
      </c>
      <c r="M570" s="6" t="str">
        <f aca="false">INDEX(Items!$E$5:$E$62,MATCH($E570,Items!$A$5:$A$62,0))</f>
        <v>g</v>
      </c>
      <c r="N570" s="6" t="n">
        <f aca="false">ROUND($L570/INDEX(Items!$F$5:$F$62,MATCH($E570,Items!$A$5:$A$62,0)),4)</f>
        <v>0.06</v>
      </c>
      <c r="O570" s="6"/>
    </row>
    <row r="571" customFormat="false" ht="15" hidden="false" customHeight="false" outlineLevel="0" collapsed="false">
      <c r="A571" s="6" t="n">
        <v>57</v>
      </c>
      <c r="B571" s="6" t="s">
        <v>366</v>
      </c>
      <c r="C571" s="6" t="s">
        <v>352</v>
      </c>
      <c r="D571" s="6" t="s">
        <v>183</v>
      </c>
      <c r="E571" s="6" t="s">
        <v>135</v>
      </c>
      <c r="F571" s="6" t="str">
        <f aca="false">INDEX(Items!$B$5:$B$62,MATCH($E571,Items!$A$5:$A$62,0))</f>
        <v>SKINCARE PRODUCTS (RETAIL / AFTERCARE)</v>
      </c>
      <c r="G571" s="6" t="str">
        <f aca="false">INDEX(Items!$C$5:$C$62,MATCH($E571,Items!$A$5:$A$62,0))</f>
        <v>Bulk</v>
      </c>
      <c r="H571" s="6" t="s">
        <v>161</v>
      </c>
      <c r="I571" s="6" t="s">
        <v>160</v>
      </c>
      <c r="J571" s="6" t="n">
        <f aca="false">SUMIFS(Kits!$C$5:$C$163,Kits!$A$5:$A$163,$D571,Kits!$B$5:$B$163,$E571)</f>
        <v>3</v>
      </c>
      <c r="K571" s="6" t="n">
        <f aca="false">INDEX(Services!$F$5:$F$85,MATCH($A571,Services!$A$5:$A$85,0))</f>
        <v>1</v>
      </c>
      <c r="L571" s="6" t="n">
        <f aca="false">IF($H571="Auto-deduct",IF($G571="Countable",ROUNDUP($J571*IF($I571="Y",$K571,1),0),ROUND($J571*IF($I571="Y",$K571,1),1)),$J571)</f>
        <v>3</v>
      </c>
      <c r="M571" s="6" t="str">
        <f aca="false">INDEX(Items!$E$5:$E$62,MATCH($E571,Items!$A$5:$A$62,0))</f>
        <v>g</v>
      </c>
      <c r="N571" s="6" t="n">
        <f aca="false">ROUND($L571/INDEX(Items!$F$5:$F$62,MATCH($E571,Items!$A$5:$A$62,0)),4)</f>
        <v>0.06</v>
      </c>
      <c r="O571" s="6"/>
    </row>
    <row r="572" customFormat="false" ht="15" hidden="false" customHeight="false" outlineLevel="0" collapsed="false">
      <c r="A572" s="6" t="n">
        <v>57</v>
      </c>
      <c r="B572" s="6" t="s">
        <v>366</v>
      </c>
      <c r="C572" s="6" t="s">
        <v>352</v>
      </c>
      <c r="D572" s="6" t="s">
        <v>183</v>
      </c>
      <c r="E572" s="6" t="s">
        <v>121</v>
      </c>
      <c r="F572" s="6" t="str">
        <f aca="false">INDEX(Items!$B$5:$B$62,MATCH($E572,Items!$A$5:$A$62,0))</f>
        <v>SKINCARE PRODUCTS (RETAIL / AFTERCARE)</v>
      </c>
      <c r="G572" s="6" t="str">
        <f aca="false">INDEX(Items!$C$5:$C$62,MATCH($E572,Items!$A$5:$A$62,0))</f>
        <v>Countable</v>
      </c>
      <c r="H572" s="6" t="s">
        <v>185</v>
      </c>
      <c r="I572" s="6" t="s">
        <v>160</v>
      </c>
      <c r="J572" s="6" t="n">
        <f aca="false">SUMIFS(Kits!$C$5:$C$163,Kits!$A$5:$A$163,$D572,Kits!$B$5:$B$163,$E572)</f>
        <v>1</v>
      </c>
      <c r="K572" s="6" t="n">
        <f aca="false">INDEX(Services!$F$5:$F$85,MATCH($A572,Services!$A$5:$A$85,0))</f>
        <v>1</v>
      </c>
      <c r="L572" s="6" t="n">
        <f aca="false">IF($H572="Auto-deduct",IF($G572="Countable",ROUNDUP($J572*IF($I572="Y",$K572,1),0),ROUND($J572*IF($I572="Y",$K572,1),1)),$J572)</f>
        <v>1</v>
      </c>
      <c r="M572" s="6" t="str">
        <f aca="false">INDEX(Items!$E$5:$E$62,MATCH($E572,Items!$A$5:$A$62,0))</f>
        <v>bottle</v>
      </c>
      <c r="N572" s="6" t="n">
        <f aca="false">ROUND($L572/INDEX(Items!$F$5:$F$62,MATCH($E572,Items!$A$5:$A$62,0)),4)</f>
        <v>1</v>
      </c>
      <c r="O572" s="6"/>
    </row>
    <row r="573" customFormat="false" ht="15" hidden="false" customHeight="false" outlineLevel="0" collapsed="false">
      <c r="A573" s="6" t="n">
        <v>57</v>
      </c>
      <c r="B573" s="6" t="s">
        <v>366</v>
      </c>
      <c r="C573" s="6" t="s">
        <v>352</v>
      </c>
      <c r="D573" s="6" t="s">
        <v>183</v>
      </c>
      <c r="E573" s="6" t="s">
        <v>143</v>
      </c>
      <c r="F573" s="6" t="str">
        <f aca="false">INDEX(Items!$B$5:$B$62,MATCH($E573,Items!$A$5:$A$62,0))</f>
        <v>SOAPS &amp; CLEANSERS</v>
      </c>
      <c r="G573" s="6" t="str">
        <f aca="false">INDEX(Items!$C$5:$C$62,MATCH($E573,Items!$A$5:$A$62,0))</f>
        <v>Countable</v>
      </c>
      <c r="H573" s="6" t="s">
        <v>185</v>
      </c>
      <c r="I573" s="6" t="s">
        <v>160</v>
      </c>
      <c r="J573" s="6" t="n">
        <f aca="false">SUMIFS(Kits!$C$5:$C$163,Kits!$A$5:$A$163,$D573,Kits!$B$5:$B$163,$E573)</f>
        <v>1</v>
      </c>
      <c r="K573" s="6" t="n">
        <f aca="false">INDEX(Services!$F$5:$F$85,MATCH($A573,Services!$A$5:$A$85,0))</f>
        <v>1</v>
      </c>
      <c r="L573" s="6" t="n">
        <f aca="false">IF($H573="Auto-deduct",IF($G573="Countable",ROUNDUP($J573*IF($I573="Y",$K573,1),0),ROUND($J573*IF($I573="Y",$K573,1),1)),$J573)</f>
        <v>1</v>
      </c>
      <c r="M573" s="6" t="str">
        <f aca="false">INDEX(Items!$E$5:$E$62,MATCH($E573,Items!$A$5:$A$62,0))</f>
        <v>bar</v>
      </c>
      <c r="N573" s="6" t="n">
        <f aca="false">ROUND($L573/INDEX(Items!$F$5:$F$62,MATCH($E573,Items!$A$5:$A$62,0)),4)</f>
        <v>1</v>
      </c>
      <c r="O573" s="6"/>
    </row>
    <row r="574" customFormat="false" ht="15" hidden="false" customHeight="false" outlineLevel="0" collapsed="false">
      <c r="A574" s="6" t="n">
        <v>57</v>
      </c>
      <c r="B574" s="6" t="s">
        <v>366</v>
      </c>
      <c r="C574" s="6" t="s">
        <v>352</v>
      </c>
      <c r="D574" s="6" t="s">
        <v>186</v>
      </c>
      <c r="E574" s="6" t="s">
        <v>132</v>
      </c>
      <c r="F574" s="6" t="str">
        <f aca="false">INDEX(Items!$B$5:$B$62,MATCH($E574,Items!$A$5:$A$62,0))</f>
        <v>SKINCARE PRODUCTS (RETAIL / AFTERCARE)</v>
      </c>
      <c r="G574" s="6" t="str">
        <f aca="false">INDEX(Items!$C$5:$C$62,MATCH($E574,Items!$A$5:$A$62,0))</f>
        <v>Bulk</v>
      </c>
      <c r="H574" s="6" t="s">
        <v>161</v>
      </c>
      <c r="I574" s="6" t="s">
        <v>160</v>
      </c>
      <c r="J574" s="6" t="n">
        <f aca="false">SUMIFS(Kits!$C$5:$C$163,Kits!$A$5:$A$163,$D574,Kits!$B$5:$B$163,$E574)</f>
        <v>3</v>
      </c>
      <c r="K574" s="6" t="n">
        <f aca="false">INDEX(Services!$F$5:$F$85,MATCH($A574,Services!$A$5:$A$85,0))</f>
        <v>1</v>
      </c>
      <c r="L574" s="6" t="n">
        <f aca="false">IF($H574="Auto-deduct",IF($G574="Countable",ROUNDUP($J574*IF($I574="Y",$K574,1),0),ROUND($J574*IF($I574="Y",$K574,1),1)),$J574)</f>
        <v>3</v>
      </c>
      <c r="M574" s="6" t="str">
        <f aca="false">INDEX(Items!$E$5:$E$62,MATCH($E574,Items!$A$5:$A$62,0))</f>
        <v>mL</v>
      </c>
      <c r="N574" s="6" t="n">
        <f aca="false">ROUND($L574/INDEX(Items!$F$5:$F$62,MATCH($E574,Items!$A$5:$A$62,0)),4)</f>
        <v>0.03</v>
      </c>
      <c r="O574" s="6"/>
    </row>
    <row r="575" customFormat="false" ht="15" hidden="false" customHeight="false" outlineLevel="0" collapsed="false">
      <c r="A575" s="6" t="n">
        <v>57</v>
      </c>
      <c r="B575" s="6" t="s">
        <v>366</v>
      </c>
      <c r="C575" s="6" t="s">
        <v>352</v>
      </c>
      <c r="D575" s="6" t="s">
        <v>186</v>
      </c>
      <c r="E575" s="6" t="s">
        <v>125</v>
      </c>
      <c r="F575" s="6" t="str">
        <f aca="false">INDEX(Items!$B$5:$B$62,MATCH($E575,Items!$A$5:$A$62,0))</f>
        <v>SKINCARE PRODUCTS (RETAIL / AFTERCARE)</v>
      </c>
      <c r="G575" s="6" t="str">
        <f aca="false">INDEX(Items!$C$5:$C$62,MATCH($E575,Items!$A$5:$A$62,0))</f>
        <v>Countable</v>
      </c>
      <c r="H575" s="6" t="s">
        <v>185</v>
      </c>
      <c r="I575" s="6" t="s">
        <v>160</v>
      </c>
      <c r="J575" s="6" t="n">
        <f aca="false">SUMIFS(Kits!$C$5:$C$163,Kits!$A$5:$A$163,$D575,Kits!$B$5:$B$163,$E575)</f>
        <v>1</v>
      </c>
      <c r="K575" s="6" t="n">
        <f aca="false">INDEX(Services!$F$5:$F$85,MATCH($A575,Services!$A$5:$A$85,0))</f>
        <v>1</v>
      </c>
      <c r="L575" s="6" t="n">
        <f aca="false">IF($H575="Auto-deduct",IF($G575="Countable",ROUNDUP($J575*IF($I575="Y",$K575,1),0),ROUND($J575*IF($I575="Y",$K575,1),1)),$J575)</f>
        <v>1</v>
      </c>
      <c r="M575" s="6" t="str">
        <f aca="false">INDEX(Items!$E$5:$E$62,MATCH($E575,Items!$A$5:$A$62,0))</f>
        <v>bottle</v>
      </c>
      <c r="N575" s="6" t="n">
        <f aca="false">ROUND($L575/INDEX(Items!$F$5:$F$62,MATCH($E575,Items!$A$5:$A$62,0)),4)</f>
        <v>1</v>
      </c>
      <c r="O575" s="6"/>
    </row>
    <row r="576" customFormat="false" ht="15" hidden="false" customHeight="false" outlineLevel="0" collapsed="false">
      <c r="A576" s="6" t="n">
        <v>58</v>
      </c>
      <c r="B576" s="6" t="s">
        <v>369</v>
      </c>
      <c r="C576" s="6" t="s">
        <v>352</v>
      </c>
      <c r="D576" s="6" t="s">
        <v>159</v>
      </c>
      <c r="E576" s="6" t="s">
        <v>52</v>
      </c>
      <c r="F576" s="6" t="str">
        <f aca="false">INDEX(Items!$B$5:$B$62,MATCH($E576,Items!$A$5:$A$62,0))</f>
        <v>DISPOSABLES &amp; CLINIC CONSUMABLES</v>
      </c>
      <c r="G576" s="6" t="str">
        <f aca="false">INDEX(Items!$C$5:$C$62,MATCH($E576,Items!$A$5:$A$62,0))</f>
        <v>Countable</v>
      </c>
      <c r="H576" s="6" t="s">
        <v>161</v>
      </c>
      <c r="I576" s="6" t="s">
        <v>160</v>
      </c>
      <c r="J576" s="6" t="n">
        <f aca="false">SUMIFS(Kits!$C$5:$C$163,Kits!$A$5:$A$163,$D576,Kits!$B$5:$B$163,$E576)</f>
        <v>1</v>
      </c>
      <c r="K576" s="6" t="n">
        <f aca="false">INDEX(Services!$F$5:$F$85,MATCH($A576,Services!$A$5:$A$85,0))</f>
        <v>1</v>
      </c>
      <c r="L576" s="6" t="n">
        <f aca="false">IF($H576="Auto-deduct",IF($G576="Countable",ROUNDUP($J576*IF($I576="Y",$K576,1),0),ROUND($J576*IF($I576="Y",$K576,1),1)),$J576)</f>
        <v>1</v>
      </c>
      <c r="M576" s="6" t="str">
        <f aca="false">INDEX(Items!$E$5:$E$62,MATCH($E576,Items!$A$5:$A$62,0))</f>
        <v>pc</v>
      </c>
      <c r="N576" s="6" t="n">
        <f aca="false">ROUND($L576/INDEX(Items!$F$5:$F$62,MATCH($E576,Items!$A$5:$A$62,0)),4)</f>
        <v>1</v>
      </c>
      <c r="O576" s="6"/>
    </row>
    <row r="577" customFormat="false" ht="15" hidden="false" customHeight="false" outlineLevel="0" collapsed="false">
      <c r="A577" s="6" t="n">
        <v>58</v>
      </c>
      <c r="B577" s="6" t="s">
        <v>369</v>
      </c>
      <c r="C577" s="6" t="s">
        <v>352</v>
      </c>
      <c r="D577" s="6" t="s">
        <v>159</v>
      </c>
      <c r="E577" s="6" t="s">
        <v>53</v>
      </c>
      <c r="F577" s="6" t="str">
        <f aca="false">INDEX(Items!$B$5:$B$62,MATCH($E577,Items!$A$5:$A$62,0))</f>
        <v>DISPOSABLES &amp; CLINIC CONSUMABLES</v>
      </c>
      <c r="G577" s="6" t="str">
        <f aca="false">INDEX(Items!$C$5:$C$62,MATCH($E577,Items!$A$5:$A$62,0))</f>
        <v>Countable</v>
      </c>
      <c r="H577" s="6" t="s">
        <v>161</v>
      </c>
      <c r="I577" s="6" t="s">
        <v>160</v>
      </c>
      <c r="J577" s="6" t="n">
        <f aca="false">SUMIFS(Kits!$C$5:$C$163,Kits!$A$5:$A$163,$D577,Kits!$B$5:$B$163,$E577)</f>
        <v>1</v>
      </c>
      <c r="K577" s="6" t="n">
        <f aca="false">INDEX(Services!$F$5:$F$85,MATCH($A577,Services!$A$5:$A$85,0))</f>
        <v>1</v>
      </c>
      <c r="L577" s="6" t="n">
        <f aca="false">IF($H577="Auto-deduct",IF($G577="Countable",ROUNDUP($J577*IF($I577="Y",$K577,1),0),ROUND($J577*IF($I577="Y",$K577,1),1)),$J577)</f>
        <v>1</v>
      </c>
      <c r="M577" s="6" t="str">
        <f aca="false">INDEX(Items!$E$5:$E$62,MATCH($E577,Items!$A$5:$A$62,0))</f>
        <v>pair</v>
      </c>
      <c r="N577" s="6" t="n">
        <f aca="false">ROUND($L577/INDEX(Items!$F$5:$F$62,MATCH($E577,Items!$A$5:$A$62,0)),4)</f>
        <v>1</v>
      </c>
      <c r="O577" s="6"/>
    </row>
    <row r="578" customFormat="false" ht="15" hidden="false" customHeight="false" outlineLevel="0" collapsed="false">
      <c r="A578" s="6" t="n">
        <v>58</v>
      </c>
      <c r="B578" s="6" t="s">
        <v>369</v>
      </c>
      <c r="C578" s="6" t="s">
        <v>352</v>
      </c>
      <c r="D578" s="6" t="s">
        <v>159</v>
      </c>
      <c r="E578" s="6" t="s">
        <v>88</v>
      </c>
      <c r="F578" s="6" t="str">
        <f aca="false">INDEX(Items!$B$5:$B$62,MATCH($E578,Items!$A$5:$A$62,0))</f>
        <v>DISPOSABLES &amp; CLINIC CONSUMABLES</v>
      </c>
      <c r="G578" s="6" t="str">
        <f aca="false">INDEX(Items!$C$5:$C$62,MATCH($E578,Items!$A$5:$A$62,0))</f>
        <v>Bulk</v>
      </c>
      <c r="H578" s="6" t="s">
        <v>161</v>
      </c>
      <c r="I578" s="6" t="s">
        <v>160</v>
      </c>
      <c r="J578" s="6" t="n">
        <f aca="false">SUMIFS(Kits!$C$5:$C$163,Kits!$A$5:$A$163,$D578,Kits!$B$5:$B$163,$E578)</f>
        <v>5</v>
      </c>
      <c r="K578" s="6" t="n">
        <f aca="false">INDEX(Services!$F$5:$F$85,MATCH($A578,Services!$A$5:$A$85,0))</f>
        <v>1</v>
      </c>
      <c r="L578" s="6" t="n">
        <f aca="false">IF($H578="Auto-deduct",IF($G578="Countable",ROUNDUP($J578*IF($I578="Y",$K578,1),0),ROUND($J578*IF($I578="Y",$K578,1),1)),$J578)</f>
        <v>5</v>
      </c>
      <c r="M578" s="6" t="str">
        <f aca="false">INDEX(Items!$E$5:$E$62,MATCH($E578,Items!$A$5:$A$62,0))</f>
        <v>mL</v>
      </c>
      <c r="N578" s="6" t="n">
        <f aca="false">ROUND($L578/INDEX(Items!$F$5:$F$62,MATCH($E578,Items!$A$5:$A$62,0)),4)</f>
        <v>0.01</v>
      </c>
      <c r="O578" s="6"/>
    </row>
    <row r="579" customFormat="false" ht="15" hidden="false" customHeight="false" outlineLevel="0" collapsed="false">
      <c r="A579" s="6" t="n">
        <v>58</v>
      </c>
      <c r="B579" s="6" t="s">
        <v>369</v>
      </c>
      <c r="C579" s="6" t="s">
        <v>352</v>
      </c>
      <c r="D579" s="6" t="s">
        <v>165</v>
      </c>
      <c r="E579" s="6" t="s">
        <v>50</v>
      </c>
      <c r="F579" s="6" t="str">
        <f aca="false">INDEX(Items!$B$5:$B$62,MATCH($E579,Items!$A$5:$A$62,0))</f>
        <v>DISPOSABLES &amp; CLINIC CONSUMABLES</v>
      </c>
      <c r="G579" s="6" t="str">
        <f aca="false">INDEX(Items!$C$5:$C$62,MATCH($E579,Items!$A$5:$A$62,0))</f>
        <v>Countable</v>
      </c>
      <c r="H579" s="6" t="s">
        <v>161</v>
      </c>
      <c r="I579" s="6" t="s">
        <v>160</v>
      </c>
      <c r="J579" s="6" t="n">
        <f aca="false">SUMIFS(Kits!$C$5:$C$163,Kits!$A$5:$A$163,$D579,Kits!$B$5:$B$163,$E579)</f>
        <v>1</v>
      </c>
      <c r="K579" s="6" t="n">
        <f aca="false">INDEX(Services!$F$5:$F$85,MATCH($A579,Services!$A$5:$A$85,0))</f>
        <v>1</v>
      </c>
      <c r="L579" s="6" t="n">
        <f aca="false">IF($H579="Auto-deduct",IF($G579="Countable",ROUNDUP($J579*IF($I579="Y",$K579,1),0),ROUND($J579*IF($I579="Y",$K579,1),1)),$J579)</f>
        <v>1</v>
      </c>
      <c r="M579" s="6" t="str">
        <f aca="false">INDEX(Items!$E$5:$E$62,MATCH($E579,Items!$A$5:$A$62,0))</f>
        <v>pc</v>
      </c>
      <c r="N579" s="6" t="n">
        <f aca="false">ROUND($L579/INDEX(Items!$F$5:$F$62,MATCH($E579,Items!$A$5:$A$62,0)),4)</f>
        <v>1</v>
      </c>
      <c r="O579" s="6"/>
    </row>
    <row r="580" customFormat="false" ht="15" hidden="false" customHeight="false" outlineLevel="0" collapsed="false">
      <c r="A580" s="6" t="n">
        <v>58</v>
      </c>
      <c r="B580" s="6" t="s">
        <v>369</v>
      </c>
      <c r="C580" s="6" t="s">
        <v>352</v>
      </c>
      <c r="D580" s="6" t="s">
        <v>165</v>
      </c>
      <c r="E580" s="6" t="s">
        <v>98</v>
      </c>
      <c r="F580" s="6" t="str">
        <f aca="false">INDEX(Items!$B$5:$B$62,MATCH($E580,Items!$A$5:$A$62,0))</f>
        <v>FACIAL / TREATMENT PREP PRODUCTS</v>
      </c>
      <c r="G580" s="6" t="str">
        <f aca="false">INDEX(Items!$C$5:$C$62,MATCH($E580,Items!$A$5:$A$62,0))</f>
        <v>Bulk</v>
      </c>
      <c r="H580" s="6" t="s">
        <v>161</v>
      </c>
      <c r="I580" s="6" t="s">
        <v>160</v>
      </c>
      <c r="J580" s="6" t="n">
        <f aca="false">SUMIFS(Kits!$C$5:$C$163,Kits!$A$5:$A$163,$D580,Kits!$B$5:$B$163,$E580)</f>
        <v>5</v>
      </c>
      <c r="K580" s="6" t="n">
        <f aca="false">INDEX(Services!$F$5:$F$85,MATCH($A580,Services!$A$5:$A$85,0))</f>
        <v>1</v>
      </c>
      <c r="L580" s="6" t="n">
        <f aca="false">IF($H580="Auto-deduct",IF($G580="Countable",ROUNDUP($J580*IF($I580="Y",$K580,1),0),ROUND($J580*IF($I580="Y",$K580,1),1)),$J580)</f>
        <v>5</v>
      </c>
      <c r="M580" s="6" t="str">
        <f aca="false">INDEX(Items!$E$5:$E$62,MATCH($E580,Items!$A$5:$A$62,0))</f>
        <v>mL</v>
      </c>
      <c r="N580" s="6" t="n">
        <f aca="false">ROUND($L580/INDEX(Items!$F$5:$F$62,MATCH($E580,Items!$A$5:$A$62,0)),4)</f>
        <v>0.01</v>
      </c>
      <c r="O580" s="6"/>
    </row>
    <row r="581" customFormat="false" ht="15" hidden="false" customHeight="false" outlineLevel="0" collapsed="false">
      <c r="A581" s="6" t="n">
        <v>58</v>
      </c>
      <c r="B581" s="6" t="s">
        <v>369</v>
      </c>
      <c r="C581" s="6" t="s">
        <v>352</v>
      </c>
      <c r="D581" s="6" t="s">
        <v>165</v>
      </c>
      <c r="E581" s="6" t="s">
        <v>92</v>
      </c>
      <c r="F581" s="6" t="str">
        <f aca="false">INDEX(Items!$B$5:$B$62,MATCH($E581,Items!$A$5:$A$62,0))</f>
        <v>FACIAL / TREATMENT PREP PRODUCTS</v>
      </c>
      <c r="G581" s="6" t="str">
        <f aca="false">INDEX(Items!$C$5:$C$62,MATCH($E581,Items!$A$5:$A$62,0))</f>
        <v>Bulk</v>
      </c>
      <c r="H581" s="6" t="s">
        <v>161</v>
      </c>
      <c r="I581" s="6" t="s">
        <v>160</v>
      </c>
      <c r="J581" s="6" t="n">
        <f aca="false">SUMIFS(Kits!$C$5:$C$163,Kits!$A$5:$A$163,$D581,Kits!$B$5:$B$163,$E581)</f>
        <v>10</v>
      </c>
      <c r="K581" s="6" t="n">
        <f aca="false">INDEX(Services!$F$5:$F$85,MATCH($A581,Services!$A$5:$A$85,0))</f>
        <v>1</v>
      </c>
      <c r="L581" s="6" t="n">
        <f aca="false">IF($H581="Auto-deduct",IF($G581="Countable",ROUNDUP($J581*IF($I581="Y",$K581,1),0),ROUND($J581*IF($I581="Y",$K581,1),1)),$J581)</f>
        <v>10</v>
      </c>
      <c r="M581" s="6" t="str">
        <f aca="false">INDEX(Items!$E$5:$E$62,MATCH($E581,Items!$A$5:$A$62,0))</f>
        <v>mL</v>
      </c>
      <c r="N581" s="6" t="n">
        <f aca="false">ROUND($L581/INDEX(Items!$F$5:$F$62,MATCH($E581,Items!$A$5:$A$62,0)),4)</f>
        <v>0.02</v>
      </c>
      <c r="O581" s="6"/>
    </row>
    <row r="582" customFormat="false" ht="15" hidden="false" customHeight="false" outlineLevel="0" collapsed="false">
      <c r="A582" s="6" t="n">
        <v>58</v>
      </c>
      <c r="B582" s="6" t="s">
        <v>369</v>
      </c>
      <c r="C582" s="6" t="s">
        <v>352</v>
      </c>
      <c r="D582" s="6" t="s">
        <v>165</v>
      </c>
      <c r="E582" s="6" t="s">
        <v>69</v>
      </c>
      <c r="F582" s="6" t="str">
        <f aca="false">INDEX(Items!$B$5:$B$62,MATCH($E582,Items!$A$5:$A$62,0))</f>
        <v>DISPOSABLES &amp; CLINIC CONSUMABLES</v>
      </c>
      <c r="G582" s="6" t="str">
        <f aca="false">INDEX(Items!$C$5:$C$62,MATCH($E582,Items!$A$5:$A$62,0))</f>
        <v>Bulk</v>
      </c>
      <c r="H582" s="6" t="s">
        <v>161</v>
      </c>
      <c r="I582" s="6" t="s">
        <v>160</v>
      </c>
      <c r="J582" s="6" t="n">
        <f aca="false">SUMIFS(Kits!$C$5:$C$163,Kits!$A$5:$A$163,$D582,Kits!$B$5:$B$163,$E582)</f>
        <v>5</v>
      </c>
      <c r="K582" s="6" t="n">
        <f aca="false">INDEX(Services!$F$5:$F$85,MATCH($A582,Services!$A$5:$A$85,0))</f>
        <v>1</v>
      </c>
      <c r="L582" s="6" t="n">
        <f aca="false">IF($H582="Auto-deduct",IF($G582="Countable",ROUNDUP($J582*IF($I582="Y",$K582,1),0),ROUND($J582*IF($I582="Y",$K582,1),1)),$J582)</f>
        <v>5</v>
      </c>
      <c r="M582" s="6" t="str">
        <f aca="false">INDEX(Items!$E$5:$E$62,MATCH($E582,Items!$A$5:$A$62,0))</f>
        <v>g</v>
      </c>
      <c r="N582" s="6" t="n">
        <f aca="false">ROUND($L582/INDEX(Items!$F$5:$F$62,MATCH($E582,Items!$A$5:$A$62,0)),4)</f>
        <v>0.0125</v>
      </c>
      <c r="O582" s="6"/>
    </row>
    <row r="583" customFormat="false" ht="15" hidden="false" customHeight="false" outlineLevel="0" collapsed="false">
      <c r="A583" s="6" t="n">
        <v>58</v>
      </c>
      <c r="B583" s="6" t="s">
        <v>369</v>
      </c>
      <c r="C583" s="6" t="s">
        <v>352</v>
      </c>
      <c r="D583" s="6" t="s">
        <v>165</v>
      </c>
      <c r="E583" s="6" t="s">
        <v>58</v>
      </c>
      <c r="F583" s="6" t="str">
        <f aca="false">INDEX(Items!$B$5:$B$62,MATCH($E583,Items!$A$5:$A$62,0))</f>
        <v>DISPOSABLES &amp; CLINIC CONSUMABLES</v>
      </c>
      <c r="G583" s="6" t="str">
        <f aca="false">INDEX(Items!$C$5:$C$62,MATCH($E583,Items!$A$5:$A$62,0))</f>
        <v>Bulk</v>
      </c>
      <c r="H583" s="6" t="s">
        <v>161</v>
      </c>
      <c r="I583" s="6" t="s">
        <v>160</v>
      </c>
      <c r="J583" s="6" t="n">
        <f aca="false">SUMIFS(Kits!$C$5:$C$163,Kits!$A$5:$A$163,$D583,Kits!$B$5:$B$163,$E583)</f>
        <v>6</v>
      </c>
      <c r="K583" s="6" t="n">
        <f aca="false">INDEX(Services!$F$5:$F$85,MATCH($A583,Services!$A$5:$A$85,0))</f>
        <v>1</v>
      </c>
      <c r="L583" s="6" t="n">
        <f aca="false">IF($H583="Auto-deduct",IF($G583="Countable",ROUNDUP($J583*IF($I583="Y",$K583,1),0),ROUND($J583*IF($I583="Y",$K583,1),1)),$J583)</f>
        <v>6</v>
      </c>
      <c r="M583" s="6" t="str">
        <f aca="false">INDEX(Items!$E$5:$E$62,MATCH($E583,Items!$A$5:$A$62,0))</f>
        <v>sheet</v>
      </c>
      <c r="N583" s="6" t="n">
        <f aca="false">ROUND($L583/INDEX(Items!$F$5:$F$62,MATCH($E583,Items!$A$5:$A$62,0)),4)</f>
        <v>0.03</v>
      </c>
      <c r="O583" s="6"/>
    </row>
    <row r="584" customFormat="false" ht="15" hidden="false" customHeight="false" outlineLevel="0" collapsed="false">
      <c r="A584" s="6" t="n">
        <v>58</v>
      </c>
      <c r="B584" s="6" t="s">
        <v>369</v>
      </c>
      <c r="C584" s="6" t="s">
        <v>352</v>
      </c>
      <c r="D584" s="6" t="s">
        <v>188</v>
      </c>
      <c r="E584" s="6" t="s">
        <v>150</v>
      </c>
      <c r="F584" s="6" t="str">
        <f aca="false">INDEX(Items!$B$5:$B$62,MATCH($E584,Items!$A$5:$A$62,0))</f>
        <v>TOOLS / EQUIPMENT / MISC</v>
      </c>
      <c r="G584" s="6" t="str">
        <f aca="false">INDEX(Items!$C$5:$C$62,MATCH($E584,Items!$A$5:$A$62,0))</f>
        <v>Bulk</v>
      </c>
      <c r="H584" s="6" t="s">
        <v>161</v>
      </c>
      <c r="I584" s="6" t="s">
        <v>160</v>
      </c>
      <c r="J584" s="6" t="n">
        <f aca="false">SUMIFS(Kits!$C$5:$C$163,Kits!$A$5:$A$163,$D584,Kits!$B$5:$B$163,$E584)</f>
        <v>3</v>
      </c>
      <c r="K584" s="6" t="n">
        <f aca="false">INDEX(Services!$F$5:$F$85,MATCH($A584,Services!$A$5:$A$85,0))</f>
        <v>1</v>
      </c>
      <c r="L584" s="6" t="n">
        <f aca="false">IF($H584="Auto-deduct",IF($G584="Countable",ROUNDUP($J584*IF($I584="Y",$K584,1),0),ROUND($J584*IF($I584="Y",$K584,1),1)),$J584)</f>
        <v>3</v>
      </c>
      <c r="M584" s="6" t="str">
        <f aca="false">INDEX(Items!$E$5:$E$62,MATCH($E584,Items!$A$5:$A$62,0))</f>
        <v>g</v>
      </c>
      <c r="N584" s="6" t="n">
        <f aca="false">ROUND($L584/INDEX(Items!$F$5:$F$62,MATCH($E584,Items!$A$5:$A$62,0)),4)</f>
        <v>0.1</v>
      </c>
      <c r="O584" s="6"/>
    </row>
    <row r="585" customFormat="false" ht="15" hidden="false" customHeight="false" outlineLevel="0" collapsed="false">
      <c r="A585" s="6" t="n">
        <v>58</v>
      </c>
      <c r="B585" s="6" t="s">
        <v>369</v>
      </c>
      <c r="C585" s="6" t="s">
        <v>352</v>
      </c>
      <c r="D585" s="6" t="s">
        <v>188</v>
      </c>
      <c r="E585" s="6" t="s">
        <v>79</v>
      </c>
      <c r="F585" s="6" t="str">
        <f aca="false">INDEX(Items!$B$5:$B$62,MATCH($E585,Items!$A$5:$A$62,0))</f>
        <v>DISPOSABLES &amp; CLINIC CONSUMABLES</v>
      </c>
      <c r="G585" s="6" t="str">
        <f aca="false">INDEX(Items!$C$5:$C$62,MATCH($E585,Items!$A$5:$A$62,0))</f>
        <v>Bulk</v>
      </c>
      <c r="H585" s="6" t="s">
        <v>161</v>
      </c>
      <c r="I585" s="6" t="s">
        <v>160</v>
      </c>
      <c r="J585" s="6" t="n">
        <f aca="false">SUMIFS(Kits!$C$5:$C$163,Kits!$A$5:$A$163,$D585,Kits!$B$5:$B$163,$E585)</f>
        <v>20</v>
      </c>
      <c r="K585" s="6" t="n">
        <f aca="false">INDEX(Services!$F$5:$F$85,MATCH($A585,Services!$A$5:$A$85,0))</f>
        <v>1</v>
      </c>
      <c r="L585" s="6" t="n">
        <f aca="false">IF($H585="Auto-deduct",IF($G585="Countable",ROUNDUP($J585*IF($I585="Y",$K585,1),0),ROUND($J585*IF($I585="Y",$K585,1),1)),$J585)</f>
        <v>20</v>
      </c>
      <c r="M585" s="6" t="str">
        <f aca="false">INDEX(Items!$E$5:$E$62,MATCH($E585,Items!$A$5:$A$62,0))</f>
        <v>cm</v>
      </c>
      <c r="N585" s="6" t="n">
        <f aca="false">ROUND($L585/INDEX(Items!$F$5:$F$62,MATCH($E585,Items!$A$5:$A$62,0)),4)</f>
        <v>0.0067</v>
      </c>
      <c r="O585" s="6"/>
    </row>
    <row r="586" customFormat="false" ht="15" hidden="false" customHeight="false" outlineLevel="0" collapsed="false">
      <c r="A586" s="6" t="n">
        <v>58</v>
      </c>
      <c r="B586" s="6" t="s">
        <v>369</v>
      </c>
      <c r="C586" s="6" t="s">
        <v>352</v>
      </c>
      <c r="D586" s="6" t="s">
        <v>188</v>
      </c>
      <c r="E586" s="6" t="s">
        <v>42</v>
      </c>
      <c r="F586" s="6" t="str">
        <f aca="false">INDEX(Items!$B$5:$B$62,MATCH($E586,Items!$A$5:$A$62,0))</f>
        <v>MEDICAL / INJECTION SUPPLIES</v>
      </c>
      <c r="G586" s="6" t="str">
        <f aca="false">INDEX(Items!$C$5:$C$62,MATCH($E586,Items!$A$5:$A$62,0))</f>
        <v>Countable</v>
      </c>
      <c r="H586" s="6" t="s">
        <v>161</v>
      </c>
      <c r="I586" s="6" t="s">
        <v>160</v>
      </c>
      <c r="J586" s="6" t="n">
        <f aca="false">SUMIFS(Kits!$C$5:$C$163,Kits!$A$5:$A$163,$D586,Kits!$B$5:$B$163,$E586)</f>
        <v>1</v>
      </c>
      <c r="K586" s="6" t="n">
        <f aca="false">INDEX(Services!$F$5:$F$85,MATCH($A586,Services!$A$5:$A$85,0))</f>
        <v>1</v>
      </c>
      <c r="L586" s="6" t="n">
        <f aca="false">IF($H586="Auto-deduct",IF($G586="Countable",ROUNDUP($J586*IF($I586="Y",$K586,1),0),ROUND($J586*IF($I586="Y",$K586,1),1)),$J586)</f>
        <v>1</v>
      </c>
      <c r="M586" s="6" t="str">
        <f aca="false">INDEX(Items!$E$5:$E$62,MATCH($E586,Items!$A$5:$A$62,0))</f>
        <v>pc</v>
      </c>
      <c r="N586" s="6" t="n">
        <f aca="false">ROUND($L586/INDEX(Items!$F$5:$F$62,MATCH($E586,Items!$A$5:$A$62,0)),4)</f>
        <v>1</v>
      </c>
      <c r="O586" s="6"/>
    </row>
    <row r="587" customFormat="false" ht="15" hidden="false" customHeight="false" outlineLevel="0" collapsed="false">
      <c r="A587" s="6" t="n">
        <v>58</v>
      </c>
      <c r="B587" s="6" t="s">
        <v>369</v>
      </c>
      <c r="C587" s="6" t="s">
        <v>352</v>
      </c>
      <c r="D587" s="6" t="s">
        <v>188</v>
      </c>
      <c r="E587" s="6" t="s">
        <v>29</v>
      </c>
      <c r="F587" s="6" t="str">
        <f aca="false">INDEX(Items!$B$5:$B$62,MATCH($E587,Items!$A$5:$A$62,0))</f>
        <v>MEDICAL / INJECTION SUPPLIES</v>
      </c>
      <c r="G587" s="6" t="str">
        <f aca="false">INDEX(Items!$C$5:$C$62,MATCH($E587,Items!$A$5:$A$62,0))</f>
        <v>Countable</v>
      </c>
      <c r="H587" s="6" t="s">
        <v>161</v>
      </c>
      <c r="I587" s="6" t="s">
        <v>160</v>
      </c>
      <c r="J587" s="6" t="n">
        <f aca="false">SUMIFS(Kits!$C$5:$C$163,Kits!$A$5:$A$163,$D587,Kits!$B$5:$B$163,$E587)</f>
        <v>1</v>
      </c>
      <c r="K587" s="6" t="n">
        <f aca="false">INDEX(Services!$F$5:$F$85,MATCH($A587,Services!$A$5:$A$85,0))</f>
        <v>1</v>
      </c>
      <c r="L587" s="6" t="n">
        <f aca="false">IF($H587="Auto-deduct",IF($G587="Countable",ROUNDUP($J587*IF($I587="Y",$K587,1),0),ROUND($J587*IF($I587="Y",$K587,1),1)),$J587)</f>
        <v>1</v>
      </c>
      <c r="M587" s="6" t="str">
        <f aca="false">INDEX(Items!$E$5:$E$62,MATCH($E587,Items!$A$5:$A$62,0))</f>
        <v>pc</v>
      </c>
      <c r="N587" s="6" t="n">
        <f aca="false">ROUND($L587/INDEX(Items!$F$5:$F$62,MATCH($E587,Items!$A$5:$A$62,0)),4)</f>
        <v>1</v>
      </c>
      <c r="O587" s="6"/>
    </row>
    <row r="588" customFormat="false" ht="15" hidden="false" customHeight="false" outlineLevel="0" collapsed="false">
      <c r="A588" s="6" t="n">
        <v>58</v>
      </c>
      <c r="B588" s="6" t="s">
        <v>369</v>
      </c>
      <c r="C588" s="6" t="s">
        <v>352</v>
      </c>
      <c r="D588" s="6" t="s">
        <v>188</v>
      </c>
      <c r="E588" s="6" t="s">
        <v>120</v>
      </c>
      <c r="F588" s="6" t="str">
        <f aca="false">INDEX(Items!$B$5:$B$62,MATCH($E588,Items!$A$5:$A$62,0))</f>
        <v>FACIAL TREATMENT PRODUCTS (PROFESSIONAL USE)</v>
      </c>
      <c r="G588" s="6" t="str">
        <f aca="false">INDEX(Items!$C$5:$C$62,MATCH($E588,Items!$A$5:$A$62,0))</f>
        <v>Countable</v>
      </c>
      <c r="H588" s="6" t="s">
        <v>161</v>
      </c>
      <c r="I588" s="6" t="s">
        <v>160</v>
      </c>
      <c r="J588" s="6" t="n">
        <f aca="false">SUMIFS(Kits!$C$5:$C$163,Kits!$A$5:$A$163,$D588,Kits!$B$5:$B$163,$E588)</f>
        <v>1</v>
      </c>
      <c r="K588" s="6" t="n">
        <f aca="false">INDEX(Services!$F$5:$F$85,MATCH($A588,Services!$A$5:$A$85,0))</f>
        <v>1</v>
      </c>
      <c r="L588" s="6" t="n">
        <f aca="false">IF($H588="Auto-deduct",IF($G588="Countable",ROUNDUP($J588*IF($I588="Y",$K588,1),0),ROUND($J588*IF($I588="Y",$K588,1),1)),$J588)</f>
        <v>1</v>
      </c>
      <c r="M588" s="6" t="str">
        <f aca="false">INDEX(Items!$E$5:$E$62,MATCH($E588,Items!$A$5:$A$62,0))</f>
        <v>pc</v>
      </c>
      <c r="N588" s="6" t="n">
        <f aca="false">ROUND($L588/INDEX(Items!$F$5:$F$62,MATCH($E588,Items!$A$5:$A$62,0)),4)</f>
        <v>1</v>
      </c>
      <c r="O588" s="6"/>
    </row>
    <row r="589" customFormat="false" ht="15" hidden="false" customHeight="false" outlineLevel="0" collapsed="false">
      <c r="A589" s="6" t="n">
        <v>58</v>
      </c>
      <c r="B589" s="6" t="s">
        <v>369</v>
      </c>
      <c r="C589" s="6" t="s">
        <v>352</v>
      </c>
      <c r="D589" s="6" t="s">
        <v>188</v>
      </c>
      <c r="E589" s="6" t="s">
        <v>84</v>
      </c>
      <c r="F589" s="6" t="str">
        <f aca="false">INDEX(Items!$B$5:$B$62,MATCH($E589,Items!$A$5:$A$62,0))</f>
        <v>DISPOSABLES &amp; CLINIC CONSUMABLES</v>
      </c>
      <c r="G589" s="6" t="str">
        <f aca="false">INDEX(Items!$C$5:$C$62,MATCH($E589,Items!$A$5:$A$62,0))</f>
        <v>Countable</v>
      </c>
      <c r="H589" s="6" t="s">
        <v>161</v>
      </c>
      <c r="I589" s="6" t="s">
        <v>160</v>
      </c>
      <c r="J589" s="6" t="n">
        <f aca="false">SUMIFS(Kits!$C$5:$C$163,Kits!$A$5:$A$163,$D589,Kits!$B$5:$B$163,$E589)</f>
        <v>2</v>
      </c>
      <c r="K589" s="6" t="n">
        <f aca="false">INDEX(Services!$F$5:$F$85,MATCH($A589,Services!$A$5:$A$85,0))</f>
        <v>1</v>
      </c>
      <c r="L589" s="6" t="n">
        <f aca="false">IF($H589="Auto-deduct",IF($G589="Countable",ROUNDUP($J589*IF($I589="Y",$K589,1),0),ROUND($J589*IF($I589="Y",$K589,1),1)),$J589)</f>
        <v>2</v>
      </c>
      <c r="M589" s="6" t="str">
        <f aca="false">INDEX(Items!$E$5:$E$62,MATCH($E589,Items!$A$5:$A$62,0))</f>
        <v>pc</v>
      </c>
      <c r="N589" s="6" t="n">
        <f aca="false">ROUND($L589/INDEX(Items!$F$5:$F$62,MATCH($E589,Items!$A$5:$A$62,0)),4)</f>
        <v>2</v>
      </c>
      <c r="O589" s="6"/>
    </row>
    <row r="590" customFormat="false" ht="15" hidden="false" customHeight="false" outlineLevel="0" collapsed="false">
      <c r="A590" s="6" t="n">
        <v>58</v>
      </c>
      <c r="B590" s="6" t="s">
        <v>369</v>
      </c>
      <c r="C590" s="6" t="s">
        <v>352</v>
      </c>
      <c r="D590" s="6" t="s">
        <v>188</v>
      </c>
      <c r="E590" s="6" t="s">
        <v>46</v>
      </c>
      <c r="F590" s="6" t="str">
        <f aca="false">INDEX(Items!$B$5:$B$62,MATCH($E590,Items!$A$5:$A$62,0))</f>
        <v>MEDICAL / INJECTION SUPPLIES</v>
      </c>
      <c r="G590" s="6" t="str">
        <f aca="false">INDEX(Items!$C$5:$C$62,MATCH($E590,Items!$A$5:$A$62,0))</f>
        <v>Countable</v>
      </c>
      <c r="H590" s="6" t="s">
        <v>161</v>
      </c>
      <c r="I590" s="6" t="s">
        <v>160</v>
      </c>
      <c r="J590" s="6" t="n">
        <f aca="false">SUMIFS(Kits!$C$5:$C$163,Kits!$A$5:$A$163,$D590,Kits!$B$5:$B$163,$E590)</f>
        <v>1</v>
      </c>
      <c r="K590" s="6" t="n">
        <f aca="false">INDEX(Services!$F$5:$F$85,MATCH($A590,Services!$A$5:$A$85,0))</f>
        <v>1</v>
      </c>
      <c r="L590" s="6" t="n">
        <f aca="false">IF($H590="Auto-deduct",IF($G590="Countable",ROUNDUP($J590*IF($I590="Y",$K590,1),0),ROUND($J590*IF($I590="Y",$K590,1),1)),$J590)</f>
        <v>1</v>
      </c>
      <c r="M590" s="6" t="str">
        <f aca="false">INDEX(Items!$E$5:$E$62,MATCH($E590,Items!$A$5:$A$62,0))</f>
        <v>ampule</v>
      </c>
      <c r="N590" s="6" t="n">
        <f aca="false">ROUND($L590/INDEX(Items!$F$5:$F$62,MATCH($E590,Items!$A$5:$A$62,0)),4)</f>
        <v>1</v>
      </c>
      <c r="O590" s="6"/>
    </row>
    <row r="591" customFormat="false" ht="15" hidden="false" customHeight="false" outlineLevel="0" collapsed="false">
      <c r="A591" s="6" t="n">
        <v>58</v>
      </c>
      <c r="B591" s="6" t="s">
        <v>369</v>
      </c>
      <c r="C591" s="6" t="s">
        <v>352</v>
      </c>
      <c r="D591" s="6" t="s">
        <v>171</v>
      </c>
      <c r="E591" s="6" t="s">
        <v>109</v>
      </c>
      <c r="F591" s="6" t="str">
        <f aca="false">INDEX(Items!$B$5:$B$62,MATCH($E591,Items!$A$5:$A$62,0))</f>
        <v>FACIAL TREATMENT PRODUCTS (PROFESSIONAL USE)</v>
      </c>
      <c r="G591" s="6" t="str">
        <f aca="false">INDEX(Items!$C$5:$C$62,MATCH($E591,Items!$A$5:$A$62,0))</f>
        <v>Bulk</v>
      </c>
      <c r="H591" s="6" t="s">
        <v>161</v>
      </c>
      <c r="I591" s="6" t="s">
        <v>160</v>
      </c>
      <c r="J591" s="6" t="n">
        <f aca="false">SUMIFS(Kits!$C$5:$C$163,Kits!$A$5:$A$163,$D591,Kits!$B$5:$B$163,$E591)</f>
        <v>30</v>
      </c>
      <c r="K591" s="6" t="n">
        <f aca="false">INDEX(Services!$F$5:$F$85,MATCH($A591,Services!$A$5:$A$85,0))</f>
        <v>1</v>
      </c>
      <c r="L591" s="6" t="n">
        <f aca="false">IF($H591="Auto-deduct",IF($G591="Countable",ROUNDUP($J591*IF($I591="Y",$K591,1),0),ROUND($J591*IF($I591="Y",$K591,1),1)),$J591)</f>
        <v>30</v>
      </c>
      <c r="M591" s="6" t="str">
        <f aca="false">INDEX(Items!$E$5:$E$62,MATCH($E591,Items!$A$5:$A$62,0))</f>
        <v>g</v>
      </c>
      <c r="N591" s="6" t="n">
        <f aca="false">ROUND($L591/INDEX(Items!$F$5:$F$62,MATCH($E591,Items!$A$5:$A$62,0)),4)</f>
        <v>0.06</v>
      </c>
      <c r="O591" s="6"/>
    </row>
    <row r="592" customFormat="false" ht="15" hidden="false" customHeight="false" outlineLevel="0" collapsed="false">
      <c r="A592" s="6" t="n">
        <v>58</v>
      </c>
      <c r="B592" s="6" t="s">
        <v>369</v>
      </c>
      <c r="C592" s="6" t="s">
        <v>352</v>
      </c>
      <c r="D592" s="6" t="s">
        <v>171</v>
      </c>
      <c r="E592" s="6" t="s">
        <v>74</v>
      </c>
      <c r="F592" s="6" t="str">
        <f aca="false">INDEX(Items!$B$5:$B$62,MATCH($E592,Items!$A$5:$A$62,0))</f>
        <v>DISPOSABLES &amp; CLINIC CONSUMABLES</v>
      </c>
      <c r="G592" s="6" t="str">
        <f aca="false">INDEX(Items!$C$5:$C$62,MATCH($E592,Items!$A$5:$A$62,0))</f>
        <v>Bulk</v>
      </c>
      <c r="H592" s="6" t="s">
        <v>161</v>
      </c>
      <c r="I592" s="6" t="s">
        <v>160</v>
      </c>
      <c r="J592" s="6" t="n">
        <f aca="false">SUMIFS(Kits!$C$5:$C$163,Kits!$A$5:$A$163,$D592,Kits!$B$5:$B$163,$E592)</f>
        <v>1</v>
      </c>
      <c r="K592" s="6" t="n">
        <f aca="false">INDEX(Services!$F$5:$F$85,MATCH($A592,Services!$A$5:$A$85,0))</f>
        <v>1</v>
      </c>
      <c r="L592" s="6" t="n">
        <f aca="false">IF($H592="Auto-deduct",IF($G592="Countable",ROUNDUP($J592*IF($I592="Y",$K592,1),0),ROUND($J592*IF($I592="Y",$K592,1),1)),$J592)</f>
        <v>1</v>
      </c>
      <c r="M592" s="6" t="str">
        <f aca="false">INDEX(Items!$E$5:$E$62,MATCH($E592,Items!$A$5:$A$62,0))</f>
        <v>pc</v>
      </c>
      <c r="N592" s="6" t="n">
        <f aca="false">ROUND($L592/INDEX(Items!$F$5:$F$62,MATCH($E592,Items!$A$5:$A$62,0)),4)</f>
        <v>0.01</v>
      </c>
      <c r="O592" s="6"/>
    </row>
    <row r="593" customFormat="false" ht="15" hidden="false" customHeight="false" outlineLevel="0" collapsed="false">
      <c r="A593" s="6" t="n">
        <v>58</v>
      </c>
      <c r="B593" s="6" t="s">
        <v>369</v>
      </c>
      <c r="C593" s="6" t="s">
        <v>352</v>
      </c>
      <c r="D593" s="6" t="s">
        <v>171</v>
      </c>
      <c r="E593" s="6" t="s">
        <v>135</v>
      </c>
      <c r="F593" s="6" t="str">
        <f aca="false">INDEX(Items!$B$5:$B$62,MATCH($E593,Items!$A$5:$A$62,0))</f>
        <v>SKINCARE PRODUCTS (RETAIL / AFTERCARE)</v>
      </c>
      <c r="G593" s="6" t="str">
        <f aca="false">INDEX(Items!$C$5:$C$62,MATCH($E593,Items!$A$5:$A$62,0))</f>
        <v>Bulk</v>
      </c>
      <c r="H593" s="6" t="s">
        <v>161</v>
      </c>
      <c r="I593" s="6" t="s">
        <v>160</v>
      </c>
      <c r="J593" s="6" t="n">
        <f aca="false">SUMIFS(Kits!$C$5:$C$163,Kits!$A$5:$A$163,$D593,Kits!$B$5:$B$163,$E593)</f>
        <v>3</v>
      </c>
      <c r="K593" s="6" t="n">
        <f aca="false">INDEX(Services!$F$5:$F$85,MATCH($A593,Services!$A$5:$A$85,0))</f>
        <v>1</v>
      </c>
      <c r="L593" s="6" t="n">
        <f aca="false">IF($H593="Auto-deduct",IF($G593="Countable",ROUNDUP($J593*IF($I593="Y",$K593,1),0),ROUND($J593*IF($I593="Y",$K593,1),1)),$J593)</f>
        <v>3</v>
      </c>
      <c r="M593" s="6" t="str">
        <f aca="false">INDEX(Items!$E$5:$E$62,MATCH($E593,Items!$A$5:$A$62,0))</f>
        <v>g</v>
      </c>
      <c r="N593" s="6" t="n">
        <f aca="false">ROUND($L593/INDEX(Items!$F$5:$F$62,MATCH($E593,Items!$A$5:$A$62,0)),4)</f>
        <v>0.06</v>
      </c>
      <c r="O593" s="6"/>
    </row>
    <row r="594" customFormat="false" ht="15" hidden="false" customHeight="false" outlineLevel="0" collapsed="false">
      <c r="A594" s="6" t="n">
        <v>59</v>
      </c>
      <c r="B594" s="6" t="s">
        <v>371</v>
      </c>
      <c r="C594" s="6" t="s">
        <v>352</v>
      </c>
      <c r="D594" s="6" t="s">
        <v>159</v>
      </c>
      <c r="E594" s="6" t="s">
        <v>52</v>
      </c>
      <c r="F594" s="6" t="str">
        <f aca="false">INDEX(Items!$B$5:$B$62,MATCH($E594,Items!$A$5:$A$62,0))</f>
        <v>DISPOSABLES &amp; CLINIC CONSUMABLES</v>
      </c>
      <c r="G594" s="6" t="str">
        <f aca="false">INDEX(Items!$C$5:$C$62,MATCH($E594,Items!$A$5:$A$62,0))</f>
        <v>Countable</v>
      </c>
      <c r="H594" s="6" t="s">
        <v>161</v>
      </c>
      <c r="I594" s="6" t="s">
        <v>160</v>
      </c>
      <c r="J594" s="6" t="n">
        <f aca="false">SUMIFS(Kits!$C$5:$C$163,Kits!$A$5:$A$163,$D594,Kits!$B$5:$B$163,$E594)</f>
        <v>1</v>
      </c>
      <c r="K594" s="6" t="n">
        <f aca="false">INDEX(Services!$F$5:$F$85,MATCH($A594,Services!$A$5:$A$85,0))</f>
        <v>1</v>
      </c>
      <c r="L594" s="6" t="n">
        <f aca="false">IF($H594="Auto-deduct",IF($G594="Countable",ROUNDUP($J594*IF($I594="Y",$K594,1),0),ROUND($J594*IF($I594="Y",$K594,1),1)),$J594)</f>
        <v>1</v>
      </c>
      <c r="M594" s="6" t="str">
        <f aca="false">INDEX(Items!$E$5:$E$62,MATCH($E594,Items!$A$5:$A$62,0))</f>
        <v>pc</v>
      </c>
      <c r="N594" s="6" t="n">
        <f aca="false">ROUND($L594/INDEX(Items!$F$5:$F$62,MATCH($E594,Items!$A$5:$A$62,0)),4)</f>
        <v>1</v>
      </c>
      <c r="O594" s="6"/>
    </row>
    <row r="595" customFormat="false" ht="15" hidden="false" customHeight="false" outlineLevel="0" collapsed="false">
      <c r="A595" s="6" t="n">
        <v>59</v>
      </c>
      <c r="B595" s="6" t="s">
        <v>371</v>
      </c>
      <c r="C595" s="6" t="s">
        <v>352</v>
      </c>
      <c r="D595" s="6" t="s">
        <v>159</v>
      </c>
      <c r="E595" s="6" t="s">
        <v>53</v>
      </c>
      <c r="F595" s="6" t="str">
        <f aca="false">INDEX(Items!$B$5:$B$62,MATCH($E595,Items!$A$5:$A$62,0))</f>
        <v>DISPOSABLES &amp; CLINIC CONSUMABLES</v>
      </c>
      <c r="G595" s="6" t="str">
        <f aca="false">INDEX(Items!$C$5:$C$62,MATCH($E595,Items!$A$5:$A$62,0))</f>
        <v>Countable</v>
      </c>
      <c r="H595" s="6" t="s">
        <v>161</v>
      </c>
      <c r="I595" s="6" t="s">
        <v>160</v>
      </c>
      <c r="J595" s="6" t="n">
        <f aca="false">SUMIFS(Kits!$C$5:$C$163,Kits!$A$5:$A$163,$D595,Kits!$B$5:$B$163,$E595)</f>
        <v>1</v>
      </c>
      <c r="K595" s="6" t="n">
        <f aca="false">INDEX(Services!$F$5:$F$85,MATCH($A595,Services!$A$5:$A$85,0))</f>
        <v>1</v>
      </c>
      <c r="L595" s="6" t="n">
        <f aca="false">IF($H595="Auto-deduct",IF($G595="Countable",ROUNDUP($J595*IF($I595="Y",$K595,1),0),ROUND($J595*IF($I595="Y",$K595,1),1)),$J595)</f>
        <v>1</v>
      </c>
      <c r="M595" s="6" t="str">
        <f aca="false">INDEX(Items!$E$5:$E$62,MATCH($E595,Items!$A$5:$A$62,0))</f>
        <v>pair</v>
      </c>
      <c r="N595" s="6" t="n">
        <f aca="false">ROUND($L595/INDEX(Items!$F$5:$F$62,MATCH($E595,Items!$A$5:$A$62,0)),4)</f>
        <v>1</v>
      </c>
      <c r="O595" s="6"/>
    </row>
    <row r="596" customFormat="false" ht="15" hidden="false" customHeight="false" outlineLevel="0" collapsed="false">
      <c r="A596" s="6" t="n">
        <v>59</v>
      </c>
      <c r="B596" s="6" t="s">
        <v>371</v>
      </c>
      <c r="C596" s="6" t="s">
        <v>352</v>
      </c>
      <c r="D596" s="6" t="s">
        <v>159</v>
      </c>
      <c r="E596" s="6" t="s">
        <v>88</v>
      </c>
      <c r="F596" s="6" t="str">
        <f aca="false">INDEX(Items!$B$5:$B$62,MATCH($E596,Items!$A$5:$A$62,0))</f>
        <v>DISPOSABLES &amp; CLINIC CONSUMABLES</v>
      </c>
      <c r="G596" s="6" t="str">
        <f aca="false">INDEX(Items!$C$5:$C$62,MATCH($E596,Items!$A$5:$A$62,0))</f>
        <v>Bulk</v>
      </c>
      <c r="H596" s="6" t="s">
        <v>161</v>
      </c>
      <c r="I596" s="6" t="s">
        <v>160</v>
      </c>
      <c r="J596" s="6" t="n">
        <f aca="false">SUMIFS(Kits!$C$5:$C$163,Kits!$A$5:$A$163,$D596,Kits!$B$5:$B$163,$E596)</f>
        <v>5</v>
      </c>
      <c r="K596" s="6" t="n">
        <f aca="false">INDEX(Services!$F$5:$F$85,MATCH($A596,Services!$A$5:$A$85,0))</f>
        <v>1</v>
      </c>
      <c r="L596" s="6" t="n">
        <f aca="false">IF($H596="Auto-deduct",IF($G596="Countable",ROUNDUP($J596*IF($I596="Y",$K596,1),0),ROUND($J596*IF($I596="Y",$K596,1),1)),$J596)</f>
        <v>5</v>
      </c>
      <c r="M596" s="6" t="str">
        <f aca="false">INDEX(Items!$E$5:$E$62,MATCH($E596,Items!$A$5:$A$62,0))</f>
        <v>mL</v>
      </c>
      <c r="N596" s="6" t="n">
        <f aca="false">ROUND($L596/INDEX(Items!$F$5:$F$62,MATCH($E596,Items!$A$5:$A$62,0)),4)</f>
        <v>0.01</v>
      </c>
      <c r="O596" s="6"/>
    </row>
    <row r="597" customFormat="false" ht="15" hidden="false" customHeight="false" outlineLevel="0" collapsed="false">
      <c r="A597" s="6" t="n">
        <v>59</v>
      </c>
      <c r="B597" s="6" t="s">
        <v>371</v>
      </c>
      <c r="C597" s="6" t="s">
        <v>352</v>
      </c>
      <c r="D597" s="6" t="s">
        <v>165</v>
      </c>
      <c r="E597" s="6" t="s">
        <v>50</v>
      </c>
      <c r="F597" s="6" t="str">
        <f aca="false">INDEX(Items!$B$5:$B$62,MATCH($E597,Items!$A$5:$A$62,0))</f>
        <v>DISPOSABLES &amp; CLINIC CONSUMABLES</v>
      </c>
      <c r="G597" s="6" t="str">
        <f aca="false">INDEX(Items!$C$5:$C$62,MATCH($E597,Items!$A$5:$A$62,0))</f>
        <v>Countable</v>
      </c>
      <c r="H597" s="6" t="s">
        <v>161</v>
      </c>
      <c r="I597" s="6" t="s">
        <v>160</v>
      </c>
      <c r="J597" s="6" t="n">
        <f aca="false">SUMIFS(Kits!$C$5:$C$163,Kits!$A$5:$A$163,$D597,Kits!$B$5:$B$163,$E597)</f>
        <v>1</v>
      </c>
      <c r="K597" s="6" t="n">
        <f aca="false">INDEX(Services!$F$5:$F$85,MATCH($A597,Services!$A$5:$A$85,0))</f>
        <v>1</v>
      </c>
      <c r="L597" s="6" t="n">
        <f aca="false">IF($H597="Auto-deduct",IF($G597="Countable",ROUNDUP($J597*IF($I597="Y",$K597,1),0),ROUND($J597*IF($I597="Y",$K597,1),1)),$J597)</f>
        <v>1</v>
      </c>
      <c r="M597" s="6" t="str">
        <f aca="false">INDEX(Items!$E$5:$E$62,MATCH($E597,Items!$A$5:$A$62,0))</f>
        <v>pc</v>
      </c>
      <c r="N597" s="6" t="n">
        <f aca="false">ROUND($L597/INDEX(Items!$F$5:$F$62,MATCH($E597,Items!$A$5:$A$62,0)),4)</f>
        <v>1</v>
      </c>
      <c r="O597" s="6"/>
    </row>
    <row r="598" customFormat="false" ht="15" hidden="false" customHeight="false" outlineLevel="0" collapsed="false">
      <c r="A598" s="6" t="n">
        <v>59</v>
      </c>
      <c r="B598" s="6" t="s">
        <v>371</v>
      </c>
      <c r="C598" s="6" t="s">
        <v>352</v>
      </c>
      <c r="D598" s="6" t="s">
        <v>165</v>
      </c>
      <c r="E598" s="6" t="s">
        <v>98</v>
      </c>
      <c r="F598" s="6" t="str">
        <f aca="false">INDEX(Items!$B$5:$B$62,MATCH($E598,Items!$A$5:$A$62,0))</f>
        <v>FACIAL / TREATMENT PREP PRODUCTS</v>
      </c>
      <c r="G598" s="6" t="str">
        <f aca="false">INDEX(Items!$C$5:$C$62,MATCH($E598,Items!$A$5:$A$62,0))</f>
        <v>Bulk</v>
      </c>
      <c r="H598" s="6" t="s">
        <v>161</v>
      </c>
      <c r="I598" s="6" t="s">
        <v>160</v>
      </c>
      <c r="J598" s="6" t="n">
        <f aca="false">SUMIFS(Kits!$C$5:$C$163,Kits!$A$5:$A$163,$D598,Kits!$B$5:$B$163,$E598)</f>
        <v>5</v>
      </c>
      <c r="K598" s="6" t="n">
        <f aca="false">INDEX(Services!$F$5:$F$85,MATCH($A598,Services!$A$5:$A$85,0))</f>
        <v>1</v>
      </c>
      <c r="L598" s="6" t="n">
        <f aca="false">IF($H598="Auto-deduct",IF($G598="Countable",ROUNDUP($J598*IF($I598="Y",$K598,1),0),ROUND($J598*IF($I598="Y",$K598,1),1)),$J598)</f>
        <v>5</v>
      </c>
      <c r="M598" s="6" t="str">
        <f aca="false">INDEX(Items!$E$5:$E$62,MATCH($E598,Items!$A$5:$A$62,0))</f>
        <v>mL</v>
      </c>
      <c r="N598" s="6" t="n">
        <f aca="false">ROUND($L598/INDEX(Items!$F$5:$F$62,MATCH($E598,Items!$A$5:$A$62,0)),4)</f>
        <v>0.01</v>
      </c>
      <c r="O598" s="6"/>
    </row>
    <row r="599" customFormat="false" ht="15" hidden="false" customHeight="false" outlineLevel="0" collapsed="false">
      <c r="A599" s="6" t="n">
        <v>59</v>
      </c>
      <c r="B599" s="6" t="s">
        <v>371</v>
      </c>
      <c r="C599" s="6" t="s">
        <v>352</v>
      </c>
      <c r="D599" s="6" t="s">
        <v>165</v>
      </c>
      <c r="E599" s="6" t="s">
        <v>92</v>
      </c>
      <c r="F599" s="6" t="str">
        <f aca="false">INDEX(Items!$B$5:$B$62,MATCH($E599,Items!$A$5:$A$62,0))</f>
        <v>FACIAL / TREATMENT PREP PRODUCTS</v>
      </c>
      <c r="G599" s="6" t="str">
        <f aca="false">INDEX(Items!$C$5:$C$62,MATCH($E599,Items!$A$5:$A$62,0))</f>
        <v>Bulk</v>
      </c>
      <c r="H599" s="6" t="s">
        <v>161</v>
      </c>
      <c r="I599" s="6" t="s">
        <v>160</v>
      </c>
      <c r="J599" s="6" t="n">
        <f aca="false">SUMIFS(Kits!$C$5:$C$163,Kits!$A$5:$A$163,$D599,Kits!$B$5:$B$163,$E599)</f>
        <v>10</v>
      </c>
      <c r="K599" s="6" t="n">
        <f aca="false">INDEX(Services!$F$5:$F$85,MATCH($A599,Services!$A$5:$A$85,0))</f>
        <v>1</v>
      </c>
      <c r="L599" s="6" t="n">
        <f aca="false">IF($H599="Auto-deduct",IF($G599="Countable",ROUNDUP($J599*IF($I599="Y",$K599,1),0),ROUND($J599*IF($I599="Y",$K599,1),1)),$J599)</f>
        <v>10</v>
      </c>
      <c r="M599" s="6" t="str">
        <f aca="false">INDEX(Items!$E$5:$E$62,MATCH($E599,Items!$A$5:$A$62,0))</f>
        <v>mL</v>
      </c>
      <c r="N599" s="6" t="n">
        <f aca="false">ROUND($L599/INDEX(Items!$F$5:$F$62,MATCH($E599,Items!$A$5:$A$62,0)),4)</f>
        <v>0.02</v>
      </c>
      <c r="O599" s="6"/>
    </row>
    <row r="600" customFormat="false" ht="15" hidden="false" customHeight="false" outlineLevel="0" collapsed="false">
      <c r="A600" s="6" t="n">
        <v>59</v>
      </c>
      <c r="B600" s="6" t="s">
        <v>371</v>
      </c>
      <c r="C600" s="6" t="s">
        <v>352</v>
      </c>
      <c r="D600" s="6" t="s">
        <v>165</v>
      </c>
      <c r="E600" s="6" t="s">
        <v>69</v>
      </c>
      <c r="F600" s="6" t="str">
        <f aca="false">INDEX(Items!$B$5:$B$62,MATCH($E600,Items!$A$5:$A$62,0))</f>
        <v>DISPOSABLES &amp; CLINIC CONSUMABLES</v>
      </c>
      <c r="G600" s="6" t="str">
        <f aca="false">INDEX(Items!$C$5:$C$62,MATCH($E600,Items!$A$5:$A$62,0))</f>
        <v>Bulk</v>
      </c>
      <c r="H600" s="6" t="s">
        <v>161</v>
      </c>
      <c r="I600" s="6" t="s">
        <v>160</v>
      </c>
      <c r="J600" s="6" t="n">
        <f aca="false">SUMIFS(Kits!$C$5:$C$163,Kits!$A$5:$A$163,$D600,Kits!$B$5:$B$163,$E600)</f>
        <v>5</v>
      </c>
      <c r="K600" s="6" t="n">
        <f aca="false">INDEX(Services!$F$5:$F$85,MATCH($A600,Services!$A$5:$A$85,0))</f>
        <v>1</v>
      </c>
      <c r="L600" s="6" t="n">
        <f aca="false">IF($H600="Auto-deduct",IF($G600="Countable",ROUNDUP($J600*IF($I600="Y",$K600,1),0),ROUND($J600*IF($I600="Y",$K600,1),1)),$J600)</f>
        <v>5</v>
      </c>
      <c r="M600" s="6" t="str">
        <f aca="false">INDEX(Items!$E$5:$E$62,MATCH($E600,Items!$A$5:$A$62,0))</f>
        <v>g</v>
      </c>
      <c r="N600" s="6" t="n">
        <f aca="false">ROUND($L600/INDEX(Items!$F$5:$F$62,MATCH($E600,Items!$A$5:$A$62,0)),4)</f>
        <v>0.0125</v>
      </c>
      <c r="O600" s="6"/>
    </row>
    <row r="601" customFormat="false" ht="15" hidden="false" customHeight="false" outlineLevel="0" collapsed="false">
      <c r="A601" s="6" t="n">
        <v>59</v>
      </c>
      <c r="B601" s="6" t="s">
        <v>371</v>
      </c>
      <c r="C601" s="6" t="s">
        <v>352</v>
      </c>
      <c r="D601" s="6" t="s">
        <v>165</v>
      </c>
      <c r="E601" s="6" t="s">
        <v>58</v>
      </c>
      <c r="F601" s="6" t="str">
        <f aca="false">INDEX(Items!$B$5:$B$62,MATCH($E601,Items!$A$5:$A$62,0))</f>
        <v>DISPOSABLES &amp; CLINIC CONSUMABLES</v>
      </c>
      <c r="G601" s="6" t="str">
        <f aca="false">INDEX(Items!$C$5:$C$62,MATCH($E601,Items!$A$5:$A$62,0))</f>
        <v>Bulk</v>
      </c>
      <c r="H601" s="6" t="s">
        <v>161</v>
      </c>
      <c r="I601" s="6" t="s">
        <v>160</v>
      </c>
      <c r="J601" s="6" t="n">
        <f aca="false">SUMIFS(Kits!$C$5:$C$163,Kits!$A$5:$A$163,$D601,Kits!$B$5:$B$163,$E601)</f>
        <v>6</v>
      </c>
      <c r="K601" s="6" t="n">
        <f aca="false">INDEX(Services!$F$5:$F$85,MATCH($A601,Services!$A$5:$A$85,0))</f>
        <v>1</v>
      </c>
      <c r="L601" s="6" t="n">
        <f aca="false">IF($H601="Auto-deduct",IF($G601="Countable",ROUNDUP($J601*IF($I601="Y",$K601,1),0),ROUND($J601*IF($I601="Y",$K601,1),1)),$J601)</f>
        <v>6</v>
      </c>
      <c r="M601" s="6" t="str">
        <f aca="false">INDEX(Items!$E$5:$E$62,MATCH($E601,Items!$A$5:$A$62,0))</f>
        <v>sheet</v>
      </c>
      <c r="N601" s="6" t="n">
        <f aca="false">ROUND($L601/INDEX(Items!$F$5:$F$62,MATCH($E601,Items!$A$5:$A$62,0)),4)</f>
        <v>0.03</v>
      </c>
      <c r="O601" s="6"/>
    </row>
    <row r="602" customFormat="false" ht="15" hidden="false" customHeight="false" outlineLevel="0" collapsed="false">
      <c r="A602" s="6" t="n">
        <v>59</v>
      </c>
      <c r="B602" s="6" t="s">
        <v>371</v>
      </c>
      <c r="C602" s="6" t="s">
        <v>352</v>
      </c>
      <c r="D602" s="6" t="s">
        <v>167</v>
      </c>
      <c r="E602" s="6" t="s">
        <v>72</v>
      </c>
      <c r="F602" s="6" t="str">
        <f aca="false">INDEX(Items!$B$5:$B$62,MATCH($E602,Items!$A$5:$A$62,0))</f>
        <v>DISPOSABLES &amp; CLINIC CONSUMABLES</v>
      </c>
      <c r="G602" s="6" t="str">
        <f aca="false">INDEX(Items!$C$5:$C$62,MATCH($E602,Items!$A$5:$A$62,0))</f>
        <v>Bulk</v>
      </c>
      <c r="H602" s="6" t="s">
        <v>161</v>
      </c>
      <c r="I602" s="6" t="s">
        <v>160</v>
      </c>
      <c r="J602" s="6" t="n">
        <f aca="false">SUMIFS(Kits!$C$5:$C$163,Kits!$A$5:$A$163,$D602,Kits!$B$5:$B$163,$E602)</f>
        <v>4</v>
      </c>
      <c r="K602" s="6" t="n">
        <f aca="false">INDEX(Services!$F$5:$F$85,MATCH($A602,Services!$A$5:$A$85,0))</f>
        <v>1</v>
      </c>
      <c r="L602" s="6" t="n">
        <f aca="false">IF($H602="Auto-deduct",IF($G602="Countable",ROUNDUP($J602*IF($I602="Y",$K602,1),0),ROUND($J602*IF($I602="Y",$K602,1),1)),$J602)</f>
        <v>4</v>
      </c>
      <c r="M602" s="6" t="str">
        <f aca="false">INDEX(Items!$E$5:$E$62,MATCH($E602,Items!$A$5:$A$62,0))</f>
        <v>pc</v>
      </c>
      <c r="N602" s="6" t="n">
        <f aca="false">ROUND($L602/INDEX(Items!$F$5:$F$62,MATCH($E602,Items!$A$5:$A$62,0)),4)</f>
        <v>0.04</v>
      </c>
      <c r="O602" s="6"/>
    </row>
    <row r="603" customFormat="false" ht="15" hidden="false" customHeight="false" outlineLevel="0" collapsed="false">
      <c r="A603" s="6" t="n">
        <v>59</v>
      </c>
      <c r="B603" s="6" t="s">
        <v>371</v>
      </c>
      <c r="C603" s="6" t="s">
        <v>352</v>
      </c>
      <c r="D603" s="6" t="s">
        <v>167</v>
      </c>
      <c r="E603" s="6" t="s">
        <v>81</v>
      </c>
      <c r="F603" s="6" t="str">
        <f aca="false">INDEX(Items!$B$5:$B$62,MATCH($E603,Items!$A$5:$A$62,0))</f>
        <v>DISPOSABLES &amp; CLINIC CONSUMABLES</v>
      </c>
      <c r="G603" s="6" t="str">
        <f aca="false">INDEX(Items!$C$5:$C$62,MATCH($E603,Items!$A$5:$A$62,0))</f>
        <v>Bulk</v>
      </c>
      <c r="H603" s="6" t="s">
        <v>161</v>
      </c>
      <c r="I603" s="6" t="s">
        <v>160</v>
      </c>
      <c r="J603" s="6" t="n">
        <f aca="false">SUMIFS(Kits!$C$5:$C$163,Kits!$A$5:$A$163,$D603,Kits!$B$5:$B$163,$E603)</f>
        <v>2</v>
      </c>
      <c r="K603" s="6" t="n">
        <f aca="false">INDEX(Services!$F$5:$F$85,MATCH($A603,Services!$A$5:$A$85,0))</f>
        <v>1</v>
      </c>
      <c r="L603" s="6" t="n">
        <f aca="false">IF($H603="Auto-deduct",IF($G603="Countable",ROUNDUP($J603*IF($I603="Y",$K603,1),0),ROUND($J603*IF($I603="Y",$K603,1),1)),$J603)</f>
        <v>2</v>
      </c>
      <c r="M603" s="6" t="str">
        <f aca="false">INDEX(Items!$E$5:$E$62,MATCH($E603,Items!$A$5:$A$62,0))</f>
        <v>pc</v>
      </c>
      <c r="N603" s="6" t="n">
        <f aca="false">ROUND($L603/INDEX(Items!$F$5:$F$62,MATCH($E603,Items!$A$5:$A$62,0)),4)</f>
        <v>0.02</v>
      </c>
      <c r="O603" s="6"/>
    </row>
    <row r="604" customFormat="false" ht="15" hidden="false" customHeight="false" outlineLevel="0" collapsed="false">
      <c r="A604" s="6" t="n">
        <v>59</v>
      </c>
      <c r="B604" s="6" t="s">
        <v>371</v>
      </c>
      <c r="C604" s="6" t="s">
        <v>352</v>
      </c>
      <c r="D604" s="6" t="s">
        <v>167</v>
      </c>
      <c r="E604" s="6" t="s">
        <v>88</v>
      </c>
      <c r="F604" s="6" t="str">
        <f aca="false">INDEX(Items!$B$5:$B$62,MATCH($E604,Items!$A$5:$A$62,0))</f>
        <v>DISPOSABLES &amp; CLINIC CONSUMABLES</v>
      </c>
      <c r="G604" s="6" t="str">
        <f aca="false">INDEX(Items!$C$5:$C$62,MATCH($E604,Items!$A$5:$A$62,0))</f>
        <v>Bulk</v>
      </c>
      <c r="H604" s="6" t="s">
        <v>161</v>
      </c>
      <c r="I604" s="6" t="s">
        <v>160</v>
      </c>
      <c r="J604" s="6" t="n">
        <f aca="false">SUMIFS(Kits!$C$5:$C$163,Kits!$A$5:$A$163,$D604,Kits!$B$5:$B$163,$E604)</f>
        <v>5</v>
      </c>
      <c r="K604" s="6" t="n">
        <f aca="false">INDEX(Services!$F$5:$F$85,MATCH($A604,Services!$A$5:$A$85,0))</f>
        <v>1</v>
      </c>
      <c r="L604" s="6" t="n">
        <f aca="false">IF($H604="Auto-deduct",IF($G604="Countable",ROUNDUP($J604*IF($I604="Y",$K604,1),0),ROUND($J604*IF($I604="Y",$K604,1),1)),$J604)</f>
        <v>5</v>
      </c>
      <c r="M604" s="6" t="str">
        <f aca="false">INDEX(Items!$E$5:$E$62,MATCH($E604,Items!$A$5:$A$62,0))</f>
        <v>mL</v>
      </c>
      <c r="N604" s="6" t="n">
        <f aca="false">ROUND($L604/INDEX(Items!$F$5:$F$62,MATCH($E604,Items!$A$5:$A$62,0)),4)</f>
        <v>0.01</v>
      </c>
      <c r="O604" s="6"/>
    </row>
    <row r="605" customFormat="false" ht="15" hidden="false" customHeight="false" outlineLevel="0" collapsed="false">
      <c r="A605" s="6" t="n">
        <v>59</v>
      </c>
      <c r="B605" s="6" t="s">
        <v>371</v>
      </c>
      <c r="C605" s="6" t="s">
        <v>352</v>
      </c>
      <c r="D605" s="6" t="s">
        <v>169</v>
      </c>
      <c r="E605" s="6" t="s">
        <v>100</v>
      </c>
      <c r="F605" s="6" t="str">
        <f aca="false">INDEX(Items!$B$5:$B$62,MATCH($E605,Items!$A$5:$A$62,0))</f>
        <v>FACIAL / TREATMENT PREP PRODUCTS</v>
      </c>
      <c r="G605" s="6" t="str">
        <f aca="false">INDEX(Items!$C$5:$C$62,MATCH($E605,Items!$A$5:$A$62,0))</f>
        <v>Bulk</v>
      </c>
      <c r="H605" s="6" t="s">
        <v>161</v>
      </c>
      <c r="I605" s="6" t="s">
        <v>160</v>
      </c>
      <c r="J605" s="6" t="n">
        <f aca="false">SUMIFS(Kits!$C$5:$C$163,Kits!$A$5:$A$163,$D605,Kits!$B$5:$B$163,$E605)</f>
        <v>5</v>
      </c>
      <c r="K605" s="6" t="n">
        <f aca="false">INDEX(Services!$F$5:$F$85,MATCH($A605,Services!$A$5:$A$85,0))</f>
        <v>1</v>
      </c>
      <c r="L605" s="6" t="n">
        <f aca="false">IF($H605="Auto-deduct",IF($G605="Countable",ROUNDUP($J605*IF($I605="Y",$K605,1),0),ROUND($J605*IF($I605="Y",$K605,1),1)),$J605)</f>
        <v>5</v>
      </c>
      <c r="M605" s="6" t="str">
        <f aca="false">INDEX(Items!$E$5:$E$62,MATCH($E605,Items!$A$5:$A$62,0))</f>
        <v>g</v>
      </c>
      <c r="N605" s="6" t="n">
        <f aca="false">ROUND($L605/INDEX(Items!$F$5:$F$62,MATCH($E605,Items!$A$5:$A$62,0)),4)</f>
        <v>0.02</v>
      </c>
      <c r="O605" s="6"/>
    </row>
    <row r="606" customFormat="false" ht="15" hidden="false" customHeight="false" outlineLevel="0" collapsed="false">
      <c r="A606" s="6" t="n">
        <v>59</v>
      </c>
      <c r="B606" s="6" t="s">
        <v>371</v>
      </c>
      <c r="C606" s="6" t="s">
        <v>352</v>
      </c>
      <c r="D606" s="6" t="s">
        <v>171</v>
      </c>
      <c r="E606" s="6" t="s">
        <v>109</v>
      </c>
      <c r="F606" s="6" t="str">
        <f aca="false">INDEX(Items!$B$5:$B$62,MATCH($E606,Items!$A$5:$A$62,0))</f>
        <v>FACIAL TREATMENT PRODUCTS (PROFESSIONAL USE)</v>
      </c>
      <c r="G606" s="6" t="str">
        <f aca="false">INDEX(Items!$C$5:$C$62,MATCH($E606,Items!$A$5:$A$62,0))</f>
        <v>Bulk</v>
      </c>
      <c r="H606" s="6" t="s">
        <v>161</v>
      </c>
      <c r="I606" s="6" t="s">
        <v>160</v>
      </c>
      <c r="J606" s="6" t="n">
        <f aca="false">SUMIFS(Kits!$C$5:$C$163,Kits!$A$5:$A$163,$D606,Kits!$B$5:$B$163,$E606)</f>
        <v>30</v>
      </c>
      <c r="K606" s="6" t="n">
        <f aca="false">INDEX(Services!$F$5:$F$85,MATCH($A606,Services!$A$5:$A$85,0))</f>
        <v>1</v>
      </c>
      <c r="L606" s="6" t="n">
        <f aca="false">IF($H606="Auto-deduct",IF($G606="Countable",ROUNDUP($J606*IF($I606="Y",$K606,1),0),ROUND($J606*IF($I606="Y",$K606,1),1)),$J606)</f>
        <v>30</v>
      </c>
      <c r="M606" s="6" t="str">
        <f aca="false">INDEX(Items!$E$5:$E$62,MATCH($E606,Items!$A$5:$A$62,0))</f>
        <v>g</v>
      </c>
      <c r="N606" s="6" t="n">
        <f aca="false">ROUND($L606/INDEX(Items!$F$5:$F$62,MATCH($E606,Items!$A$5:$A$62,0)),4)</f>
        <v>0.06</v>
      </c>
      <c r="O606" s="6"/>
    </row>
    <row r="607" customFormat="false" ht="15" hidden="false" customHeight="false" outlineLevel="0" collapsed="false">
      <c r="A607" s="6" t="n">
        <v>59</v>
      </c>
      <c r="B607" s="6" t="s">
        <v>371</v>
      </c>
      <c r="C607" s="6" t="s">
        <v>352</v>
      </c>
      <c r="D607" s="6" t="s">
        <v>171</v>
      </c>
      <c r="E607" s="6" t="s">
        <v>74</v>
      </c>
      <c r="F607" s="6" t="str">
        <f aca="false">INDEX(Items!$B$5:$B$62,MATCH($E607,Items!$A$5:$A$62,0))</f>
        <v>DISPOSABLES &amp; CLINIC CONSUMABLES</v>
      </c>
      <c r="G607" s="6" t="str">
        <f aca="false">INDEX(Items!$C$5:$C$62,MATCH($E607,Items!$A$5:$A$62,0))</f>
        <v>Bulk</v>
      </c>
      <c r="H607" s="6" t="s">
        <v>161</v>
      </c>
      <c r="I607" s="6" t="s">
        <v>160</v>
      </c>
      <c r="J607" s="6" t="n">
        <f aca="false">SUMIFS(Kits!$C$5:$C$163,Kits!$A$5:$A$163,$D607,Kits!$B$5:$B$163,$E607)</f>
        <v>1</v>
      </c>
      <c r="K607" s="6" t="n">
        <f aca="false">INDEX(Services!$F$5:$F$85,MATCH($A607,Services!$A$5:$A$85,0))</f>
        <v>1</v>
      </c>
      <c r="L607" s="6" t="n">
        <f aca="false">IF($H607="Auto-deduct",IF($G607="Countable",ROUNDUP($J607*IF($I607="Y",$K607,1),0),ROUND($J607*IF($I607="Y",$K607,1),1)),$J607)</f>
        <v>1</v>
      </c>
      <c r="M607" s="6" t="str">
        <f aca="false">INDEX(Items!$E$5:$E$62,MATCH($E607,Items!$A$5:$A$62,0))</f>
        <v>pc</v>
      </c>
      <c r="N607" s="6" t="n">
        <f aca="false">ROUND($L607/INDEX(Items!$F$5:$F$62,MATCH($E607,Items!$A$5:$A$62,0)),4)</f>
        <v>0.01</v>
      </c>
      <c r="O607" s="6"/>
    </row>
    <row r="608" customFormat="false" ht="15" hidden="false" customHeight="false" outlineLevel="0" collapsed="false">
      <c r="A608" s="6" t="n">
        <v>59</v>
      </c>
      <c r="B608" s="6" t="s">
        <v>371</v>
      </c>
      <c r="C608" s="6" t="s">
        <v>352</v>
      </c>
      <c r="D608" s="6" t="s">
        <v>171</v>
      </c>
      <c r="E608" s="6" t="s">
        <v>135</v>
      </c>
      <c r="F608" s="6" t="str">
        <f aca="false">INDEX(Items!$B$5:$B$62,MATCH($E608,Items!$A$5:$A$62,0))</f>
        <v>SKINCARE PRODUCTS (RETAIL / AFTERCARE)</v>
      </c>
      <c r="G608" s="6" t="str">
        <f aca="false">INDEX(Items!$C$5:$C$62,MATCH($E608,Items!$A$5:$A$62,0))</f>
        <v>Bulk</v>
      </c>
      <c r="H608" s="6" t="s">
        <v>161</v>
      </c>
      <c r="I608" s="6" t="s">
        <v>160</v>
      </c>
      <c r="J608" s="6" t="n">
        <f aca="false">SUMIFS(Kits!$C$5:$C$163,Kits!$A$5:$A$163,$D608,Kits!$B$5:$B$163,$E608)</f>
        <v>3</v>
      </c>
      <c r="K608" s="6" t="n">
        <f aca="false">INDEX(Services!$F$5:$F$85,MATCH($A608,Services!$A$5:$A$85,0))</f>
        <v>1</v>
      </c>
      <c r="L608" s="6" t="n">
        <f aca="false">IF($H608="Auto-deduct",IF($G608="Countable",ROUNDUP($J608*IF($I608="Y",$K608,1),0),ROUND($J608*IF($I608="Y",$K608,1),1)),$J608)</f>
        <v>3</v>
      </c>
      <c r="M608" s="6" t="str">
        <f aca="false">INDEX(Items!$E$5:$E$62,MATCH($E608,Items!$A$5:$A$62,0))</f>
        <v>g</v>
      </c>
      <c r="N608" s="6" t="n">
        <f aca="false">ROUND($L608/INDEX(Items!$F$5:$F$62,MATCH($E608,Items!$A$5:$A$62,0)),4)</f>
        <v>0.06</v>
      </c>
      <c r="O608" s="6"/>
    </row>
    <row r="609" customFormat="false" ht="15" hidden="false" customHeight="false" outlineLevel="0" collapsed="false">
      <c r="A609" s="6" t="n">
        <v>59</v>
      </c>
      <c r="B609" s="6" t="s">
        <v>371</v>
      </c>
      <c r="C609" s="6" t="s">
        <v>352</v>
      </c>
      <c r="D609" s="6" t="s">
        <v>188</v>
      </c>
      <c r="E609" s="6" t="s">
        <v>150</v>
      </c>
      <c r="F609" s="6" t="str">
        <f aca="false">INDEX(Items!$B$5:$B$62,MATCH($E609,Items!$A$5:$A$62,0))</f>
        <v>TOOLS / EQUIPMENT / MISC</v>
      </c>
      <c r="G609" s="6" t="str">
        <f aca="false">INDEX(Items!$C$5:$C$62,MATCH($E609,Items!$A$5:$A$62,0))</f>
        <v>Bulk</v>
      </c>
      <c r="H609" s="6" t="s">
        <v>161</v>
      </c>
      <c r="I609" s="6" t="s">
        <v>160</v>
      </c>
      <c r="J609" s="6" t="n">
        <f aca="false">SUMIFS(Kits!$C$5:$C$163,Kits!$A$5:$A$163,$D609,Kits!$B$5:$B$163,$E609)</f>
        <v>3</v>
      </c>
      <c r="K609" s="6" t="n">
        <f aca="false">INDEX(Services!$F$5:$F$85,MATCH($A609,Services!$A$5:$A$85,0))</f>
        <v>1</v>
      </c>
      <c r="L609" s="6" t="n">
        <f aca="false">IF($H609="Auto-deduct",IF($G609="Countable",ROUNDUP($J609*IF($I609="Y",$K609,1),0),ROUND($J609*IF($I609="Y",$K609,1),1)),$J609)</f>
        <v>3</v>
      </c>
      <c r="M609" s="6" t="str">
        <f aca="false">INDEX(Items!$E$5:$E$62,MATCH($E609,Items!$A$5:$A$62,0))</f>
        <v>g</v>
      </c>
      <c r="N609" s="6" t="n">
        <f aca="false">ROUND($L609/INDEX(Items!$F$5:$F$62,MATCH($E609,Items!$A$5:$A$62,0)),4)</f>
        <v>0.1</v>
      </c>
      <c r="O609" s="6"/>
    </row>
    <row r="610" customFormat="false" ht="15" hidden="false" customHeight="false" outlineLevel="0" collapsed="false">
      <c r="A610" s="6" t="n">
        <v>59</v>
      </c>
      <c r="B610" s="6" t="s">
        <v>371</v>
      </c>
      <c r="C610" s="6" t="s">
        <v>352</v>
      </c>
      <c r="D610" s="6" t="s">
        <v>188</v>
      </c>
      <c r="E610" s="6" t="s">
        <v>79</v>
      </c>
      <c r="F610" s="6" t="str">
        <f aca="false">INDEX(Items!$B$5:$B$62,MATCH($E610,Items!$A$5:$A$62,0))</f>
        <v>DISPOSABLES &amp; CLINIC CONSUMABLES</v>
      </c>
      <c r="G610" s="6" t="str">
        <f aca="false">INDEX(Items!$C$5:$C$62,MATCH($E610,Items!$A$5:$A$62,0))</f>
        <v>Bulk</v>
      </c>
      <c r="H610" s="6" t="s">
        <v>161</v>
      </c>
      <c r="I610" s="6" t="s">
        <v>160</v>
      </c>
      <c r="J610" s="6" t="n">
        <f aca="false">SUMIFS(Kits!$C$5:$C$163,Kits!$A$5:$A$163,$D610,Kits!$B$5:$B$163,$E610)</f>
        <v>20</v>
      </c>
      <c r="K610" s="6" t="n">
        <f aca="false">INDEX(Services!$F$5:$F$85,MATCH($A610,Services!$A$5:$A$85,0))</f>
        <v>1</v>
      </c>
      <c r="L610" s="6" t="n">
        <f aca="false">IF($H610="Auto-deduct",IF($G610="Countable",ROUNDUP($J610*IF($I610="Y",$K610,1),0),ROUND($J610*IF($I610="Y",$K610,1),1)),$J610)</f>
        <v>20</v>
      </c>
      <c r="M610" s="6" t="str">
        <f aca="false">INDEX(Items!$E$5:$E$62,MATCH($E610,Items!$A$5:$A$62,0))</f>
        <v>cm</v>
      </c>
      <c r="N610" s="6" t="n">
        <f aca="false">ROUND($L610/INDEX(Items!$F$5:$F$62,MATCH($E610,Items!$A$5:$A$62,0)),4)</f>
        <v>0.0067</v>
      </c>
      <c r="O610" s="6"/>
    </row>
    <row r="611" customFormat="false" ht="15" hidden="false" customHeight="false" outlineLevel="0" collapsed="false">
      <c r="A611" s="6" t="n">
        <v>59</v>
      </c>
      <c r="B611" s="6" t="s">
        <v>371</v>
      </c>
      <c r="C611" s="6" t="s">
        <v>352</v>
      </c>
      <c r="D611" s="6" t="s">
        <v>188</v>
      </c>
      <c r="E611" s="6" t="s">
        <v>42</v>
      </c>
      <c r="F611" s="6" t="str">
        <f aca="false">INDEX(Items!$B$5:$B$62,MATCH($E611,Items!$A$5:$A$62,0))</f>
        <v>MEDICAL / INJECTION SUPPLIES</v>
      </c>
      <c r="G611" s="6" t="str">
        <f aca="false">INDEX(Items!$C$5:$C$62,MATCH($E611,Items!$A$5:$A$62,0))</f>
        <v>Countable</v>
      </c>
      <c r="H611" s="6" t="s">
        <v>161</v>
      </c>
      <c r="I611" s="6" t="s">
        <v>160</v>
      </c>
      <c r="J611" s="6" t="n">
        <f aca="false">SUMIFS(Kits!$C$5:$C$163,Kits!$A$5:$A$163,$D611,Kits!$B$5:$B$163,$E611)</f>
        <v>1</v>
      </c>
      <c r="K611" s="6" t="n">
        <f aca="false">INDEX(Services!$F$5:$F$85,MATCH($A611,Services!$A$5:$A$85,0))</f>
        <v>1</v>
      </c>
      <c r="L611" s="6" t="n">
        <f aca="false">IF($H611="Auto-deduct",IF($G611="Countable",ROUNDUP($J611*IF($I611="Y",$K611,1),0),ROUND($J611*IF($I611="Y",$K611,1),1)),$J611)</f>
        <v>1</v>
      </c>
      <c r="M611" s="6" t="str">
        <f aca="false">INDEX(Items!$E$5:$E$62,MATCH($E611,Items!$A$5:$A$62,0))</f>
        <v>pc</v>
      </c>
      <c r="N611" s="6" t="n">
        <f aca="false">ROUND($L611/INDEX(Items!$F$5:$F$62,MATCH($E611,Items!$A$5:$A$62,0)),4)</f>
        <v>1</v>
      </c>
      <c r="O611" s="6"/>
    </row>
    <row r="612" customFormat="false" ht="15" hidden="false" customHeight="false" outlineLevel="0" collapsed="false">
      <c r="A612" s="6" t="n">
        <v>59</v>
      </c>
      <c r="B612" s="6" t="s">
        <v>371</v>
      </c>
      <c r="C612" s="6" t="s">
        <v>352</v>
      </c>
      <c r="D612" s="6" t="s">
        <v>188</v>
      </c>
      <c r="E612" s="6" t="s">
        <v>29</v>
      </c>
      <c r="F612" s="6" t="str">
        <f aca="false">INDEX(Items!$B$5:$B$62,MATCH($E612,Items!$A$5:$A$62,0))</f>
        <v>MEDICAL / INJECTION SUPPLIES</v>
      </c>
      <c r="G612" s="6" t="str">
        <f aca="false">INDEX(Items!$C$5:$C$62,MATCH($E612,Items!$A$5:$A$62,0))</f>
        <v>Countable</v>
      </c>
      <c r="H612" s="6" t="s">
        <v>161</v>
      </c>
      <c r="I612" s="6" t="s">
        <v>160</v>
      </c>
      <c r="J612" s="6" t="n">
        <f aca="false">SUMIFS(Kits!$C$5:$C$163,Kits!$A$5:$A$163,$D612,Kits!$B$5:$B$163,$E612)</f>
        <v>1</v>
      </c>
      <c r="K612" s="6" t="n">
        <f aca="false">INDEX(Services!$F$5:$F$85,MATCH($A612,Services!$A$5:$A$85,0))</f>
        <v>1</v>
      </c>
      <c r="L612" s="6" t="n">
        <f aca="false">IF($H612="Auto-deduct",IF($G612="Countable",ROUNDUP($J612*IF($I612="Y",$K612,1),0),ROUND($J612*IF($I612="Y",$K612,1),1)),$J612)</f>
        <v>1</v>
      </c>
      <c r="M612" s="6" t="str">
        <f aca="false">INDEX(Items!$E$5:$E$62,MATCH($E612,Items!$A$5:$A$62,0))</f>
        <v>pc</v>
      </c>
      <c r="N612" s="6" t="n">
        <f aca="false">ROUND($L612/INDEX(Items!$F$5:$F$62,MATCH($E612,Items!$A$5:$A$62,0)),4)</f>
        <v>1</v>
      </c>
      <c r="O612" s="6"/>
    </row>
    <row r="613" customFormat="false" ht="15" hidden="false" customHeight="false" outlineLevel="0" collapsed="false">
      <c r="A613" s="6" t="n">
        <v>59</v>
      </c>
      <c r="B613" s="6" t="s">
        <v>371</v>
      </c>
      <c r="C613" s="6" t="s">
        <v>352</v>
      </c>
      <c r="D613" s="6" t="s">
        <v>188</v>
      </c>
      <c r="E613" s="6" t="s">
        <v>120</v>
      </c>
      <c r="F613" s="6" t="str">
        <f aca="false">INDEX(Items!$B$5:$B$62,MATCH($E613,Items!$A$5:$A$62,0))</f>
        <v>FACIAL TREATMENT PRODUCTS (PROFESSIONAL USE)</v>
      </c>
      <c r="G613" s="6" t="str">
        <f aca="false">INDEX(Items!$C$5:$C$62,MATCH($E613,Items!$A$5:$A$62,0))</f>
        <v>Countable</v>
      </c>
      <c r="H613" s="6" t="s">
        <v>161</v>
      </c>
      <c r="I613" s="6" t="s">
        <v>160</v>
      </c>
      <c r="J613" s="6" t="n">
        <f aca="false">SUMIFS(Kits!$C$5:$C$163,Kits!$A$5:$A$163,$D613,Kits!$B$5:$B$163,$E613)</f>
        <v>1</v>
      </c>
      <c r="K613" s="6" t="n">
        <f aca="false">INDEX(Services!$F$5:$F$85,MATCH($A613,Services!$A$5:$A$85,0))</f>
        <v>1</v>
      </c>
      <c r="L613" s="6" t="n">
        <f aca="false">IF($H613="Auto-deduct",IF($G613="Countable",ROUNDUP($J613*IF($I613="Y",$K613,1),0),ROUND($J613*IF($I613="Y",$K613,1),1)),$J613)</f>
        <v>1</v>
      </c>
      <c r="M613" s="6" t="str">
        <f aca="false">INDEX(Items!$E$5:$E$62,MATCH($E613,Items!$A$5:$A$62,0))</f>
        <v>pc</v>
      </c>
      <c r="N613" s="6" t="n">
        <f aca="false">ROUND($L613/INDEX(Items!$F$5:$F$62,MATCH($E613,Items!$A$5:$A$62,0)),4)</f>
        <v>1</v>
      </c>
      <c r="O613" s="6"/>
    </row>
    <row r="614" customFormat="false" ht="15" hidden="false" customHeight="false" outlineLevel="0" collapsed="false">
      <c r="A614" s="6" t="n">
        <v>59</v>
      </c>
      <c r="B614" s="6" t="s">
        <v>371</v>
      </c>
      <c r="C614" s="6" t="s">
        <v>352</v>
      </c>
      <c r="D614" s="6" t="s">
        <v>188</v>
      </c>
      <c r="E614" s="6" t="s">
        <v>84</v>
      </c>
      <c r="F614" s="6" t="str">
        <f aca="false">INDEX(Items!$B$5:$B$62,MATCH($E614,Items!$A$5:$A$62,0))</f>
        <v>DISPOSABLES &amp; CLINIC CONSUMABLES</v>
      </c>
      <c r="G614" s="6" t="str">
        <f aca="false">INDEX(Items!$C$5:$C$62,MATCH($E614,Items!$A$5:$A$62,0))</f>
        <v>Countable</v>
      </c>
      <c r="H614" s="6" t="s">
        <v>161</v>
      </c>
      <c r="I614" s="6" t="s">
        <v>160</v>
      </c>
      <c r="J614" s="6" t="n">
        <f aca="false">SUMIFS(Kits!$C$5:$C$163,Kits!$A$5:$A$163,$D614,Kits!$B$5:$B$163,$E614)</f>
        <v>2</v>
      </c>
      <c r="K614" s="6" t="n">
        <f aca="false">INDEX(Services!$F$5:$F$85,MATCH($A614,Services!$A$5:$A$85,0))</f>
        <v>1</v>
      </c>
      <c r="L614" s="6" t="n">
        <f aca="false">IF($H614="Auto-deduct",IF($G614="Countable",ROUNDUP($J614*IF($I614="Y",$K614,1),0),ROUND($J614*IF($I614="Y",$K614,1),1)),$J614)</f>
        <v>2</v>
      </c>
      <c r="M614" s="6" t="str">
        <f aca="false">INDEX(Items!$E$5:$E$62,MATCH($E614,Items!$A$5:$A$62,0))</f>
        <v>pc</v>
      </c>
      <c r="N614" s="6" t="n">
        <f aca="false">ROUND($L614/INDEX(Items!$F$5:$F$62,MATCH($E614,Items!$A$5:$A$62,0)),4)</f>
        <v>2</v>
      </c>
      <c r="O614" s="6"/>
    </row>
    <row r="615" customFormat="false" ht="15" hidden="false" customHeight="false" outlineLevel="0" collapsed="false">
      <c r="A615" s="6" t="n">
        <v>59</v>
      </c>
      <c r="B615" s="6" t="s">
        <v>371</v>
      </c>
      <c r="C615" s="6" t="s">
        <v>352</v>
      </c>
      <c r="D615" s="6" t="s">
        <v>188</v>
      </c>
      <c r="E615" s="6" t="s">
        <v>46</v>
      </c>
      <c r="F615" s="6" t="str">
        <f aca="false">INDEX(Items!$B$5:$B$62,MATCH($E615,Items!$A$5:$A$62,0))</f>
        <v>MEDICAL / INJECTION SUPPLIES</v>
      </c>
      <c r="G615" s="6" t="str">
        <f aca="false">INDEX(Items!$C$5:$C$62,MATCH($E615,Items!$A$5:$A$62,0))</f>
        <v>Countable</v>
      </c>
      <c r="H615" s="6" t="s">
        <v>161</v>
      </c>
      <c r="I615" s="6" t="s">
        <v>160</v>
      </c>
      <c r="J615" s="6" t="n">
        <f aca="false">SUMIFS(Kits!$C$5:$C$163,Kits!$A$5:$A$163,$D615,Kits!$B$5:$B$163,$E615)</f>
        <v>1</v>
      </c>
      <c r="K615" s="6" t="n">
        <f aca="false">INDEX(Services!$F$5:$F$85,MATCH($A615,Services!$A$5:$A$85,0))</f>
        <v>1</v>
      </c>
      <c r="L615" s="6" t="n">
        <f aca="false">IF($H615="Auto-deduct",IF($G615="Countable",ROUNDUP($J615*IF($I615="Y",$K615,1),0),ROUND($J615*IF($I615="Y",$K615,1),1)),$J615)</f>
        <v>1</v>
      </c>
      <c r="M615" s="6" t="str">
        <f aca="false">INDEX(Items!$E$5:$E$62,MATCH($E615,Items!$A$5:$A$62,0))</f>
        <v>ampule</v>
      </c>
      <c r="N615" s="6" t="n">
        <f aca="false">ROUND($L615/INDEX(Items!$F$5:$F$62,MATCH($E615,Items!$A$5:$A$62,0)),4)</f>
        <v>1</v>
      </c>
      <c r="O615" s="6"/>
    </row>
    <row r="616" customFormat="false" ht="15" hidden="false" customHeight="false" outlineLevel="0" collapsed="false">
      <c r="A616" s="6" t="n">
        <v>60</v>
      </c>
      <c r="B616" s="6" t="s">
        <v>374</v>
      </c>
      <c r="C616" s="6" t="s">
        <v>373</v>
      </c>
      <c r="D616" s="6" t="s">
        <v>159</v>
      </c>
      <c r="E616" s="6" t="s">
        <v>52</v>
      </c>
      <c r="F616" s="6" t="str">
        <f aca="false">INDEX(Items!$B$5:$B$62,MATCH($E616,Items!$A$5:$A$62,0))</f>
        <v>DISPOSABLES &amp; CLINIC CONSUMABLES</v>
      </c>
      <c r="G616" s="6" t="str">
        <f aca="false">INDEX(Items!$C$5:$C$62,MATCH($E616,Items!$A$5:$A$62,0))</f>
        <v>Countable</v>
      </c>
      <c r="H616" s="6" t="s">
        <v>161</v>
      </c>
      <c r="I616" s="6" t="s">
        <v>160</v>
      </c>
      <c r="J616" s="6" t="n">
        <f aca="false">SUMIFS(Kits!$C$5:$C$163,Kits!$A$5:$A$163,$D616,Kits!$B$5:$B$163,$E616)</f>
        <v>1</v>
      </c>
      <c r="K616" s="6" t="n">
        <f aca="false">INDEX(Services!$F$5:$F$85,MATCH($A616,Services!$A$5:$A$85,0))</f>
        <v>1</v>
      </c>
      <c r="L616" s="6" t="n">
        <f aca="false">IF($H616="Auto-deduct",IF($G616="Countable",ROUNDUP($J616*IF($I616="Y",$K616,1),0),ROUND($J616*IF($I616="Y",$K616,1),1)),$J616)</f>
        <v>1</v>
      </c>
      <c r="M616" s="6" t="str">
        <f aca="false">INDEX(Items!$E$5:$E$62,MATCH($E616,Items!$A$5:$A$62,0))</f>
        <v>pc</v>
      </c>
      <c r="N616" s="6" t="n">
        <f aca="false">ROUND($L616/INDEX(Items!$F$5:$F$62,MATCH($E616,Items!$A$5:$A$62,0)),4)</f>
        <v>1</v>
      </c>
      <c r="O616" s="6"/>
    </row>
    <row r="617" customFormat="false" ht="15" hidden="false" customHeight="false" outlineLevel="0" collapsed="false">
      <c r="A617" s="6" t="n">
        <v>60</v>
      </c>
      <c r="B617" s="6" t="s">
        <v>374</v>
      </c>
      <c r="C617" s="6" t="s">
        <v>373</v>
      </c>
      <c r="D617" s="6" t="s">
        <v>159</v>
      </c>
      <c r="E617" s="6" t="s">
        <v>53</v>
      </c>
      <c r="F617" s="6" t="str">
        <f aca="false">INDEX(Items!$B$5:$B$62,MATCH($E617,Items!$A$5:$A$62,0))</f>
        <v>DISPOSABLES &amp; CLINIC CONSUMABLES</v>
      </c>
      <c r="G617" s="6" t="str">
        <f aca="false">INDEX(Items!$C$5:$C$62,MATCH($E617,Items!$A$5:$A$62,0))</f>
        <v>Countable</v>
      </c>
      <c r="H617" s="6" t="s">
        <v>161</v>
      </c>
      <c r="I617" s="6" t="s">
        <v>160</v>
      </c>
      <c r="J617" s="6" t="n">
        <f aca="false">SUMIFS(Kits!$C$5:$C$163,Kits!$A$5:$A$163,$D617,Kits!$B$5:$B$163,$E617)</f>
        <v>1</v>
      </c>
      <c r="K617" s="6" t="n">
        <f aca="false">INDEX(Services!$F$5:$F$85,MATCH($A617,Services!$A$5:$A$85,0))</f>
        <v>1</v>
      </c>
      <c r="L617" s="6" t="n">
        <f aca="false">IF($H617="Auto-deduct",IF($G617="Countable",ROUNDUP($J617*IF($I617="Y",$K617,1),0),ROUND($J617*IF($I617="Y",$K617,1),1)),$J617)</f>
        <v>1</v>
      </c>
      <c r="M617" s="6" t="str">
        <f aca="false">INDEX(Items!$E$5:$E$62,MATCH($E617,Items!$A$5:$A$62,0))</f>
        <v>pair</v>
      </c>
      <c r="N617" s="6" t="n">
        <f aca="false">ROUND($L617/INDEX(Items!$F$5:$F$62,MATCH($E617,Items!$A$5:$A$62,0)),4)</f>
        <v>1</v>
      </c>
      <c r="O617" s="6"/>
    </row>
    <row r="618" customFormat="false" ht="15" hidden="false" customHeight="false" outlineLevel="0" collapsed="false">
      <c r="A618" s="6" t="n">
        <v>60</v>
      </c>
      <c r="B618" s="6" t="s">
        <v>374</v>
      </c>
      <c r="C618" s="6" t="s">
        <v>373</v>
      </c>
      <c r="D618" s="6" t="s">
        <v>159</v>
      </c>
      <c r="E618" s="6" t="s">
        <v>88</v>
      </c>
      <c r="F618" s="6" t="str">
        <f aca="false">INDEX(Items!$B$5:$B$62,MATCH($E618,Items!$A$5:$A$62,0))</f>
        <v>DISPOSABLES &amp; CLINIC CONSUMABLES</v>
      </c>
      <c r="G618" s="6" t="str">
        <f aca="false">INDEX(Items!$C$5:$C$62,MATCH($E618,Items!$A$5:$A$62,0))</f>
        <v>Bulk</v>
      </c>
      <c r="H618" s="6" t="s">
        <v>161</v>
      </c>
      <c r="I618" s="6" t="s">
        <v>160</v>
      </c>
      <c r="J618" s="6" t="n">
        <f aca="false">SUMIFS(Kits!$C$5:$C$163,Kits!$A$5:$A$163,$D618,Kits!$B$5:$B$163,$E618)</f>
        <v>5</v>
      </c>
      <c r="K618" s="6" t="n">
        <f aca="false">INDEX(Services!$F$5:$F$85,MATCH($A618,Services!$A$5:$A$85,0))</f>
        <v>1</v>
      </c>
      <c r="L618" s="6" t="n">
        <f aca="false">IF($H618="Auto-deduct",IF($G618="Countable",ROUNDUP($J618*IF($I618="Y",$K618,1),0),ROUND($J618*IF($I618="Y",$K618,1),1)),$J618)</f>
        <v>5</v>
      </c>
      <c r="M618" s="6" t="str">
        <f aca="false">INDEX(Items!$E$5:$E$62,MATCH($E618,Items!$A$5:$A$62,0))</f>
        <v>mL</v>
      </c>
      <c r="N618" s="6" t="n">
        <f aca="false">ROUND($L618/INDEX(Items!$F$5:$F$62,MATCH($E618,Items!$A$5:$A$62,0)),4)</f>
        <v>0.01</v>
      </c>
      <c r="O618" s="6"/>
    </row>
    <row r="619" customFormat="false" ht="15" hidden="false" customHeight="false" outlineLevel="0" collapsed="false">
      <c r="A619" s="6" t="n">
        <v>60</v>
      </c>
      <c r="B619" s="6" t="s">
        <v>374</v>
      </c>
      <c r="C619" s="6" t="s">
        <v>373</v>
      </c>
      <c r="D619" s="6" t="s">
        <v>163</v>
      </c>
      <c r="E619" s="6" t="s">
        <v>50</v>
      </c>
      <c r="F619" s="6" t="str">
        <f aca="false">INDEX(Items!$B$5:$B$62,MATCH($E619,Items!$A$5:$A$62,0))</f>
        <v>DISPOSABLES &amp; CLINIC CONSUMABLES</v>
      </c>
      <c r="G619" s="6" t="str">
        <f aca="false">INDEX(Items!$C$5:$C$62,MATCH($E619,Items!$A$5:$A$62,0))</f>
        <v>Countable</v>
      </c>
      <c r="H619" s="6" t="s">
        <v>161</v>
      </c>
      <c r="I619" s="6" t="s">
        <v>160</v>
      </c>
      <c r="J619" s="6" t="n">
        <f aca="false">SUMIFS(Kits!$C$5:$C$163,Kits!$A$5:$A$163,$D619,Kits!$B$5:$B$163,$E619)</f>
        <v>1</v>
      </c>
      <c r="K619" s="6" t="n">
        <f aca="false">INDEX(Services!$F$5:$F$85,MATCH($A619,Services!$A$5:$A$85,0))</f>
        <v>1</v>
      </c>
      <c r="L619" s="6" t="n">
        <f aca="false">IF($H619="Auto-deduct",IF($G619="Countable",ROUNDUP($J619*IF($I619="Y",$K619,1),0),ROUND($J619*IF($I619="Y",$K619,1),1)),$J619)</f>
        <v>1</v>
      </c>
      <c r="M619" s="6" t="str">
        <f aca="false">INDEX(Items!$E$5:$E$62,MATCH($E619,Items!$A$5:$A$62,0))</f>
        <v>pc</v>
      </c>
      <c r="N619" s="6" t="n">
        <f aca="false">ROUND($L619/INDEX(Items!$F$5:$F$62,MATCH($E619,Items!$A$5:$A$62,0)),4)</f>
        <v>1</v>
      </c>
      <c r="O619" s="6"/>
    </row>
    <row r="620" customFormat="false" ht="15" hidden="false" customHeight="false" outlineLevel="0" collapsed="false">
      <c r="A620" s="6" t="n">
        <v>60</v>
      </c>
      <c r="B620" s="6" t="s">
        <v>374</v>
      </c>
      <c r="C620" s="6" t="s">
        <v>373</v>
      </c>
      <c r="D620" s="6" t="s">
        <v>190</v>
      </c>
      <c r="E620" s="6" t="s">
        <v>95</v>
      </c>
      <c r="F620" s="6" t="str">
        <f aca="false">INDEX(Items!$B$5:$B$62,MATCH($E620,Items!$A$5:$A$62,0))</f>
        <v>FACIAL / TREATMENT PREP PRODUCTS</v>
      </c>
      <c r="G620" s="6" t="str">
        <f aca="false">INDEX(Items!$C$5:$C$62,MATCH($E620,Items!$A$5:$A$62,0))</f>
        <v>Bulk</v>
      </c>
      <c r="H620" s="6" t="s">
        <v>161</v>
      </c>
      <c r="I620" s="6" t="s">
        <v>191</v>
      </c>
      <c r="J620" s="6" t="n">
        <f aca="false">SUMIFS(Kits!$C$5:$C$163,Kits!$A$5:$A$163,$D620,Kits!$B$5:$B$163,$E620)</f>
        <v>5</v>
      </c>
      <c r="K620" s="6" t="n">
        <f aca="false">INDEX(Services!$F$5:$F$85,MATCH($A620,Services!$A$5:$A$85,0))</f>
        <v>1</v>
      </c>
      <c r="L620" s="6" t="n">
        <f aca="false">IF($H620="Auto-deduct",IF($G620="Countable",ROUNDUP($J620*IF($I620="Y",$K620,1),0),ROUND($J620*IF($I620="Y",$K620,1),1)),$J620)</f>
        <v>5</v>
      </c>
      <c r="M620" s="6" t="str">
        <f aca="false">INDEX(Items!$E$5:$E$62,MATCH($E620,Items!$A$5:$A$62,0))</f>
        <v>mL</v>
      </c>
      <c r="N620" s="6" t="n">
        <f aca="false">ROUND($L620/INDEX(Items!$F$5:$F$62,MATCH($E620,Items!$A$5:$A$62,0)),4)</f>
        <v>0.01</v>
      </c>
      <c r="O620" s="6"/>
    </row>
    <row r="621" customFormat="false" ht="15" hidden="false" customHeight="false" outlineLevel="0" collapsed="false">
      <c r="A621" s="6" t="n">
        <v>60</v>
      </c>
      <c r="B621" s="6" t="s">
        <v>374</v>
      </c>
      <c r="C621" s="6" t="s">
        <v>373</v>
      </c>
      <c r="D621" s="6" t="s">
        <v>190</v>
      </c>
      <c r="E621" s="6" t="s">
        <v>69</v>
      </c>
      <c r="F621" s="6" t="str">
        <f aca="false">INDEX(Items!$B$5:$B$62,MATCH($E621,Items!$A$5:$A$62,0))</f>
        <v>DISPOSABLES &amp; CLINIC CONSUMABLES</v>
      </c>
      <c r="G621" s="6" t="str">
        <f aca="false">INDEX(Items!$C$5:$C$62,MATCH($E621,Items!$A$5:$A$62,0))</f>
        <v>Bulk</v>
      </c>
      <c r="H621" s="6" t="s">
        <v>161</v>
      </c>
      <c r="I621" s="6" t="s">
        <v>191</v>
      </c>
      <c r="J621" s="6" t="n">
        <f aca="false">SUMIFS(Kits!$C$5:$C$163,Kits!$A$5:$A$163,$D621,Kits!$B$5:$B$163,$E621)</f>
        <v>5</v>
      </c>
      <c r="K621" s="6" t="n">
        <f aca="false">INDEX(Services!$F$5:$F$85,MATCH($A621,Services!$A$5:$A$85,0))</f>
        <v>1</v>
      </c>
      <c r="L621" s="6" t="n">
        <f aca="false">IF($H621="Auto-deduct",IF($G621="Countable",ROUNDUP($J621*IF($I621="Y",$K621,1),0),ROUND($J621*IF($I621="Y",$K621,1),1)),$J621)</f>
        <v>5</v>
      </c>
      <c r="M621" s="6" t="str">
        <f aca="false">INDEX(Items!$E$5:$E$62,MATCH($E621,Items!$A$5:$A$62,0))</f>
        <v>g</v>
      </c>
      <c r="N621" s="6" t="n">
        <f aca="false">ROUND($L621/INDEX(Items!$F$5:$F$62,MATCH($E621,Items!$A$5:$A$62,0)),4)</f>
        <v>0.0125</v>
      </c>
      <c r="O621" s="6"/>
    </row>
    <row r="622" customFormat="false" ht="15" hidden="false" customHeight="false" outlineLevel="0" collapsed="false">
      <c r="A622" s="6" t="n">
        <v>60</v>
      </c>
      <c r="B622" s="6" t="s">
        <v>374</v>
      </c>
      <c r="C622" s="6" t="s">
        <v>373</v>
      </c>
      <c r="D622" s="6" t="s">
        <v>190</v>
      </c>
      <c r="E622" s="6" t="s">
        <v>72</v>
      </c>
      <c r="F622" s="6" t="str">
        <f aca="false">INDEX(Items!$B$5:$B$62,MATCH($E622,Items!$A$5:$A$62,0))</f>
        <v>DISPOSABLES &amp; CLINIC CONSUMABLES</v>
      </c>
      <c r="G622" s="6" t="str">
        <f aca="false">INDEX(Items!$C$5:$C$62,MATCH($E622,Items!$A$5:$A$62,0))</f>
        <v>Bulk</v>
      </c>
      <c r="H622" s="6" t="s">
        <v>161</v>
      </c>
      <c r="I622" s="6" t="s">
        <v>191</v>
      </c>
      <c r="J622" s="6" t="n">
        <f aca="false">SUMIFS(Kits!$C$5:$C$163,Kits!$A$5:$A$163,$D622,Kits!$B$5:$B$163,$E622)</f>
        <v>6</v>
      </c>
      <c r="K622" s="6" t="n">
        <f aca="false">INDEX(Services!$F$5:$F$85,MATCH($A622,Services!$A$5:$A$85,0))</f>
        <v>1</v>
      </c>
      <c r="L622" s="6" t="n">
        <f aca="false">IF($H622="Auto-deduct",IF($G622="Countable",ROUNDUP($J622*IF($I622="Y",$K622,1),0),ROUND($J622*IF($I622="Y",$K622,1),1)),$J622)</f>
        <v>6</v>
      </c>
      <c r="M622" s="6" t="str">
        <f aca="false">INDEX(Items!$E$5:$E$62,MATCH($E622,Items!$A$5:$A$62,0))</f>
        <v>pc</v>
      </c>
      <c r="N622" s="6" t="n">
        <f aca="false">ROUND($L622/INDEX(Items!$F$5:$F$62,MATCH($E622,Items!$A$5:$A$62,0)),4)</f>
        <v>0.06</v>
      </c>
      <c r="O622" s="6"/>
    </row>
    <row r="623" customFormat="false" ht="15" hidden="false" customHeight="false" outlineLevel="0" collapsed="false">
      <c r="A623" s="6" t="n">
        <v>60</v>
      </c>
      <c r="B623" s="6" t="s">
        <v>374</v>
      </c>
      <c r="C623" s="6" t="s">
        <v>373</v>
      </c>
      <c r="D623" s="6" t="s">
        <v>190</v>
      </c>
      <c r="E623" s="6" t="s">
        <v>81</v>
      </c>
      <c r="F623" s="6" t="str">
        <f aca="false">INDEX(Items!$B$5:$B$62,MATCH($E623,Items!$A$5:$A$62,0))</f>
        <v>DISPOSABLES &amp; CLINIC CONSUMABLES</v>
      </c>
      <c r="G623" s="6" t="str">
        <f aca="false">INDEX(Items!$C$5:$C$62,MATCH($E623,Items!$A$5:$A$62,0))</f>
        <v>Bulk</v>
      </c>
      <c r="H623" s="6" t="s">
        <v>161</v>
      </c>
      <c r="I623" s="6" t="s">
        <v>191</v>
      </c>
      <c r="J623" s="6" t="n">
        <f aca="false">SUMIFS(Kits!$C$5:$C$163,Kits!$A$5:$A$163,$D623,Kits!$B$5:$B$163,$E623)</f>
        <v>4</v>
      </c>
      <c r="K623" s="6" t="n">
        <f aca="false">INDEX(Services!$F$5:$F$85,MATCH($A623,Services!$A$5:$A$85,0))</f>
        <v>1</v>
      </c>
      <c r="L623" s="6" t="n">
        <f aca="false">IF($H623="Auto-deduct",IF($G623="Countable",ROUNDUP($J623*IF($I623="Y",$K623,1),0),ROUND($J623*IF($I623="Y",$K623,1),1)),$J623)</f>
        <v>4</v>
      </c>
      <c r="M623" s="6" t="str">
        <f aca="false">INDEX(Items!$E$5:$E$62,MATCH($E623,Items!$A$5:$A$62,0))</f>
        <v>pc</v>
      </c>
      <c r="N623" s="6" t="n">
        <f aca="false">ROUND($L623/INDEX(Items!$F$5:$F$62,MATCH($E623,Items!$A$5:$A$62,0)),4)</f>
        <v>0.04</v>
      </c>
      <c r="O623" s="6"/>
    </row>
    <row r="624" customFormat="false" ht="15" hidden="false" customHeight="false" outlineLevel="0" collapsed="false">
      <c r="A624" s="6" t="n">
        <v>60</v>
      </c>
      <c r="B624" s="6" t="s">
        <v>374</v>
      </c>
      <c r="C624" s="6" t="s">
        <v>373</v>
      </c>
      <c r="D624" s="6" t="s">
        <v>190</v>
      </c>
      <c r="E624" s="6" t="s">
        <v>58</v>
      </c>
      <c r="F624" s="6" t="str">
        <f aca="false">INDEX(Items!$B$5:$B$62,MATCH($E624,Items!$A$5:$A$62,0))</f>
        <v>DISPOSABLES &amp; CLINIC CONSUMABLES</v>
      </c>
      <c r="G624" s="6" t="str">
        <f aca="false">INDEX(Items!$C$5:$C$62,MATCH($E624,Items!$A$5:$A$62,0))</f>
        <v>Bulk</v>
      </c>
      <c r="H624" s="6" t="s">
        <v>161</v>
      </c>
      <c r="I624" s="6" t="s">
        <v>191</v>
      </c>
      <c r="J624" s="6" t="n">
        <f aca="false">SUMIFS(Kits!$C$5:$C$163,Kits!$A$5:$A$163,$D624,Kits!$B$5:$B$163,$E624)</f>
        <v>4</v>
      </c>
      <c r="K624" s="6" t="n">
        <f aca="false">INDEX(Services!$F$5:$F$85,MATCH($A624,Services!$A$5:$A$85,0))</f>
        <v>1</v>
      </c>
      <c r="L624" s="6" t="n">
        <f aca="false">IF($H624="Auto-deduct",IF($G624="Countable",ROUNDUP($J624*IF($I624="Y",$K624,1),0),ROUND($J624*IF($I624="Y",$K624,1),1)),$J624)</f>
        <v>4</v>
      </c>
      <c r="M624" s="6" t="str">
        <f aca="false">INDEX(Items!$E$5:$E$62,MATCH($E624,Items!$A$5:$A$62,0))</f>
        <v>sheet</v>
      </c>
      <c r="N624" s="6" t="n">
        <f aca="false">ROUND($L624/INDEX(Items!$F$5:$F$62,MATCH($E624,Items!$A$5:$A$62,0)),4)</f>
        <v>0.02</v>
      </c>
      <c r="O624" s="6"/>
    </row>
    <row r="625" customFormat="false" ht="15" hidden="false" customHeight="false" outlineLevel="0" collapsed="false">
      <c r="A625" s="6" t="n">
        <v>60</v>
      </c>
      <c r="B625" s="6" t="s">
        <v>374</v>
      </c>
      <c r="C625" s="6" t="s">
        <v>373</v>
      </c>
      <c r="D625" s="6" t="s">
        <v>190</v>
      </c>
      <c r="E625" s="6" t="s">
        <v>86</v>
      </c>
      <c r="F625" s="6" t="str">
        <f aca="false">INDEX(Items!$B$5:$B$62,MATCH($E625,Items!$A$5:$A$62,0))</f>
        <v>DISPOSABLES &amp; CLINIC CONSUMABLES</v>
      </c>
      <c r="G625" s="6" t="str">
        <f aca="false">INDEX(Items!$C$5:$C$62,MATCH($E625,Items!$A$5:$A$62,0))</f>
        <v>Bulk</v>
      </c>
      <c r="H625" s="6" t="s">
        <v>161</v>
      </c>
      <c r="I625" s="6" t="s">
        <v>191</v>
      </c>
      <c r="J625" s="6" t="n">
        <f aca="false">SUMIFS(Kits!$C$5:$C$163,Kits!$A$5:$A$163,$D625,Kits!$B$5:$B$163,$E625)</f>
        <v>2</v>
      </c>
      <c r="K625" s="6" t="n">
        <f aca="false">INDEX(Services!$F$5:$F$85,MATCH($A625,Services!$A$5:$A$85,0))</f>
        <v>1</v>
      </c>
      <c r="L625" s="6" t="n">
        <f aca="false">IF($H625="Auto-deduct",IF($G625="Countable",ROUNDUP($J625*IF($I625="Y",$K625,1),0),ROUND($J625*IF($I625="Y",$K625,1),1)),$J625)</f>
        <v>2</v>
      </c>
      <c r="M625" s="6" t="str">
        <f aca="false">INDEX(Items!$E$5:$E$62,MATCH($E625,Items!$A$5:$A$62,0))</f>
        <v>pc</v>
      </c>
      <c r="N625" s="6" t="n">
        <f aca="false">ROUND($L625/INDEX(Items!$F$5:$F$62,MATCH($E625,Items!$A$5:$A$62,0)),4)</f>
        <v>0.025</v>
      </c>
      <c r="O625" s="6"/>
    </row>
    <row r="626" customFormat="false" ht="15" hidden="false" customHeight="false" outlineLevel="0" collapsed="false">
      <c r="A626" s="6" t="n">
        <v>60</v>
      </c>
      <c r="B626" s="6" t="s">
        <v>374</v>
      </c>
      <c r="C626" s="6" t="s">
        <v>373</v>
      </c>
      <c r="D626" s="6" t="s">
        <v>190</v>
      </c>
      <c r="E626" s="6" t="s">
        <v>110</v>
      </c>
      <c r="F626" s="6" t="str">
        <f aca="false">INDEX(Items!$B$5:$B$62,MATCH($E626,Items!$A$5:$A$62,0))</f>
        <v>FACIAL TREATMENT PRODUCTS (PROFESSIONAL USE)</v>
      </c>
      <c r="G626" s="6" t="str">
        <f aca="false">INDEX(Items!$C$5:$C$62,MATCH($E626,Items!$A$5:$A$62,0))</f>
        <v>Bulk</v>
      </c>
      <c r="H626" s="6" t="s">
        <v>161</v>
      </c>
      <c r="I626" s="6" t="s">
        <v>191</v>
      </c>
      <c r="J626" s="6" t="n">
        <f aca="false">SUMIFS(Kits!$C$5:$C$163,Kits!$A$5:$A$163,$D626,Kits!$B$5:$B$163,$E626)</f>
        <v>20</v>
      </c>
      <c r="K626" s="6" t="n">
        <f aca="false">INDEX(Services!$F$5:$F$85,MATCH($A626,Services!$A$5:$A$85,0))</f>
        <v>1</v>
      </c>
      <c r="L626" s="6" t="n">
        <f aca="false">IF($H626="Auto-deduct",IF($G626="Countable",ROUNDUP($J626*IF($I626="Y",$K626,1),0),ROUND($J626*IF($I626="Y",$K626,1),1)),$J626)</f>
        <v>20</v>
      </c>
      <c r="M626" s="6" t="str">
        <f aca="false">INDEX(Items!$E$5:$E$62,MATCH($E626,Items!$A$5:$A$62,0))</f>
        <v>g</v>
      </c>
      <c r="N626" s="6" t="n">
        <f aca="false">ROUND($L626/INDEX(Items!$F$5:$F$62,MATCH($E626,Items!$A$5:$A$62,0)),4)</f>
        <v>0.04</v>
      </c>
      <c r="O626" s="6"/>
    </row>
    <row r="627" customFormat="false" ht="15" hidden="false" customHeight="false" outlineLevel="0" collapsed="false">
      <c r="A627" s="6" t="n">
        <v>60</v>
      </c>
      <c r="B627" s="6" t="s">
        <v>374</v>
      </c>
      <c r="C627" s="6" t="s">
        <v>373</v>
      </c>
      <c r="D627" s="6" t="s">
        <v>190</v>
      </c>
      <c r="E627" s="6" t="s">
        <v>135</v>
      </c>
      <c r="F627" s="6" t="str">
        <f aca="false">INDEX(Items!$B$5:$B$62,MATCH($E627,Items!$A$5:$A$62,0))</f>
        <v>SKINCARE PRODUCTS (RETAIL / AFTERCARE)</v>
      </c>
      <c r="G627" s="6" t="str">
        <f aca="false">INDEX(Items!$C$5:$C$62,MATCH($E627,Items!$A$5:$A$62,0))</f>
        <v>Bulk</v>
      </c>
      <c r="H627" s="6" t="s">
        <v>161</v>
      </c>
      <c r="I627" s="6" t="s">
        <v>191</v>
      </c>
      <c r="J627" s="6" t="n">
        <f aca="false">SUMIFS(Kits!$C$5:$C$163,Kits!$A$5:$A$163,$D627,Kits!$B$5:$B$163,$E627)</f>
        <v>3</v>
      </c>
      <c r="K627" s="6" t="n">
        <f aca="false">INDEX(Services!$F$5:$F$85,MATCH($A627,Services!$A$5:$A$85,0))</f>
        <v>1</v>
      </c>
      <c r="L627" s="6" t="n">
        <f aca="false">IF($H627="Auto-deduct",IF($G627="Countable",ROUNDUP($J627*IF($I627="Y",$K627,1),0),ROUND($J627*IF($I627="Y",$K627,1),1)),$J627)</f>
        <v>3</v>
      </c>
      <c r="M627" s="6" t="str">
        <f aca="false">INDEX(Items!$E$5:$E$62,MATCH($E627,Items!$A$5:$A$62,0))</f>
        <v>g</v>
      </c>
      <c r="N627" s="6" t="n">
        <f aca="false">ROUND($L627/INDEX(Items!$F$5:$F$62,MATCH($E627,Items!$A$5:$A$62,0)),4)</f>
        <v>0.06</v>
      </c>
      <c r="O627" s="6"/>
    </row>
    <row r="628" customFormat="false" ht="15" hidden="false" customHeight="false" outlineLevel="0" collapsed="false">
      <c r="A628" s="6" t="n">
        <v>60</v>
      </c>
      <c r="B628" s="6" t="s">
        <v>374</v>
      </c>
      <c r="C628" s="6" t="s">
        <v>373</v>
      </c>
      <c r="D628" s="6" t="s">
        <v>190</v>
      </c>
      <c r="E628" s="6" t="s">
        <v>129</v>
      </c>
      <c r="F628" s="6" t="str">
        <f aca="false">INDEX(Items!$B$5:$B$62,MATCH($E628,Items!$A$5:$A$62,0))</f>
        <v>SKINCARE PRODUCTS (RETAIL / AFTERCARE)</v>
      </c>
      <c r="G628" s="6" t="str">
        <f aca="false">INDEX(Items!$C$5:$C$62,MATCH($E628,Items!$A$5:$A$62,0))</f>
        <v>Countable</v>
      </c>
      <c r="H628" s="6" t="s">
        <v>185</v>
      </c>
      <c r="I628" s="6" t="s">
        <v>160</v>
      </c>
      <c r="J628" s="6" t="n">
        <f aca="false">SUMIFS(Kits!$C$5:$C$163,Kits!$A$5:$A$163,$D628,Kits!$B$5:$B$163,$E628)</f>
        <v>1</v>
      </c>
      <c r="K628" s="6" t="n">
        <f aca="false">INDEX(Services!$F$5:$F$85,MATCH($A628,Services!$A$5:$A$85,0))</f>
        <v>1</v>
      </c>
      <c r="L628" s="6" t="n">
        <f aca="false">IF($H628="Auto-deduct",IF($G628="Countable",ROUNDUP($J628*IF($I628="Y",$K628,1),0),ROUND($J628*IF($I628="Y",$K628,1),1)),$J628)</f>
        <v>1</v>
      </c>
      <c r="M628" s="6" t="str">
        <f aca="false">INDEX(Items!$E$5:$E$62,MATCH($E628,Items!$A$5:$A$62,0))</f>
        <v>tube</v>
      </c>
      <c r="N628" s="6" t="n">
        <f aca="false">ROUND($L628/INDEX(Items!$F$5:$F$62,MATCH($E628,Items!$A$5:$A$62,0)),4)</f>
        <v>1</v>
      </c>
      <c r="O628" s="6"/>
    </row>
    <row r="629" customFormat="false" ht="15" hidden="false" customHeight="false" outlineLevel="0" collapsed="false">
      <c r="A629" s="6" t="n">
        <v>61</v>
      </c>
      <c r="B629" s="6" t="s">
        <v>290</v>
      </c>
      <c r="C629" s="6" t="s">
        <v>373</v>
      </c>
      <c r="D629" s="6" t="s">
        <v>159</v>
      </c>
      <c r="E629" s="6" t="s">
        <v>52</v>
      </c>
      <c r="F629" s="6" t="str">
        <f aca="false">INDEX(Items!$B$5:$B$62,MATCH($E629,Items!$A$5:$A$62,0))</f>
        <v>DISPOSABLES &amp; CLINIC CONSUMABLES</v>
      </c>
      <c r="G629" s="6" t="str">
        <f aca="false">INDEX(Items!$C$5:$C$62,MATCH($E629,Items!$A$5:$A$62,0))</f>
        <v>Countable</v>
      </c>
      <c r="H629" s="6" t="s">
        <v>161</v>
      </c>
      <c r="I629" s="6" t="s">
        <v>160</v>
      </c>
      <c r="J629" s="6" t="n">
        <f aca="false">SUMIFS(Kits!$C$5:$C$163,Kits!$A$5:$A$163,$D629,Kits!$B$5:$B$163,$E629)</f>
        <v>1</v>
      </c>
      <c r="K629" s="6" t="n">
        <f aca="false">INDEX(Services!$F$5:$F$85,MATCH($A629,Services!$A$5:$A$85,0))</f>
        <v>1.5</v>
      </c>
      <c r="L629" s="6" t="n">
        <f aca="false">IF($H629="Auto-deduct",IF($G629="Countable",ROUNDUP($J629*IF($I629="Y",$K629,1),0),ROUND($J629*IF($I629="Y",$K629,1),1)),$J629)</f>
        <v>1</v>
      </c>
      <c r="M629" s="6" t="str">
        <f aca="false">INDEX(Items!$E$5:$E$62,MATCH($E629,Items!$A$5:$A$62,0))</f>
        <v>pc</v>
      </c>
      <c r="N629" s="6" t="n">
        <f aca="false">ROUND($L629/INDEX(Items!$F$5:$F$62,MATCH($E629,Items!$A$5:$A$62,0)),4)</f>
        <v>1</v>
      </c>
      <c r="O629" s="6"/>
    </row>
    <row r="630" customFormat="false" ht="15" hidden="false" customHeight="false" outlineLevel="0" collapsed="false">
      <c r="A630" s="6" t="n">
        <v>61</v>
      </c>
      <c r="B630" s="6" t="s">
        <v>290</v>
      </c>
      <c r="C630" s="6" t="s">
        <v>373</v>
      </c>
      <c r="D630" s="6" t="s">
        <v>159</v>
      </c>
      <c r="E630" s="6" t="s">
        <v>53</v>
      </c>
      <c r="F630" s="6" t="str">
        <f aca="false">INDEX(Items!$B$5:$B$62,MATCH($E630,Items!$A$5:$A$62,0))</f>
        <v>DISPOSABLES &amp; CLINIC CONSUMABLES</v>
      </c>
      <c r="G630" s="6" t="str">
        <f aca="false">INDEX(Items!$C$5:$C$62,MATCH($E630,Items!$A$5:$A$62,0))</f>
        <v>Countable</v>
      </c>
      <c r="H630" s="6" t="s">
        <v>161</v>
      </c>
      <c r="I630" s="6" t="s">
        <v>160</v>
      </c>
      <c r="J630" s="6" t="n">
        <f aca="false">SUMIFS(Kits!$C$5:$C$163,Kits!$A$5:$A$163,$D630,Kits!$B$5:$B$163,$E630)</f>
        <v>1</v>
      </c>
      <c r="K630" s="6" t="n">
        <f aca="false">INDEX(Services!$F$5:$F$85,MATCH($A630,Services!$A$5:$A$85,0))</f>
        <v>1.5</v>
      </c>
      <c r="L630" s="6" t="n">
        <f aca="false">IF($H630="Auto-deduct",IF($G630="Countable",ROUNDUP($J630*IF($I630="Y",$K630,1),0),ROUND($J630*IF($I630="Y",$K630,1),1)),$J630)</f>
        <v>1</v>
      </c>
      <c r="M630" s="6" t="str">
        <f aca="false">INDEX(Items!$E$5:$E$62,MATCH($E630,Items!$A$5:$A$62,0))</f>
        <v>pair</v>
      </c>
      <c r="N630" s="6" t="n">
        <f aca="false">ROUND($L630/INDEX(Items!$F$5:$F$62,MATCH($E630,Items!$A$5:$A$62,0)),4)</f>
        <v>1</v>
      </c>
      <c r="O630" s="6"/>
    </row>
    <row r="631" customFormat="false" ht="15" hidden="false" customHeight="false" outlineLevel="0" collapsed="false">
      <c r="A631" s="6" t="n">
        <v>61</v>
      </c>
      <c r="B631" s="6" t="s">
        <v>290</v>
      </c>
      <c r="C631" s="6" t="s">
        <v>373</v>
      </c>
      <c r="D631" s="6" t="s">
        <v>159</v>
      </c>
      <c r="E631" s="6" t="s">
        <v>88</v>
      </c>
      <c r="F631" s="6" t="str">
        <f aca="false">INDEX(Items!$B$5:$B$62,MATCH($E631,Items!$A$5:$A$62,0))</f>
        <v>DISPOSABLES &amp; CLINIC CONSUMABLES</v>
      </c>
      <c r="G631" s="6" t="str">
        <f aca="false">INDEX(Items!$C$5:$C$62,MATCH($E631,Items!$A$5:$A$62,0))</f>
        <v>Bulk</v>
      </c>
      <c r="H631" s="6" t="s">
        <v>161</v>
      </c>
      <c r="I631" s="6" t="s">
        <v>160</v>
      </c>
      <c r="J631" s="6" t="n">
        <f aca="false">SUMIFS(Kits!$C$5:$C$163,Kits!$A$5:$A$163,$D631,Kits!$B$5:$B$163,$E631)</f>
        <v>5</v>
      </c>
      <c r="K631" s="6" t="n">
        <f aca="false">INDEX(Services!$F$5:$F$85,MATCH($A631,Services!$A$5:$A$85,0))</f>
        <v>1.5</v>
      </c>
      <c r="L631" s="6" t="n">
        <f aca="false">IF($H631="Auto-deduct",IF($G631="Countable",ROUNDUP($J631*IF($I631="Y",$K631,1),0),ROUND($J631*IF($I631="Y",$K631,1),1)),$J631)</f>
        <v>5</v>
      </c>
      <c r="M631" s="6" t="str">
        <f aca="false">INDEX(Items!$E$5:$E$62,MATCH($E631,Items!$A$5:$A$62,0))</f>
        <v>mL</v>
      </c>
      <c r="N631" s="6" t="n">
        <f aca="false">ROUND($L631/INDEX(Items!$F$5:$F$62,MATCH($E631,Items!$A$5:$A$62,0)),4)</f>
        <v>0.01</v>
      </c>
      <c r="O631" s="6"/>
    </row>
    <row r="632" customFormat="false" ht="15" hidden="false" customHeight="false" outlineLevel="0" collapsed="false">
      <c r="A632" s="6" t="n">
        <v>61</v>
      </c>
      <c r="B632" s="6" t="s">
        <v>290</v>
      </c>
      <c r="C632" s="6" t="s">
        <v>373</v>
      </c>
      <c r="D632" s="6" t="s">
        <v>190</v>
      </c>
      <c r="E632" s="6" t="s">
        <v>95</v>
      </c>
      <c r="F632" s="6" t="str">
        <f aca="false">INDEX(Items!$B$5:$B$62,MATCH($E632,Items!$A$5:$A$62,0))</f>
        <v>FACIAL / TREATMENT PREP PRODUCTS</v>
      </c>
      <c r="G632" s="6" t="str">
        <f aca="false">INDEX(Items!$C$5:$C$62,MATCH($E632,Items!$A$5:$A$62,0))</f>
        <v>Bulk</v>
      </c>
      <c r="H632" s="6" t="s">
        <v>161</v>
      </c>
      <c r="I632" s="6" t="s">
        <v>191</v>
      </c>
      <c r="J632" s="6" t="n">
        <f aca="false">SUMIFS(Kits!$C$5:$C$163,Kits!$A$5:$A$163,$D632,Kits!$B$5:$B$163,$E632)</f>
        <v>5</v>
      </c>
      <c r="K632" s="6" t="n">
        <f aca="false">INDEX(Services!$F$5:$F$85,MATCH($A632,Services!$A$5:$A$85,0))</f>
        <v>1.5</v>
      </c>
      <c r="L632" s="6" t="n">
        <f aca="false">IF($H632="Auto-deduct",IF($G632="Countable",ROUNDUP($J632*IF($I632="Y",$K632,1),0),ROUND($J632*IF($I632="Y",$K632,1),1)),$J632)</f>
        <v>7.5</v>
      </c>
      <c r="M632" s="6" t="str">
        <f aca="false">INDEX(Items!$E$5:$E$62,MATCH($E632,Items!$A$5:$A$62,0))</f>
        <v>mL</v>
      </c>
      <c r="N632" s="6" t="n">
        <f aca="false">ROUND($L632/INDEX(Items!$F$5:$F$62,MATCH($E632,Items!$A$5:$A$62,0)),4)</f>
        <v>0.015</v>
      </c>
      <c r="O632" s="6"/>
    </row>
    <row r="633" customFormat="false" ht="15" hidden="false" customHeight="false" outlineLevel="0" collapsed="false">
      <c r="A633" s="6" t="n">
        <v>61</v>
      </c>
      <c r="B633" s="6" t="s">
        <v>290</v>
      </c>
      <c r="C633" s="6" t="s">
        <v>373</v>
      </c>
      <c r="D633" s="6" t="s">
        <v>190</v>
      </c>
      <c r="E633" s="6" t="s">
        <v>69</v>
      </c>
      <c r="F633" s="6" t="str">
        <f aca="false">INDEX(Items!$B$5:$B$62,MATCH($E633,Items!$A$5:$A$62,0))</f>
        <v>DISPOSABLES &amp; CLINIC CONSUMABLES</v>
      </c>
      <c r="G633" s="6" t="str">
        <f aca="false">INDEX(Items!$C$5:$C$62,MATCH($E633,Items!$A$5:$A$62,0))</f>
        <v>Bulk</v>
      </c>
      <c r="H633" s="6" t="s">
        <v>161</v>
      </c>
      <c r="I633" s="6" t="s">
        <v>191</v>
      </c>
      <c r="J633" s="6" t="n">
        <f aca="false">SUMIFS(Kits!$C$5:$C$163,Kits!$A$5:$A$163,$D633,Kits!$B$5:$B$163,$E633)</f>
        <v>5</v>
      </c>
      <c r="K633" s="6" t="n">
        <f aca="false">INDEX(Services!$F$5:$F$85,MATCH($A633,Services!$A$5:$A$85,0))</f>
        <v>1.5</v>
      </c>
      <c r="L633" s="6" t="n">
        <f aca="false">IF($H633="Auto-deduct",IF($G633="Countable",ROUNDUP($J633*IF($I633="Y",$K633,1),0),ROUND($J633*IF($I633="Y",$K633,1),1)),$J633)</f>
        <v>7.5</v>
      </c>
      <c r="M633" s="6" t="str">
        <f aca="false">INDEX(Items!$E$5:$E$62,MATCH($E633,Items!$A$5:$A$62,0))</f>
        <v>g</v>
      </c>
      <c r="N633" s="6" t="n">
        <f aca="false">ROUND($L633/INDEX(Items!$F$5:$F$62,MATCH($E633,Items!$A$5:$A$62,0)),4)</f>
        <v>0.0188</v>
      </c>
      <c r="O633" s="6"/>
    </row>
    <row r="634" customFormat="false" ht="15" hidden="false" customHeight="false" outlineLevel="0" collapsed="false">
      <c r="A634" s="6" t="n">
        <v>61</v>
      </c>
      <c r="B634" s="6" t="s">
        <v>290</v>
      </c>
      <c r="C634" s="6" t="s">
        <v>373</v>
      </c>
      <c r="D634" s="6" t="s">
        <v>190</v>
      </c>
      <c r="E634" s="6" t="s">
        <v>72</v>
      </c>
      <c r="F634" s="6" t="str">
        <f aca="false">INDEX(Items!$B$5:$B$62,MATCH($E634,Items!$A$5:$A$62,0))</f>
        <v>DISPOSABLES &amp; CLINIC CONSUMABLES</v>
      </c>
      <c r="G634" s="6" t="str">
        <f aca="false">INDEX(Items!$C$5:$C$62,MATCH($E634,Items!$A$5:$A$62,0))</f>
        <v>Bulk</v>
      </c>
      <c r="H634" s="6" t="s">
        <v>161</v>
      </c>
      <c r="I634" s="6" t="s">
        <v>191</v>
      </c>
      <c r="J634" s="6" t="n">
        <f aca="false">SUMIFS(Kits!$C$5:$C$163,Kits!$A$5:$A$163,$D634,Kits!$B$5:$B$163,$E634)</f>
        <v>6</v>
      </c>
      <c r="K634" s="6" t="n">
        <f aca="false">INDEX(Services!$F$5:$F$85,MATCH($A634,Services!$A$5:$A$85,0))</f>
        <v>1.5</v>
      </c>
      <c r="L634" s="6" t="n">
        <f aca="false">IF($H634="Auto-deduct",IF($G634="Countable",ROUNDUP($J634*IF($I634="Y",$K634,1),0),ROUND($J634*IF($I634="Y",$K634,1),1)),$J634)</f>
        <v>9</v>
      </c>
      <c r="M634" s="6" t="str">
        <f aca="false">INDEX(Items!$E$5:$E$62,MATCH($E634,Items!$A$5:$A$62,0))</f>
        <v>pc</v>
      </c>
      <c r="N634" s="6" t="n">
        <f aca="false">ROUND($L634/INDEX(Items!$F$5:$F$62,MATCH($E634,Items!$A$5:$A$62,0)),4)</f>
        <v>0.09</v>
      </c>
      <c r="O634" s="6"/>
    </row>
    <row r="635" customFormat="false" ht="15" hidden="false" customHeight="false" outlineLevel="0" collapsed="false">
      <c r="A635" s="6" t="n">
        <v>61</v>
      </c>
      <c r="B635" s="6" t="s">
        <v>290</v>
      </c>
      <c r="C635" s="6" t="s">
        <v>373</v>
      </c>
      <c r="D635" s="6" t="s">
        <v>190</v>
      </c>
      <c r="E635" s="6" t="s">
        <v>81</v>
      </c>
      <c r="F635" s="6" t="str">
        <f aca="false">INDEX(Items!$B$5:$B$62,MATCH($E635,Items!$A$5:$A$62,0))</f>
        <v>DISPOSABLES &amp; CLINIC CONSUMABLES</v>
      </c>
      <c r="G635" s="6" t="str">
        <f aca="false">INDEX(Items!$C$5:$C$62,MATCH($E635,Items!$A$5:$A$62,0))</f>
        <v>Bulk</v>
      </c>
      <c r="H635" s="6" t="s">
        <v>161</v>
      </c>
      <c r="I635" s="6" t="s">
        <v>191</v>
      </c>
      <c r="J635" s="6" t="n">
        <f aca="false">SUMIFS(Kits!$C$5:$C$163,Kits!$A$5:$A$163,$D635,Kits!$B$5:$B$163,$E635)</f>
        <v>4</v>
      </c>
      <c r="K635" s="6" t="n">
        <f aca="false">INDEX(Services!$F$5:$F$85,MATCH($A635,Services!$A$5:$A$85,0))</f>
        <v>1.5</v>
      </c>
      <c r="L635" s="6" t="n">
        <f aca="false">IF($H635="Auto-deduct",IF($G635="Countable",ROUNDUP($J635*IF($I635="Y",$K635,1),0),ROUND($J635*IF($I635="Y",$K635,1),1)),$J635)</f>
        <v>6</v>
      </c>
      <c r="M635" s="6" t="str">
        <f aca="false">INDEX(Items!$E$5:$E$62,MATCH($E635,Items!$A$5:$A$62,0))</f>
        <v>pc</v>
      </c>
      <c r="N635" s="6" t="n">
        <f aca="false">ROUND($L635/INDEX(Items!$F$5:$F$62,MATCH($E635,Items!$A$5:$A$62,0)),4)</f>
        <v>0.06</v>
      </c>
      <c r="O635" s="6"/>
    </row>
    <row r="636" customFormat="false" ht="15" hidden="false" customHeight="false" outlineLevel="0" collapsed="false">
      <c r="A636" s="6" t="n">
        <v>61</v>
      </c>
      <c r="B636" s="6" t="s">
        <v>290</v>
      </c>
      <c r="C636" s="6" t="s">
        <v>373</v>
      </c>
      <c r="D636" s="6" t="s">
        <v>190</v>
      </c>
      <c r="E636" s="6" t="s">
        <v>58</v>
      </c>
      <c r="F636" s="6" t="str">
        <f aca="false">INDEX(Items!$B$5:$B$62,MATCH($E636,Items!$A$5:$A$62,0))</f>
        <v>DISPOSABLES &amp; CLINIC CONSUMABLES</v>
      </c>
      <c r="G636" s="6" t="str">
        <f aca="false">INDEX(Items!$C$5:$C$62,MATCH($E636,Items!$A$5:$A$62,0))</f>
        <v>Bulk</v>
      </c>
      <c r="H636" s="6" t="s">
        <v>161</v>
      </c>
      <c r="I636" s="6" t="s">
        <v>191</v>
      </c>
      <c r="J636" s="6" t="n">
        <f aca="false">SUMIFS(Kits!$C$5:$C$163,Kits!$A$5:$A$163,$D636,Kits!$B$5:$B$163,$E636)</f>
        <v>4</v>
      </c>
      <c r="K636" s="6" t="n">
        <f aca="false">INDEX(Services!$F$5:$F$85,MATCH($A636,Services!$A$5:$A$85,0))</f>
        <v>1.5</v>
      </c>
      <c r="L636" s="6" t="n">
        <f aca="false">IF($H636="Auto-deduct",IF($G636="Countable",ROUNDUP($J636*IF($I636="Y",$K636,1),0),ROUND($J636*IF($I636="Y",$K636,1),1)),$J636)</f>
        <v>6</v>
      </c>
      <c r="M636" s="6" t="str">
        <f aca="false">INDEX(Items!$E$5:$E$62,MATCH($E636,Items!$A$5:$A$62,0))</f>
        <v>sheet</v>
      </c>
      <c r="N636" s="6" t="n">
        <f aca="false">ROUND($L636/INDEX(Items!$F$5:$F$62,MATCH($E636,Items!$A$5:$A$62,0)),4)</f>
        <v>0.03</v>
      </c>
      <c r="O636" s="6"/>
    </row>
    <row r="637" customFormat="false" ht="15" hidden="false" customHeight="false" outlineLevel="0" collapsed="false">
      <c r="A637" s="6" t="n">
        <v>61</v>
      </c>
      <c r="B637" s="6" t="s">
        <v>290</v>
      </c>
      <c r="C637" s="6" t="s">
        <v>373</v>
      </c>
      <c r="D637" s="6" t="s">
        <v>190</v>
      </c>
      <c r="E637" s="6" t="s">
        <v>86</v>
      </c>
      <c r="F637" s="6" t="str">
        <f aca="false">INDEX(Items!$B$5:$B$62,MATCH($E637,Items!$A$5:$A$62,0))</f>
        <v>DISPOSABLES &amp; CLINIC CONSUMABLES</v>
      </c>
      <c r="G637" s="6" t="str">
        <f aca="false">INDEX(Items!$C$5:$C$62,MATCH($E637,Items!$A$5:$A$62,0))</f>
        <v>Bulk</v>
      </c>
      <c r="H637" s="6" t="s">
        <v>161</v>
      </c>
      <c r="I637" s="6" t="s">
        <v>191</v>
      </c>
      <c r="J637" s="6" t="n">
        <f aca="false">SUMIFS(Kits!$C$5:$C$163,Kits!$A$5:$A$163,$D637,Kits!$B$5:$B$163,$E637)</f>
        <v>2</v>
      </c>
      <c r="K637" s="6" t="n">
        <f aca="false">INDEX(Services!$F$5:$F$85,MATCH($A637,Services!$A$5:$A$85,0))</f>
        <v>1.5</v>
      </c>
      <c r="L637" s="6" t="n">
        <f aca="false">IF($H637="Auto-deduct",IF($G637="Countable",ROUNDUP($J637*IF($I637="Y",$K637,1),0),ROUND($J637*IF($I637="Y",$K637,1),1)),$J637)</f>
        <v>3</v>
      </c>
      <c r="M637" s="6" t="str">
        <f aca="false">INDEX(Items!$E$5:$E$62,MATCH($E637,Items!$A$5:$A$62,0))</f>
        <v>pc</v>
      </c>
      <c r="N637" s="6" t="n">
        <f aca="false">ROUND($L637/INDEX(Items!$F$5:$F$62,MATCH($E637,Items!$A$5:$A$62,0)),4)</f>
        <v>0.0375</v>
      </c>
      <c r="O637" s="6"/>
    </row>
    <row r="638" customFormat="false" ht="15" hidden="false" customHeight="false" outlineLevel="0" collapsed="false">
      <c r="A638" s="6" t="n">
        <v>61</v>
      </c>
      <c r="B638" s="6" t="s">
        <v>290</v>
      </c>
      <c r="C638" s="6" t="s">
        <v>373</v>
      </c>
      <c r="D638" s="6" t="s">
        <v>190</v>
      </c>
      <c r="E638" s="6" t="s">
        <v>110</v>
      </c>
      <c r="F638" s="6" t="str">
        <f aca="false">INDEX(Items!$B$5:$B$62,MATCH($E638,Items!$A$5:$A$62,0))</f>
        <v>FACIAL TREATMENT PRODUCTS (PROFESSIONAL USE)</v>
      </c>
      <c r="G638" s="6" t="str">
        <f aca="false">INDEX(Items!$C$5:$C$62,MATCH($E638,Items!$A$5:$A$62,0))</f>
        <v>Bulk</v>
      </c>
      <c r="H638" s="6" t="s">
        <v>161</v>
      </c>
      <c r="I638" s="6" t="s">
        <v>191</v>
      </c>
      <c r="J638" s="6" t="n">
        <f aca="false">SUMIFS(Kits!$C$5:$C$163,Kits!$A$5:$A$163,$D638,Kits!$B$5:$B$163,$E638)</f>
        <v>20</v>
      </c>
      <c r="K638" s="6" t="n">
        <f aca="false">INDEX(Services!$F$5:$F$85,MATCH($A638,Services!$A$5:$A$85,0))</f>
        <v>1.5</v>
      </c>
      <c r="L638" s="6" t="n">
        <f aca="false">IF($H638="Auto-deduct",IF($G638="Countable",ROUNDUP($J638*IF($I638="Y",$K638,1),0),ROUND($J638*IF($I638="Y",$K638,1),1)),$J638)</f>
        <v>30</v>
      </c>
      <c r="M638" s="6" t="str">
        <f aca="false">INDEX(Items!$E$5:$E$62,MATCH($E638,Items!$A$5:$A$62,0))</f>
        <v>g</v>
      </c>
      <c r="N638" s="6" t="n">
        <f aca="false">ROUND($L638/INDEX(Items!$F$5:$F$62,MATCH($E638,Items!$A$5:$A$62,0)),4)</f>
        <v>0.06</v>
      </c>
      <c r="O638" s="6"/>
    </row>
    <row r="639" customFormat="false" ht="15" hidden="false" customHeight="false" outlineLevel="0" collapsed="false">
      <c r="A639" s="6" t="n">
        <v>61</v>
      </c>
      <c r="B639" s="6" t="s">
        <v>290</v>
      </c>
      <c r="C639" s="6" t="s">
        <v>373</v>
      </c>
      <c r="D639" s="6" t="s">
        <v>190</v>
      </c>
      <c r="E639" s="6" t="s">
        <v>135</v>
      </c>
      <c r="F639" s="6" t="str">
        <f aca="false">INDEX(Items!$B$5:$B$62,MATCH($E639,Items!$A$5:$A$62,0))</f>
        <v>SKINCARE PRODUCTS (RETAIL / AFTERCARE)</v>
      </c>
      <c r="G639" s="6" t="str">
        <f aca="false">INDEX(Items!$C$5:$C$62,MATCH($E639,Items!$A$5:$A$62,0))</f>
        <v>Bulk</v>
      </c>
      <c r="H639" s="6" t="s">
        <v>161</v>
      </c>
      <c r="I639" s="6" t="s">
        <v>191</v>
      </c>
      <c r="J639" s="6" t="n">
        <f aca="false">SUMIFS(Kits!$C$5:$C$163,Kits!$A$5:$A$163,$D639,Kits!$B$5:$B$163,$E639)</f>
        <v>3</v>
      </c>
      <c r="K639" s="6" t="n">
        <f aca="false">INDEX(Services!$F$5:$F$85,MATCH($A639,Services!$A$5:$A$85,0))</f>
        <v>1.5</v>
      </c>
      <c r="L639" s="6" t="n">
        <f aca="false">IF($H639="Auto-deduct",IF($G639="Countable",ROUNDUP($J639*IF($I639="Y",$K639,1),0),ROUND($J639*IF($I639="Y",$K639,1),1)),$J639)</f>
        <v>4.5</v>
      </c>
      <c r="M639" s="6" t="str">
        <f aca="false">INDEX(Items!$E$5:$E$62,MATCH($E639,Items!$A$5:$A$62,0))</f>
        <v>g</v>
      </c>
      <c r="N639" s="6" t="n">
        <f aca="false">ROUND($L639/INDEX(Items!$F$5:$F$62,MATCH($E639,Items!$A$5:$A$62,0)),4)</f>
        <v>0.09</v>
      </c>
      <c r="O639" s="6"/>
    </row>
    <row r="640" customFormat="false" ht="15" hidden="false" customHeight="false" outlineLevel="0" collapsed="false">
      <c r="A640" s="6" t="n">
        <v>61</v>
      </c>
      <c r="B640" s="6" t="s">
        <v>290</v>
      </c>
      <c r="C640" s="6" t="s">
        <v>373</v>
      </c>
      <c r="D640" s="6" t="s">
        <v>190</v>
      </c>
      <c r="E640" s="6" t="s">
        <v>129</v>
      </c>
      <c r="F640" s="6" t="str">
        <f aca="false">INDEX(Items!$B$5:$B$62,MATCH($E640,Items!$A$5:$A$62,0))</f>
        <v>SKINCARE PRODUCTS (RETAIL / AFTERCARE)</v>
      </c>
      <c r="G640" s="6" t="str">
        <f aca="false">INDEX(Items!$C$5:$C$62,MATCH($E640,Items!$A$5:$A$62,0))</f>
        <v>Countable</v>
      </c>
      <c r="H640" s="6" t="s">
        <v>185</v>
      </c>
      <c r="I640" s="6" t="s">
        <v>160</v>
      </c>
      <c r="J640" s="6" t="n">
        <f aca="false">SUMIFS(Kits!$C$5:$C$163,Kits!$A$5:$A$163,$D640,Kits!$B$5:$B$163,$E640)</f>
        <v>1</v>
      </c>
      <c r="K640" s="6" t="n">
        <f aca="false">INDEX(Services!$F$5:$F$85,MATCH($A640,Services!$A$5:$A$85,0))</f>
        <v>1.5</v>
      </c>
      <c r="L640" s="6" t="n">
        <f aca="false">IF($H640="Auto-deduct",IF($G640="Countable",ROUNDUP($J640*IF($I640="Y",$K640,1),0),ROUND($J640*IF($I640="Y",$K640,1),1)),$J640)</f>
        <v>1</v>
      </c>
      <c r="M640" s="6" t="str">
        <f aca="false">INDEX(Items!$E$5:$E$62,MATCH($E640,Items!$A$5:$A$62,0))</f>
        <v>tube</v>
      </c>
      <c r="N640" s="6" t="n">
        <f aca="false">ROUND($L640/INDEX(Items!$F$5:$F$62,MATCH($E640,Items!$A$5:$A$62,0)),4)</f>
        <v>1</v>
      </c>
      <c r="O640" s="6"/>
    </row>
    <row r="641" customFormat="false" ht="15" hidden="false" customHeight="false" outlineLevel="0" collapsed="false">
      <c r="A641" s="6" t="n">
        <v>62</v>
      </c>
      <c r="B641" s="6" t="s">
        <v>279</v>
      </c>
      <c r="C641" s="6" t="s">
        <v>373</v>
      </c>
      <c r="D641" s="6" t="s">
        <v>159</v>
      </c>
      <c r="E641" s="6" t="s">
        <v>52</v>
      </c>
      <c r="F641" s="6" t="str">
        <f aca="false">INDEX(Items!$B$5:$B$62,MATCH($E641,Items!$A$5:$A$62,0))</f>
        <v>DISPOSABLES &amp; CLINIC CONSUMABLES</v>
      </c>
      <c r="G641" s="6" t="str">
        <f aca="false">INDEX(Items!$C$5:$C$62,MATCH($E641,Items!$A$5:$A$62,0))</f>
        <v>Countable</v>
      </c>
      <c r="H641" s="6" t="s">
        <v>161</v>
      </c>
      <c r="I641" s="6" t="s">
        <v>160</v>
      </c>
      <c r="J641" s="6" t="n">
        <f aca="false">SUMIFS(Kits!$C$5:$C$163,Kits!$A$5:$A$163,$D641,Kits!$B$5:$B$163,$E641)</f>
        <v>1</v>
      </c>
      <c r="K641" s="6" t="n">
        <f aca="false">INDEX(Services!$F$5:$F$85,MATCH($A641,Services!$A$5:$A$85,0))</f>
        <v>1</v>
      </c>
      <c r="L641" s="6" t="n">
        <f aca="false">IF($H641="Auto-deduct",IF($G641="Countable",ROUNDUP($J641*IF($I641="Y",$K641,1),0),ROUND($J641*IF($I641="Y",$K641,1),1)),$J641)</f>
        <v>1</v>
      </c>
      <c r="M641" s="6" t="str">
        <f aca="false">INDEX(Items!$E$5:$E$62,MATCH($E641,Items!$A$5:$A$62,0))</f>
        <v>pc</v>
      </c>
      <c r="N641" s="6" t="n">
        <f aca="false">ROUND($L641/INDEX(Items!$F$5:$F$62,MATCH($E641,Items!$A$5:$A$62,0)),4)</f>
        <v>1</v>
      </c>
      <c r="O641" s="6"/>
    </row>
    <row r="642" customFormat="false" ht="15" hidden="false" customHeight="false" outlineLevel="0" collapsed="false">
      <c r="A642" s="6" t="n">
        <v>62</v>
      </c>
      <c r="B642" s="6" t="s">
        <v>279</v>
      </c>
      <c r="C642" s="6" t="s">
        <v>373</v>
      </c>
      <c r="D642" s="6" t="s">
        <v>159</v>
      </c>
      <c r="E642" s="6" t="s">
        <v>53</v>
      </c>
      <c r="F642" s="6" t="str">
        <f aca="false">INDEX(Items!$B$5:$B$62,MATCH($E642,Items!$A$5:$A$62,0))</f>
        <v>DISPOSABLES &amp; CLINIC CONSUMABLES</v>
      </c>
      <c r="G642" s="6" t="str">
        <f aca="false">INDEX(Items!$C$5:$C$62,MATCH($E642,Items!$A$5:$A$62,0))</f>
        <v>Countable</v>
      </c>
      <c r="H642" s="6" t="s">
        <v>161</v>
      </c>
      <c r="I642" s="6" t="s">
        <v>160</v>
      </c>
      <c r="J642" s="6" t="n">
        <f aca="false">SUMIFS(Kits!$C$5:$C$163,Kits!$A$5:$A$163,$D642,Kits!$B$5:$B$163,$E642)</f>
        <v>1</v>
      </c>
      <c r="K642" s="6" t="n">
        <f aca="false">INDEX(Services!$F$5:$F$85,MATCH($A642,Services!$A$5:$A$85,0))</f>
        <v>1</v>
      </c>
      <c r="L642" s="6" t="n">
        <f aca="false">IF($H642="Auto-deduct",IF($G642="Countable",ROUNDUP($J642*IF($I642="Y",$K642,1),0),ROUND($J642*IF($I642="Y",$K642,1),1)),$J642)</f>
        <v>1</v>
      </c>
      <c r="M642" s="6" t="str">
        <f aca="false">INDEX(Items!$E$5:$E$62,MATCH($E642,Items!$A$5:$A$62,0))</f>
        <v>pair</v>
      </c>
      <c r="N642" s="6" t="n">
        <f aca="false">ROUND($L642/INDEX(Items!$F$5:$F$62,MATCH($E642,Items!$A$5:$A$62,0)),4)</f>
        <v>1</v>
      </c>
      <c r="O642" s="6"/>
    </row>
    <row r="643" customFormat="false" ht="15" hidden="false" customHeight="false" outlineLevel="0" collapsed="false">
      <c r="A643" s="6" t="n">
        <v>62</v>
      </c>
      <c r="B643" s="6" t="s">
        <v>279</v>
      </c>
      <c r="C643" s="6" t="s">
        <v>373</v>
      </c>
      <c r="D643" s="6" t="s">
        <v>159</v>
      </c>
      <c r="E643" s="6" t="s">
        <v>88</v>
      </c>
      <c r="F643" s="6" t="str">
        <f aca="false">INDEX(Items!$B$5:$B$62,MATCH($E643,Items!$A$5:$A$62,0))</f>
        <v>DISPOSABLES &amp; CLINIC CONSUMABLES</v>
      </c>
      <c r="G643" s="6" t="str">
        <f aca="false">INDEX(Items!$C$5:$C$62,MATCH($E643,Items!$A$5:$A$62,0))</f>
        <v>Bulk</v>
      </c>
      <c r="H643" s="6" t="s">
        <v>161</v>
      </c>
      <c r="I643" s="6" t="s">
        <v>160</v>
      </c>
      <c r="J643" s="6" t="n">
        <f aca="false">SUMIFS(Kits!$C$5:$C$163,Kits!$A$5:$A$163,$D643,Kits!$B$5:$B$163,$E643)</f>
        <v>5</v>
      </c>
      <c r="K643" s="6" t="n">
        <f aca="false">INDEX(Services!$F$5:$F$85,MATCH($A643,Services!$A$5:$A$85,0))</f>
        <v>1</v>
      </c>
      <c r="L643" s="6" t="n">
        <f aca="false">IF($H643="Auto-deduct",IF($G643="Countable",ROUNDUP($J643*IF($I643="Y",$K643,1),0),ROUND($J643*IF($I643="Y",$K643,1),1)),$J643)</f>
        <v>5</v>
      </c>
      <c r="M643" s="6" t="str">
        <f aca="false">INDEX(Items!$E$5:$E$62,MATCH($E643,Items!$A$5:$A$62,0))</f>
        <v>mL</v>
      </c>
      <c r="N643" s="6" t="n">
        <f aca="false">ROUND($L643/INDEX(Items!$F$5:$F$62,MATCH($E643,Items!$A$5:$A$62,0)),4)</f>
        <v>0.01</v>
      </c>
      <c r="O643" s="6"/>
    </row>
    <row r="644" customFormat="false" ht="15" hidden="false" customHeight="false" outlineLevel="0" collapsed="false">
      <c r="A644" s="6" t="n">
        <v>62</v>
      </c>
      <c r="B644" s="6" t="s">
        <v>279</v>
      </c>
      <c r="C644" s="6" t="s">
        <v>373</v>
      </c>
      <c r="D644" s="6" t="s">
        <v>190</v>
      </c>
      <c r="E644" s="6" t="s">
        <v>95</v>
      </c>
      <c r="F644" s="6" t="str">
        <f aca="false">INDEX(Items!$B$5:$B$62,MATCH($E644,Items!$A$5:$A$62,0))</f>
        <v>FACIAL / TREATMENT PREP PRODUCTS</v>
      </c>
      <c r="G644" s="6" t="str">
        <f aca="false">INDEX(Items!$C$5:$C$62,MATCH($E644,Items!$A$5:$A$62,0))</f>
        <v>Bulk</v>
      </c>
      <c r="H644" s="6" t="s">
        <v>161</v>
      </c>
      <c r="I644" s="6" t="s">
        <v>191</v>
      </c>
      <c r="J644" s="6" t="n">
        <f aca="false">SUMIFS(Kits!$C$5:$C$163,Kits!$A$5:$A$163,$D644,Kits!$B$5:$B$163,$E644)</f>
        <v>5</v>
      </c>
      <c r="K644" s="6" t="n">
        <f aca="false">INDEX(Services!$F$5:$F$85,MATCH($A644,Services!$A$5:$A$85,0))</f>
        <v>1</v>
      </c>
      <c r="L644" s="6" t="n">
        <f aca="false">IF($H644="Auto-deduct",IF($G644="Countable",ROUNDUP($J644*IF($I644="Y",$K644,1),0),ROUND($J644*IF($I644="Y",$K644,1),1)),$J644)</f>
        <v>5</v>
      </c>
      <c r="M644" s="6" t="str">
        <f aca="false">INDEX(Items!$E$5:$E$62,MATCH($E644,Items!$A$5:$A$62,0))</f>
        <v>mL</v>
      </c>
      <c r="N644" s="6" t="n">
        <f aca="false">ROUND($L644/INDEX(Items!$F$5:$F$62,MATCH($E644,Items!$A$5:$A$62,0)),4)</f>
        <v>0.01</v>
      </c>
      <c r="O644" s="6"/>
    </row>
    <row r="645" customFormat="false" ht="15" hidden="false" customHeight="false" outlineLevel="0" collapsed="false">
      <c r="A645" s="6" t="n">
        <v>62</v>
      </c>
      <c r="B645" s="6" t="s">
        <v>279</v>
      </c>
      <c r="C645" s="6" t="s">
        <v>373</v>
      </c>
      <c r="D645" s="6" t="s">
        <v>190</v>
      </c>
      <c r="E645" s="6" t="s">
        <v>69</v>
      </c>
      <c r="F645" s="6" t="str">
        <f aca="false">INDEX(Items!$B$5:$B$62,MATCH($E645,Items!$A$5:$A$62,0))</f>
        <v>DISPOSABLES &amp; CLINIC CONSUMABLES</v>
      </c>
      <c r="G645" s="6" t="str">
        <f aca="false">INDEX(Items!$C$5:$C$62,MATCH($E645,Items!$A$5:$A$62,0))</f>
        <v>Bulk</v>
      </c>
      <c r="H645" s="6" t="s">
        <v>161</v>
      </c>
      <c r="I645" s="6" t="s">
        <v>191</v>
      </c>
      <c r="J645" s="6" t="n">
        <f aca="false">SUMIFS(Kits!$C$5:$C$163,Kits!$A$5:$A$163,$D645,Kits!$B$5:$B$163,$E645)</f>
        <v>5</v>
      </c>
      <c r="K645" s="6" t="n">
        <f aca="false">INDEX(Services!$F$5:$F$85,MATCH($A645,Services!$A$5:$A$85,0))</f>
        <v>1</v>
      </c>
      <c r="L645" s="6" t="n">
        <f aca="false">IF($H645="Auto-deduct",IF($G645="Countable",ROUNDUP($J645*IF($I645="Y",$K645,1),0),ROUND($J645*IF($I645="Y",$K645,1),1)),$J645)</f>
        <v>5</v>
      </c>
      <c r="M645" s="6" t="str">
        <f aca="false">INDEX(Items!$E$5:$E$62,MATCH($E645,Items!$A$5:$A$62,0))</f>
        <v>g</v>
      </c>
      <c r="N645" s="6" t="n">
        <f aca="false">ROUND($L645/INDEX(Items!$F$5:$F$62,MATCH($E645,Items!$A$5:$A$62,0)),4)</f>
        <v>0.0125</v>
      </c>
      <c r="O645" s="6"/>
    </row>
    <row r="646" customFormat="false" ht="15" hidden="false" customHeight="false" outlineLevel="0" collapsed="false">
      <c r="A646" s="6" t="n">
        <v>62</v>
      </c>
      <c r="B646" s="6" t="s">
        <v>279</v>
      </c>
      <c r="C646" s="6" t="s">
        <v>373</v>
      </c>
      <c r="D646" s="6" t="s">
        <v>190</v>
      </c>
      <c r="E646" s="6" t="s">
        <v>72</v>
      </c>
      <c r="F646" s="6" t="str">
        <f aca="false">INDEX(Items!$B$5:$B$62,MATCH($E646,Items!$A$5:$A$62,0))</f>
        <v>DISPOSABLES &amp; CLINIC CONSUMABLES</v>
      </c>
      <c r="G646" s="6" t="str">
        <f aca="false">INDEX(Items!$C$5:$C$62,MATCH($E646,Items!$A$5:$A$62,0))</f>
        <v>Bulk</v>
      </c>
      <c r="H646" s="6" t="s">
        <v>161</v>
      </c>
      <c r="I646" s="6" t="s">
        <v>191</v>
      </c>
      <c r="J646" s="6" t="n">
        <f aca="false">SUMIFS(Kits!$C$5:$C$163,Kits!$A$5:$A$163,$D646,Kits!$B$5:$B$163,$E646)</f>
        <v>6</v>
      </c>
      <c r="K646" s="6" t="n">
        <f aca="false">INDEX(Services!$F$5:$F$85,MATCH($A646,Services!$A$5:$A$85,0))</f>
        <v>1</v>
      </c>
      <c r="L646" s="6" t="n">
        <f aca="false">IF($H646="Auto-deduct",IF($G646="Countable",ROUNDUP($J646*IF($I646="Y",$K646,1),0),ROUND($J646*IF($I646="Y",$K646,1),1)),$J646)</f>
        <v>6</v>
      </c>
      <c r="M646" s="6" t="str">
        <f aca="false">INDEX(Items!$E$5:$E$62,MATCH($E646,Items!$A$5:$A$62,0))</f>
        <v>pc</v>
      </c>
      <c r="N646" s="6" t="n">
        <f aca="false">ROUND($L646/INDEX(Items!$F$5:$F$62,MATCH($E646,Items!$A$5:$A$62,0)),4)</f>
        <v>0.06</v>
      </c>
      <c r="O646" s="6"/>
    </row>
    <row r="647" customFormat="false" ht="15" hidden="false" customHeight="false" outlineLevel="0" collapsed="false">
      <c r="A647" s="6" t="n">
        <v>62</v>
      </c>
      <c r="B647" s="6" t="s">
        <v>279</v>
      </c>
      <c r="C647" s="6" t="s">
        <v>373</v>
      </c>
      <c r="D647" s="6" t="s">
        <v>190</v>
      </c>
      <c r="E647" s="6" t="s">
        <v>81</v>
      </c>
      <c r="F647" s="6" t="str">
        <f aca="false">INDEX(Items!$B$5:$B$62,MATCH($E647,Items!$A$5:$A$62,0))</f>
        <v>DISPOSABLES &amp; CLINIC CONSUMABLES</v>
      </c>
      <c r="G647" s="6" t="str">
        <f aca="false">INDEX(Items!$C$5:$C$62,MATCH($E647,Items!$A$5:$A$62,0))</f>
        <v>Bulk</v>
      </c>
      <c r="H647" s="6" t="s">
        <v>161</v>
      </c>
      <c r="I647" s="6" t="s">
        <v>191</v>
      </c>
      <c r="J647" s="6" t="n">
        <f aca="false">SUMIFS(Kits!$C$5:$C$163,Kits!$A$5:$A$163,$D647,Kits!$B$5:$B$163,$E647)</f>
        <v>4</v>
      </c>
      <c r="K647" s="6" t="n">
        <f aca="false">INDEX(Services!$F$5:$F$85,MATCH($A647,Services!$A$5:$A$85,0))</f>
        <v>1</v>
      </c>
      <c r="L647" s="6" t="n">
        <f aca="false">IF($H647="Auto-deduct",IF($G647="Countable",ROUNDUP($J647*IF($I647="Y",$K647,1),0),ROUND($J647*IF($I647="Y",$K647,1),1)),$J647)</f>
        <v>4</v>
      </c>
      <c r="M647" s="6" t="str">
        <f aca="false">INDEX(Items!$E$5:$E$62,MATCH($E647,Items!$A$5:$A$62,0))</f>
        <v>pc</v>
      </c>
      <c r="N647" s="6" t="n">
        <f aca="false">ROUND($L647/INDEX(Items!$F$5:$F$62,MATCH($E647,Items!$A$5:$A$62,0)),4)</f>
        <v>0.04</v>
      </c>
      <c r="O647" s="6"/>
    </row>
    <row r="648" customFormat="false" ht="15" hidden="false" customHeight="false" outlineLevel="0" collapsed="false">
      <c r="A648" s="6" t="n">
        <v>62</v>
      </c>
      <c r="B648" s="6" t="s">
        <v>279</v>
      </c>
      <c r="C648" s="6" t="s">
        <v>373</v>
      </c>
      <c r="D648" s="6" t="s">
        <v>190</v>
      </c>
      <c r="E648" s="6" t="s">
        <v>58</v>
      </c>
      <c r="F648" s="6" t="str">
        <f aca="false">INDEX(Items!$B$5:$B$62,MATCH($E648,Items!$A$5:$A$62,0))</f>
        <v>DISPOSABLES &amp; CLINIC CONSUMABLES</v>
      </c>
      <c r="G648" s="6" t="str">
        <f aca="false">INDEX(Items!$C$5:$C$62,MATCH($E648,Items!$A$5:$A$62,0))</f>
        <v>Bulk</v>
      </c>
      <c r="H648" s="6" t="s">
        <v>161</v>
      </c>
      <c r="I648" s="6" t="s">
        <v>191</v>
      </c>
      <c r="J648" s="6" t="n">
        <f aca="false">SUMIFS(Kits!$C$5:$C$163,Kits!$A$5:$A$163,$D648,Kits!$B$5:$B$163,$E648)</f>
        <v>4</v>
      </c>
      <c r="K648" s="6" t="n">
        <f aca="false">INDEX(Services!$F$5:$F$85,MATCH($A648,Services!$A$5:$A$85,0))</f>
        <v>1</v>
      </c>
      <c r="L648" s="6" t="n">
        <f aca="false">IF($H648="Auto-deduct",IF($G648="Countable",ROUNDUP($J648*IF($I648="Y",$K648,1),0),ROUND($J648*IF($I648="Y",$K648,1),1)),$J648)</f>
        <v>4</v>
      </c>
      <c r="M648" s="6" t="str">
        <f aca="false">INDEX(Items!$E$5:$E$62,MATCH($E648,Items!$A$5:$A$62,0))</f>
        <v>sheet</v>
      </c>
      <c r="N648" s="6" t="n">
        <f aca="false">ROUND($L648/INDEX(Items!$F$5:$F$62,MATCH($E648,Items!$A$5:$A$62,0)),4)</f>
        <v>0.02</v>
      </c>
      <c r="O648" s="6"/>
    </row>
    <row r="649" customFormat="false" ht="15" hidden="false" customHeight="false" outlineLevel="0" collapsed="false">
      <c r="A649" s="6" t="n">
        <v>62</v>
      </c>
      <c r="B649" s="6" t="s">
        <v>279</v>
      </c>
      <c r="C649" s="6" t="s">
        <v>373</v>
      </c>
      <c r="D649" s="6" t="s">
        <v>190</v>
      </c>
      <c r="E649" s="6" t="s">
        <v>86</v>
      </c>
      <c r="F649" s="6" t="str">
        <f aca="false">INDEX(Items!$B$5:$B$62,MATCH($E649,Items!$A$5:$A$62,0))</f>
        <v>DISPOSABLES &amp; CLINIC CONSUMABLES</v>
      </c>
      <c r="G649" s="6" t="str">
        <f aca="false">INDEX(Items!$C$5:$C$62,MATCH($E649,Items!$A$5:$A$62,0))</f>
        <v>Bulk</v>
      </c>
      <c r="H649" s="6" t="s">
        <v>161</v>
      </c>
      <c r="I649" s="6" t="s">
        <v>191</v>
      </c>
      <c r="J649" s="6" t="n">
        <f aca="false">SUMIFS(Kits!$C$5:$C$163,Kits!$A$5:$A$163,$D649,Kits!$B$5:$B$163,$E649)</f>
        <v>2</v>
      </c>
      <c r="K649" s="6" t="n">
        <f aca="false">INDEX(Services!$F$5:$F$85,MATCH($A649,Services!$A$5:$A$85,0))</f>
        <v>1</v>
      </c>
      <c r="L649" s="6" t="n">
        <f aca="false">IF($H649="Auto-deduct",IF($G649="Countable",ROUNDUP($J649*IF($I649="Y",$K649,1),0),ROUND($J649*IF($I649="Y",$K649,1),1)),$J649)</f>
        <v>2</v>
      </c>
      <c r="M649" s="6" t="str">
        <f aca="false">INDEX(Items!$E$5:$E$62,MATCH($E649,Items!$A$5:$A$62,0))</f>
        <v>pc</v>
      </c>
      <c r="N649" s="6" t="n">
        <f aca="false">ROUND($L649/INDEX(Items!$F$5:$F$62,MATCH($E649,Items!$A$5:$A$62,0)),4)</f>
        <v>0.025</v>
      </c>
      <c r="O649" s="6"/>
    </row>
    <row r="650" customFormat="false" ht="15" hidden="false" customHeight="false" outlineLevel="0" collapsed="false">
      <c r="A650" s="6" t="n">
        <v>62</v>
      </c>
      <c r="B650" s="6" t="s">
        <v>279</v>
      </c>
      <c r="C650" s="6" t="s">
        <v>373</v>
      </c>
      <c r="D650" s="6" t="s">
        <v>190</v>
      </c>
      <c r="E650" s="6" t="s">
        <v>110</v>
      </c>
      <c r="F650" s="6" t="str">
        <f aca="false">INDEX(Items!$B$5:$B$62,MATCH($E650,Items!$A$5:$A$62,0))</f>
        <v>FACIAL TREATMENT PRODUCTS (PROFESSIONAL USE)</v>
      </c>
      <c r="G650" s="6" t="str">
        <f aca="false">INDEX(Items!$C$5:$C$62,MATCH($E650,Items!$A$5:$A$62,0))</f>
        <v>Bulk</v>
      </c>
      <c r="H650" s="6" t="s">
        <v>161</v>
      </c>
      <c r="I650" s="6" t="s">
        <v>191</v>
      </c>
      <c r="J650" s="6" t="n">
        <f aca="false">SUMIFS(Kits!$C$5:$C$163,Kits!$A$5:$A$163,$D650,Kits!$B$5:$B$163,$E650)</f>
        <v>20</v>
      </c>
      <c r="K650" s="6" t="n">
        <f aca="false">INDEX(Services!$F$5:$F$85,MATCH($A650,Services!$A$5:$A$85,0))</f>
        <v>1</v>
      </c>
      <c r="L650" s="6" t="n">
        <f aca="false">IF($H650="Auto-deduct",IF($G650="Countable",ROUNDUP($J650*IF($I650="Y",$K650,1),0),ROUND($J650*IF($I650="Y",$K650,1),1)),$J650)</f>
        <v>20</v>
      </c>
      <c r="M650" s="6" t="str">
        <f aca="false">INDEX(Items!$E$5:$E$62,MATCH($E650,Items!$A$5:$A$62,0))</f>
        <v>g</v>
      </c>
      <c r="N650" s="6" t="n">
        <f aca="false">ROUND($L650/INDEX(Items!$F$5:$F$62,MATCH($E650,Items!$A$5:$A$62,0)),4)</f>
        <v>0.04</v>
      </c>
      <c r="O650" s="6"/>
    </row>
    <row r="651" customFormat="false" ht="15" hidden="false" customHeight="false" outlineLevel="0" collapsed="false">
      <c r="A651" s="6" t="n">
        <v>62</v>
      </c>
      <c r="B651" s="6" t="s">
        <v>279</v>
      </c>
      <c r="C651" s="6" t="s">
        <v>373</v>
      </c>
      <c r="D651" s="6" t="s">
        <v>190</v>
      </c>
      <c r="E651" s="6" t="s">
        <v>135</v>
      </c>
      <c r="F651" s="6" t="str">
        <f aca="false">INDEX(Items!$B$5:$B$62,MATCH($E651,Items!$A$5:$A$62,0))</f>
        <v>SKINCARE PRODUCTS (RETAIL / AFTERCARE)</v>
      </c>
      <c r="G651" s="6" t="str">
        <f aca="false">INDEX(Items!$C$5:$C$62,MATCH($E651,Items!$A$5:$A$62,0))</f>
        <v>Bulk</v>
      </c>
      <c r="H651" s="6" t="s">
        <v>161</v>
      </c>
      <c r="I651" s="6" t="s">
        <v>191</v>
      </c>
      <c r="J651" s="6" t="n">
        <f aca="false">SUMIFS(Kits!$C$5:$C$163,Kits!$A$5:$A$163,$D651,Kits!$B$5:$B$163,$E651)</f>
        <v>3</v>
      </c>
      <c r="K651" s="6" t="n">
        <f aca="false">INDEX(Services!$F$5:$F$85,MATCH($A651,Services!$A$5:$A$85,0))</f>
        <v>1</v>
      </c>
      <c r="L651" s="6" t="n">
        <f aca="false">IF($H651="Auto-deduct",IF($G651="Countable",ROUNDUP($J651*IF($I651="Y",$K651,1),0),ROUND($J651*IF($I651="Y",$K651,1),1)),$J651)</f>
        <v>3</v>
      </c>
      <c r="M651" s="6" t="str">
        <f aca="false">INDEX(Items!$E$5:$E$62,MATCH($E651,Items!$A$5:$A$62,0))</f>
        <v>g</v>
      </c>
      <c r="N651" s="6" t="n">
        <f aca="false">ROUND($L651/INDEX(Items!$F$5:$F$62,MATCH($E651,Items!$A$5:$A$62,0)),4)</f>
        <v>0.06</v>
      </c>
      <c r="O651" s="6"/>
    </row>
    <row r="652" customFormat="false" ht="15" hidden="false" customHeight="false" outlineLevel="0" collapsed="false">
      <c r="A652" s="6" t="n">
        <v>62</v>
      </c>
      <c r="B652" s="6" t="s">
        <v>279</v>
      </c>
      <c r="C652" s="6" t="s">
        <v>373</v>
      </c>
      <c r="D652" s="6" t="s">
        <v>190</v>
      </c>
      <c r="E652" s="6" t="s">
        <v>129</v>
      </c>
      <c r="F652" s="6" t="str">
        <f aca="false">INDEX(Items!$B$5:$B$62,MATCH($E652,Items!$A$5:$A$62,0))</f>
        <v>SKINCARE PRODUCTS (RETAIL / AFTERCARE)</v>
      </c>
      <c r="G652" s="6" t="str">
        <f aca="false">INDEX(Items!$C$5:$C$62,MATCH($E652,Items!$A$5:$A$62,0))</f>
        <v>Countable</v>
      </c>
      <c r="H652" s="6" t="s">
        <v>185</v>
      </c>
      <c r="I652" s="6" t="s">
        <v>160</v>
      </c>
      <c r="J652" s="6" t="n">
        <f aca="false">SUMIFS(Kits!$C$5:$C$163,Kits!$A$5:$A$163,$D652,Kits!$B$5:$B$163,$E652)</f>
        <v>1</v>
      </c>
      <c r="K652" s="6" t="n">
        <f aca="false">INDEX(Services!$F$5:$F$85,MATCH($A652,Services!$A$5:$A$85,0))</f>
        <v>1</v>
      </c>
      <c r="L652" s="6" t="n">
        <f aca="false">IF($H652="Auto-deduct",IF($G652="Countable",ROUNDUP($J652*IF($I652="Y",$K652,1),0),ROUND($J652*IF($I652="Y",$K652,1),1)),$J652)</f>
        <v>1</v>
      </c>
      <c r="M652" s="6" t="str">
        <f aca="false">INDEX(Items!$E$5:$E$62,MATCH($E652,Items!$A$5:$A$62,0))</f>
        <v>tube</v>
      </c>
      <c r="N652" s="6" t="n">
        <f aca="false">ROUND($L652/INDEX(Items!$F$5:$F$62,MATCH($E652,Items!$A$5:$A$62,0)),4)</f>
        <v>1</v>
      </c>
      <c r="O652" s="6"/>
    </row>
    <row r="653" customFormat="false" ht="15" hidden="false" customHeight="false" outlineLevel="0" collapsed="false">
      <c r="A653" s="6" t="n">
        <v>63</v>
      </c>
      <c r="B653" s="6" t="s">
        <v>378</v>
      </c>
      <c r="C653" s="6" t="s">
        <v>373</v>
      </c>
      <c r="D653" s="6" t="s">
        <v>159</v>
      </c>
      <c r="E653" s="6" t="s">
        <v>52</v>
      </c>
      <c r="F653" s="6" t="str">
        <f aca="false">INDEX(Items!$B$5:$B$62,MATCH($E653,Items!$A$5:$A$62,0))</f>
        <v>DISPOSABLES &amp; CLINIC CONSUMABLES</v>
      </c>
      <c r="G653" s="6" t="str">
        <f aca="false">INDEX(Items!$C$5:$C$62,MATCH($E653,Items!$A$5:$A$62,0))</f>
        <v>Countable</v>
      </c>
      <c r="H653" s="6" t="s">
        <v>161</v>
      </c>
      <c r="I653" s="6" t="s">
        <v>160</v>
      </c>
      <c r="J653" s="6" t="n">
        <f aca="false">SUMIFS(Kits!$C$5:$C$163,Kits!$A$5:$A$163,$D653,Kits!$B$5:$B$163,$E653)</f>
        <v>1</v>
      </c>
      <c r="K653" s="6" t="n">
        <f aca="false">INDEX(Services!$F$5:$F$85,MATCH($A653,Services!$A$5:$A$85,0))</f>
        <v>1</v>
      </c>
      <c r="L653" s="6" t="n">
        <f aca="false">IF($H653="Auto-deduct",IF($G653="Countable",ROUNDUP($J653*IF($I653="Y",$K653,1),0),ROUND($J653*IF($I653="Y",$K653,1),1)),$J653)</f>
        <v>1</v>
      </c>
      <c r="M653" s="6" t="str">
        <f aca="false">INDEX(Items!$E$5:$E$62,MATCH($E653,Items!$A$5:$A$62,0))</f>
        <v>pc</v>
      </c>
      <c r="N653" s="6" t="n">
        <f aca="false">ROUND($L653/INDEX(Items!$F$5:$F$62,MATCH($E653,Items!$A$5:$A$62,0)),4)</f>
        <v>1</v>
      </c>
      <c r="O653" s="6"/>
    </row>
    <row r="654" customFormat="false" ht="15" hidden="false" customHeight="false" outlineLevel="0" collapsed="false">
      <c r="A654" s="6" t="n">
        <v>63</v>
      </c>
      <c r="B654" s="6" t="s">
        <v>378</v>
      </c>
      <c r="C654" s="6" t="s">
        <v>373</v>
      </c>
      <c r="D654" s="6" t="s">
        <v>159</v>
      </c>
      <c r="E654" s="6" t="s">
        <v>53</v>
      </c>
      <c r="F654" s="6" t="str">
        <f aca="false">INDEX(Items!$B$5:$B$62,MATCH($E654,Items!$A$5:$A$62,0))</f>
        <v>DISPOSABLES &amp; CLINIC CONSUMABLES</v>
      </c>
      <c r="G654" s="6" t="str">
        <f aca="false">INDEX(Items!$C$5:$C$62,MATCH($E654,Items!$A$5:$A$62,0))</f>
        <v>Countable</v>
      </c>
      <c r="H654" s="6" t="s">
        <v>161</v>
      </c>
      <c r="I654" s="6" t="s">
        <v>160</v>
      </c>
      <c r="J654" s="6" t="n">
        <f aca="false">SUMIFS(Kits!$C$5:$C$163,Kits!$A$5:$A$163,$D654,Kits!$B$5:$B$163,$E654)</f>
        <v>1</v>
      </c>
      <c r="K654" s="6" t="n">
        <f aca="false">INDEX(Services!$F$5:$F$85,MATCH($A654,Services!$A$5:$A$85,0))</f>
        <v>1</v>
      </c>
      <c r="L654" s="6" t="n">
        <f aca="false">IF($H654="Auto-deduct",IF($G654="Countable",ROUNDUP($J654*IF($I654="Y",$K654,1),0),ROUND($J654*IF($I654="Y",$K654,1),1)),$J654)</f>
        <v>1</v>
      </c>
      <c r="M654" s="6" t="str">
        <f aca="false">INDEX(Items!$E$5:$E$62,MATCH($E654,Items!$A$5:$A$62,0))</f>
        <v>pair</v>
      </c>
      <c r="N654" s="6" t="n">
        <f aca="false">ROUND($L654/INDEX(Items!$F$5:$F$62,MATCH($E654,Items!$A$5:$A$62,0)),4)</f>
        <v>1</v>
      </c>
      <c r="O654" s="6"/>
    </row>
    <row r="655" customFormat="false" ht="15" hidden="false" customHeight="false" outlineLevel="0" collapsed="false">
      <c r="A655" s="6" t="n">
        <v>63</v>
      </c>
      <c r="B655" s="6" t="s">
        <v>378</v>
      </c>
      <c r="C655" s="6" t="s">
        <v>373</v>
      </c>
      <c r="D655" s="6" t="s">
        <v>159</v>
      </c>
      <c r="E655" s="6" t="s">
        <v>88</v>
      </c>
      <c r="F655" s="6" t="str">
        <f aca="false">INDEX(Items!$B$5:$B$62,MATCH($E655,Items!$A$5:$A$62,0))</f>
        <v>DISPOSABLES &amp; CLINIC CONSUMABLES</v>
      </c>
      <c r="G655" s="6" t="str">
        <f aca="false">INDEX(Items!$C$5:$C$62,MATCH($E655,Items!$A$5:$A$62,0))</f>
        <v>Bulk</v>
      </c>
      <c r="H655" s="6" t="s">
        <v>161</v>
      </c>
      <c r="I655" s="6" t="s">
        <v>160</v>
      </c>
      <c r="J655" s="6" t="n">
        <f aca="false">SUMIFS(Kits!$C$5:$C$163,Kits!$A$5:$A$163,$D655,Kits!$B$5:$B$163,$E655)</f>
        <v>5</v>
      </c>
      <c r="K655" s="6" t="n">
        <f aca="false">INDEX(Services!$F$5:$F$85,MATCH($A655,Services!$A$5:$A$85,0))</f>
        <v>1</v>
      </c>
      <c r="L655" s="6" t="n">
        <f aca="false">IF($H655="Auto-deduct",IF($G655="Countable",ROUNDUP($J655*IF($I655="Y",$K655,1),0),ROUND($J655*IF($I655="Y",$K655,1),1)),$J655)</f>
        <v>5</v>
      </c>
      <c r="M655" s="6" t="str">
        <f aca="false">INDEX(Items!$E$5:$E$62,MATCH($E655,Items!$A$5:$A$62,0))</f>
        <v>mL</v>
      </c>
      <c r="N655" s="6" t="n">
        <f aca="false">ROUND($L655/INDEX(Items!$F$5:$F$62,MATCH($E655,Items!$A$5:$A$62,0)),4)</f>
        <v>0.01</v>
      </c>
      <c r="O655" s="6"/>
    </row>
    <row r="656" customFormat="false" ht="15" hidden="false" customHeight="false" outlineLevel="0" collapsed="false">
      <c r="A656" s="6" t="n">
        <v>63</v>
      </c>
      <c r="B656" s="6" t="s">
        <v>378</v>
      </c>
      <c r="C656" s="6" t="s">
        <v>373</v>
      </c>
      <c r="D656" s="6" t="s">
        <v>190</v>
      </c>
      <c r="E656" s="6" t="s">
        <v>95</v>
      </c>
      <c r="F656" s="6" t="str">
        <f aca="false">INDEX(Items!$B$5:$B$62,MATCH($E656,Items!$A$5:$A$62,0))</f>
        <v>FACIAL / TREATMENT PREP PRODUCTS</v>
      </c>
      <c r="G656" s="6" t="str">
        <f aca="false">INDEX(Items!$C$5:$C$62,MATCH($E656,Items!$A$5:$A$62,0))</f>
        <v>Bulk</v>
      </c>
      <c r="H656" s="6" t="s">
        <v>161</v>
      </c>
      <c r="I656" s="6" t="s">
        <v>191</v>
      </c>
      <c r="J656" s="6" t="n">
        <f aca="false">SUMIFS(Kits!$C$5:$C$163,Kits!$A$5:$A$163,$D656,Kits!$B$5:$B$163,$E656)</f>
        <v>5</v>
      </c>
      <c r="K656" s="6" t="n">
        <f aca="false">INDEX(Services!$F$5:$F$85,MATCH($A656,Services!$A$5:$A$85,0))</f>
        <v>1</v>
      </c>
      <c r="L656" s="6" t="n">
        <f aca="false">IF($H656="Auto-deduct",IF($G656="Countable",ROUNDUP($J656*IF($I656="Y",$K656,1),0),ROUND($J656*IF($I656="Y",$K656,1),1)),$J656)</f>
        <v>5</v>
      </c>
      <c r="M656" s="6" t="str">
        <f aca="false">INDEX(Items!$E$5:$E$62,MATCH($E656,Items!$A$5:$A$62,0))</f>
        <v>mL</v>
      </c>
      <c r="N656" s="6" t="n">
        <f aca="false">ROUND($L656/INDEX(Items!$F$5:$F$62,MATCH($E656,Items!$A$5:$A$62,0)),4)</f>
        <v>0.01</v>
      </c>
      <c r="O656" s="6"/>
    </row>
    <row r="657" customFormat="false" ht="15" hidden="false" customHeight="false" outlineLevel="0" collapsed="false">
      <c r="A657" s="6" t="n">
        <v>63</v>
      </c>
      <c r="B657" s="6" t="s">
        <v>378</v>
      </c>
      <c r="C657" s="6" t="s">
        <v>373</v>
      </c>
      <c r="D657" s="6" t="s">
        <v>190</v>
      </c>
      <c r="E657" s="6" t="s">
        <v>69</v>
      </c>
      <c r="F657" s="6" t="str">
        <f aca="false">INDEX(Items!$B$5:$B$62,MATCH($E657,Items!$A$5:$A$62,0))</f>
        <v>DISPOSABLES &amp; CLINIC CONSUMABLES</v>
      </c>
      <c r="G657" s="6" t="str">
        <f aca="false">INDEX(Items!$C$5:$C$62,MATCH($E657,Items!$A$5:$A$62,0))</f>
        <v>Bulk</v>
      </c>
      <c r="H657" s="6" t="s">
        <v>161</v>
      </c>
      <c r="I657" s="6" t="s">
        <v>191</v>
      </c>
      <c r="J657" s="6" t="n">
        <f aca="false">SUMIFS(Kits!$C$5:$C$163,Kits!$A$5:$A$163,$D657,Kits!$B$5:$B$163,$E657)</f>
        <v>5</v>
      </c>
      <c r="K657" s="6" t="n">
        <f aca="false">INDEX(Services!$F$5:$F$85,MATCH($A657,Services!$A$5:$A$85,0))</f>
        <v>1</v>
      </c>
      <c r="L657" s="6" t="n">
        <f aca="false">IF($H657="Auto-deduct",IF($G657="Countable",ROUNDUP($J657*IF($I657="Y",$K657,1),0),ROUND($J657*IF($I657="Y",$K657,1),1)),$J657)</f>
        <v>5</v>
      </c>
      <c r="M657" s="6" t="str">
        <f aca="false">INDEX(Items!$E$5:$E$62,MATCH($E657,Items!$A$5:$A$62,0))</f>
        <v>g</v>
      </c>
      <c r="N657" s="6" t="n">
        <f aca="false">ROUND($L657/INDEX(Items!$F$5:$F$62,MATCH($E657,Items!$A$5:$A$62,0)),4)</f>
        <v>0.0125</v>
      </c>
      <c r="O657" s="6"/>
    </row>
    <row r="658" customFormat="false" ht="15" hidden="false" customHeight="false" outlineLevel="0" collapsed="false">
      <c r="A658" s="6" t="n">
        <v>63</v>
      </c>
      <c r="B658" s="6" t="s">
        <v>378</v>
      </c>
      <c r="C658" s="6" t="s">
        <v>373</v>
      </c>
      <c r="D658" s="6" t="s">
        <v>190</v>
      </c>
      <c r="E658" s="6" t="s">
        <v>72</v>
      </c>
      <c r="F658" s="6" t="str">
        <f aca="false">INDEX(Items!$B$5:$B$62,MATCH($E658,Items!$A$5:$A$62,0))</f>
        <v>DISPOSABLES &amp; CLINIC CONSUMABLES</v>
      </c>
      <c r="G658" s="6" t="str">
        <f aca="false">INDEX(Items!$C$5:$C$62,MATCH($E658,Items!$A$5:$A$62,0))</f>
        <v>Bulk</v>
      </c>
      <c r="H658" s="6" t="s">
        <v>161</v>
      </c>
      <c r="I658" s="6" t="s">
        <v>191</v>
      </c>
      <c r="J658" s="6" t="n">
        <f aca="false">SUMIFS(Kits!$C$5:$C$163,Kits!$A$5:$A$163,$D658,Kits!$B$5:$B$163,$E658)</f>
        <v>6</v>
      </c>
      <c r="K658" s="6" t="n">
        <f aca="false">INDEX(Services!$F$5:$F$85,MATCH($A658,Services!$A$5:$A$85,0))</f>
        <v>1</v>
      </c>
      <c r="L658" s="6" t="n">
        <f aca="false">IF($H658="Auto-deduct",IF($G658="Countable",ROUNDUP($J658*IF($I658="Y",$K658,1),0),ROUND($J658*IF($I658="Y",$K658,1),1)),$J658)</f>
        <v>6</v>
      </c>
      <c r="M658" s="6" t="str">
        <f aca="false">INDEX(Items!$E$5:$E$62,MATCH($E658,Items!$A$5:$A$62,0))</f>
        <v>pc</v>
      </c>
      <c r="N658" s="6" t="n">
        <f aca="false">ROUND($L658/INDEX(Items!$F$5:$F$62,MATCH($E658,Items!$A$5:$A$62,0)),4)</f>
        <v>0.06</v>
      </c>
      <c r="O658" s="6"/>
    </row>
    <row r="659" customFormat="false" ht="15" hidden="false" customHeight="false" outlineLevel="0" collapsed="false">
      <c r="A659" s="6" t="n">
        <v>63</v>
      </c>
      <c r="B659" s="6" t="s">
        <v>378</v>
      </c>
      <c r="C659" s="6" t="s">
        <v>373</v>
      </c>
      <c r="D659" s="6" t="s">
        <v>190</v>
      </c>
      <c r="E659" s="6" t="s">
        <v>81</v>
      </c>
      <c r="F659" s="6" t="str">
        <f aca="false">INDEX(Items!$B$5:$B$62,MATCH($E659,Items!$A$5:$A$62,0))</f>
        <v>DISPOSABLES &amp; CLINIC CONSUMABLES</v>
      </c>
      <c r="G659" s="6" t="str">
        <f aca="false">INDEX(Items!$C$5:$C$62,MATCH($E659,Items!$A$5:$A$62,0))</f>
        <v>Bulk</v>
      </c>
      <c r="H659" s="6" t="s">
        <v>161</v>
      </c>
      <c r="I659" s="6" t="s">
        <v>191</v>
      </c>
      <c r="J659" s="6" t="n">
        <f aca="false">SUMIFS(Kits!$C$5:$C$163,Kits!$A$5:$A$163,$D659,Kits!$B$5:$B$163,$E659)</f>
        <v>4</v>
      </c>
      <c r="K659" s="6" t="n">
        <f aca="false">INDEX(Services!$F$5:$F$85,MATCH($A659,Services!$A$5:$A$85,0))</f>
        <v>1</v>
      </c>
      <c r="L659" s="6" t="n">
        <f aca="false">IF($H659="Auto-deduct",IF($G659="Countable",ROUNDUP($J659*IF($I659="Y",$K659,1),0),ROUND($J659*IF($I659="Y",$K659,1),1)),$J659)</f>
        <v>4</v>
      </c>
      <c r="M659" s="6" t="str">
        <f aca="false">INDEX(Items!$E$5:$E$62,MATCH($E659,Items!$A$5:$A$62,0))</f>
        <v>pc</v>
      </c>
      <c r="N659" s="6" t="n">
        <f aca="false">ROUND($L659/INDEX(Items!$F$5:$F$62,MATCH($E659,Items!$A$5:$A$62,0)),4)</f>
        <v>0.04</v>
      </c>
      <c r="O659" s="6"/>
    </row>
    <row r="660" customFormat="false" ht="15" hidden="false" customHeight="false" outlineLevel="0" collapsed="false">
      <c r="A660" s="6" t="n">
        <v>63</v>
      </c>
      <c r="B660" s="6" t="s">
        <v>378</v>
      </c>
      <c r="C660" s="6" t="s">
        <v>373</v>
      </c>
      <c r="D660" s="6" t="s">
        <v>190</v>
      </c>
      <c r="E660" s="6" t="s">
        <v>58</v>
      </c>
      <c r="F660" s="6" t="str">
        <f aca="false">INDEX(Items!$B$5:$B$62,MATCH($E660,Items!$A$5:$A$62,0))</f>
        <v>DISPOSABLES &amp; CLINIC CONSUMABLES</v>
      </c>
      <c r="G660" s="6" t="str">
        <f aca="false">INDEX(Items!$C$5:$C$62,MATCH($E660,Items!$A$5:$A$62,0))</f>
        <v>Bulk</v>
      </c>
      <c r="H660" s="6" t="s">
        <v>161</v>
      </c>
      <c r="I660" s="6" t="s">
        <v>191</v>
      </c>
      <c r="J660" s="6" t="n">
        <f aca="false">SUMIFS(Kits!$C$5:$C$163,Kits!$A$5:$A$163,$D660,Kits!$B$5:$B$163,$E660)</f>
        <v>4</v>
      </c>
      <c r="K660" s="6" t="n">
        <f aca="false">INDEX(Services!$F$5:$F$85,MATCH($A660,Services!$A$5:$A$85,0))</f>
        <v>1</v>
      </c>
      <c r="L660" s="6" t="n">
        <f aca="false">IF($H660="Auto-deduct",IF($G660="Countable",ROUNDUP($J660*IF($I660="Y",$K660,1),0),ROUND($J660*IF($I660="Y",$K660,1),1)),$J660)</f>
        <v>4</v>
      </c>
      <c r="M660" s="6" t="str">
        <f aca="false">INDEX(Items!$E$5:$E$62,MATCH($E660,Items!$A$5:$A$62,0))</f>
        <v>sheet</v>
      </c>
      <c r="N660" s="6" t="n">
        <f aca="false">ROUND($L660/INDEX(Items!$F$5:$F$62,MATCH($E660,Items!$A$5:$A$62,0)),4)</f>
        <v>0.02</v>
      </c>
      <c r="O660" s="6"/>
    </row>
    <row r="661" customFormat="false" ht="15" hidden="false" customHeight="false" outlineLevel="0" collapsed="false">
      <c r="A661" s="6" t="n">
        <v>63</v>
      </c>
      <c r="B661" s="6" t="s">
        <v>378</v>
      </c>
      <c r="C661" s="6" t="s">
        <v>373</v>
      </c>
      <c r="D661" s="6" t="s">
        <v>190</v>
      </c>
      <c r="E661" s="6" t="s">
        <v>86</v>
      </c>
      <c r="F661" s="6" t="str">
        <f aca="false">INDEX(Items!$B$5:$B$62,MATCH($E661,Items!$A$5:$A$62,0))</f>
        <v>DISPOSABLES &amp; CLINIC CONSUMABLES</v>
      </c>
      <c r="G661" s="6" t="str">
        <f aca="false">INDEX(Items!$C$5:$C$62,MATCH($E661,Items!$A$5:$A$62,0))</f>
        <v>Bulk</v>
      </c>
      <c r="H661" s="6" t="s">
        <v>161</v>
      </c>
      <c r="I661" s="6" t="s">
        <v>191</v>
      </c>
      <c r="J661" s="6" t="n">
        <f aca="false">SUMIFS(Kits!$C$5:$C$163,Kits!$A$5:$A$163,$D661,Kits!$B$5:$B$163,$E661)</f>
        <v>2</v>
      </c>
      <c r="K661" s="6" t="n">
        <f aca="false">INDEX(Services!$F$5:$F$85,MATCH($A661,Services!$A$5:$A$85,0))</f>
        <v>1</v>
      </c>
      <c r="L661" s="6" t="n">
        <f aca="false">IF($H661="Auto-deduct",IF($G661="Countable",ROUNDUP($J661*IF($I661="Y",$K661,1),0),ROUND($J661*IF($I661="Y",$K661,1),1)),$J661)</f>
        <v>2</v>
      </c>
      <c r="M661" s="6" t="str">
        <f aca="false">INDEX(Items!$E$5:$E$62,MATCH($E661,Items!$A$5:$A$62,0))</f>
        <v>pc</v>
      </c>
      <c r="N661" s="6" t="n">
        <f aca="false">ROUND($L661/INDEX(Items!$F$5:$F$62,MATCH($E661,Items!$A$5:$A$62,0)),4)</f>
        <v>0.025</v>
      </c>
      <c r="O661" s="6"/>
    </row>
    <row r="662" customFormat="false" ht="15" hidden="false" customHeight="false" outlineLevel="0" collapsed="false">
      <c r="A662" s="6" t="n">
        <v>63</v>
      </c>
      <c r="B662" s="6" t="s">
        <v>378</v>
      </c>
      <c r="C662" s="6" t="s">
        <v>373</v>
      </c>
      <c r="D662" s="6" t="s">
        <v>190</v>
      </c>
      <c r="E662" s="6" t="s">
        <v>110</v>
      </c>
      <c r="F662" s="6" t="str">
        <f aca="false">INDEX(Items!$B$5:$B$62,MATCH($E662,Items!$A$5:$A$62,0))</f>
        <v>FACIAL TREATMENT PRODUCTS (PROFESSIONAL USE)</v>
      </c>
      <c r="G662" s="6" t="str">
        <f aca="false">INDEX(Items!$C$5:$C$62,MATCH($E662,Items!$A$5:$A$62,0))</f>
        <v>Bulk</v>
      </c>
      <c r="H662" s="6" t="s">
        <v>161</v>
      </c>
      <c r="I662" s="6" t="s">
        <v>191</v>
      </c>
      <c r="J662" s="6" t="n">
        <f aca="false">SUMIFS(Kits!$C$5:$C$163,Kits!$A$5:$A$163,$D662,Kits!$B$5:$B$163,$E662)</f>
        <v>20</v>
      </c>
      <c r="K662" s="6" t="n">
        <f aca="false">INDEX(Services!$F$5:$F$85,MATCH($A662,Services!$A$5:$A$85,0))</f>
        <v>1</v>
      </c>
      <c r="L662" s="6" t="n">
        <f aca="false">IF($H662="Auto-deduct",IF($G662="Countable",ROUNDUP($J662*IF($I662="Y",$K662,1),0),ROUND($J662*IF($I662="Y",$K662,1),1)),$J662)</f>
        <v>20</v>
      </c>
      <c r="M662" s="6" t="str">
        <f aca="false">INDEX(Items!$E$5:$E$62,MATCH($E662,Items!$A$5:$A$62,0))</f>
        <v>g</v>
      </c>
      <c r="N662" s="6" t="n">
        <f aca="false">ROUND($L662/INDEX(Items!$F$5:$F$62,MATCH($E662,Items!$A$5:$A$62,0)),4)</f>
        <v>0.04</v>
      </c>
      <c r="O662" s="6"/>
    </row>
    <row r="663" customFormat="false" ht="15" hidden="false" customHeight="false" outlineLevel="0" collapsed="false">
      <c r="A663" s="6" t="n">
        <v>63</v>
      </c>
      <c r="B663" s="6" t="s">
        <v>378</v>
      </c>
      <c r="C663" s="6" t="s">
        <v>373</v>
      </c>
      <c r="D663" s="6" t="s">
        <v>190</v>
      </c>
      <c r="E663" s="6" t="s">
        <v>135</v>
      </c>
      <c r="F663" s="6" t="str">
        <f aca="false">INDEX(Items!$B$5:$B$62,MATCH($E663,Items!$A$5:$A$62,0))</f>
        <v>SKINCARE PRODUCTS (RETAIL / AFTERCARE)</v>
      </c>
      <c r="G663" s="6" t="str">
        <f aca="false">INDEX(Items!$C$5:$C$62,MATCH($E663,Items!$A$5:$A$62,0))</f>
        <v>Bulk</v>
      </c>
      <c r="H663" s="6" t="s">
        <v>161</v>
      </c>
      <c r="I663" s="6" t="s">
        <v>191</v>
      </c>
      <c r="J663" s="6" t="n">
        <f aca="false">SUMIFS(Kits!$C$5:$C$163,Kits!$A$5:$A$163,$D663,Kits!$B$5:$B$163,$E663)</f>
        <v>3</v>
      </c>
      <c r="K663" s="6" t="n">
        <f aca="false">INDEX(Services!$F$5:$F$85,MATCH($A663,Services!$A$5:$A$85,0))</f>
        <v>1</v>
      </c>
      <c r="L663" s="6" t="n">
        <f aca="false">IF($H663="Auto-deduct",IF($G663="Countable",ROUNDUP($J663*IF($I663="Y",$K663,1),0),ROUND($J663*IF($I663="Y",$K663,1),1)),$J663)</f>
        <v>3</v>
      </c>
      <c r="M663" s="6" t="str">
        <f aca="false">INDEX(Items!$E$5:$E$62,MATCH($E663,Items!$A$5:$A$62,0))</f>
        <v>g</v>
      </c>
      <c r="N663" s="6" t="n">
        <f aca="false">ROUND($L663/INDEX(Items!$F$5:$F$62,MATCH($E663,Items!$A$5:$A$62,0)),4)</f>
        <v>0.06</v>
      </c>
      <c r="O663" s="6"/>
    </row>
    <row r="664" customFormat="false" ht="15" hidden="false" customHeight="false" outlineLevel="0" collapsed="false">
      <c r="A664" s="6" t="n">
        <v>63</v>
      </c>
      <c r="B664" s="6" t="s">
        <v>378</v>
      </c>
      <c r="C664" s="6" t="s">
        <v>373</v>
      </c>
      <c r="D664" s="6" t="s">
        <v>190</v>
      </c>
      <c r="E664" s="6" t="s">
        <v>129</v>
      </c>
      <c r="F664" s="6" t="str">
        <f aca="false">INDEX(Items!$B$5:$B$62,MATCH($E664,Items!$A$5:$A$62,0))</f>
        <v>SKINCARE PRODUCTS (RETAIL / AFTERCARE)</v>
      </c>
      <c r="G664" s="6" t="str">
        <f aca="false">INDEX(Items!$C$5:$C$62,MATCH($E664,Items!$A$5:$A$62,0))</f>
        <v>Countable</v>
      </c>
      <c r="H664" s="6" t="s">
        <v>185</v>
      </c>
      <c r="I664" s="6" t="s">
        <v>160</v>
      </c>
      <c r="J664" s="6" t="n">
        <f aca="false">SUMIFS(Kits!$C$5:$C$163,Kits!$A$5:$A$163,$D664,Kits!$B$5:$B$163,$E664)</f>
        <v>1</v>
      </c>
      <c r="K664" s="6" t="n">
        <f aca="false">INDEX(Services!$F$5:$F$85,MATCH($A664,Services!$A$5:$A$85,0))</f>
        <v>1</v>
      </c>
      <c r="L664" s="6" t="n">
        <f aca="false">IF($H664="Auto-deduct",IF($G664="Countable",ROUNDUP($J664*IF($I664="Y",$K664,1),0),ROUND($J664*IF($I664="Y",$K664,1),1)),$J664)</f>
        <v>1</v>
      </c>
      <c r="M664" s="6" t="str">
        <f aca="false">INDEX(Items!$E$5:$E$62,MATCH($E664,Items!$A$5:$A$62,0))</f>
        <v>tube</v>
      </c>
      <c r="N664" s="6" t="n">
        <f aca="false">ROUND($L664/INDEX(Items!$F$5:$F$62,MATCH($E664,Items!$A$5:$A$62,0)),4)</f>
        <v>1</v>
      </c>
      <c r="O664" s="6"/>
    </row>
    <row r="665" customFormat="false" ht="15" hidden="false" customHeight="false" outlineLevel="0" collapsed="false">
      <c r="A665" s="6" t="n">
        <v>64</v>
      </c>
      <c r="B665" s="6" t="s">
        <v>298</v>
      </c>
      <c r="C665" s="6" t="s">
        <v>373</v>
      </c>
      <c r="D665" s="6" t="s">
        <v>159</v>
      </c>
      <c r="E665" s="6" t="s">
        <v>52</v>
      </c>
      <c r="F665" s="6" t="str">
        <f aca="false">INDEX(Items!$B$5:$B$62,MATCH($E665,Items!$A$5:$A$62,0))</f>
        <v>DISPOSABLES &amp; CLINIC CONSUMABLES</v>
      </c>
      <c r="G665" s="6" t="str">
        <f aca="false">INDEX(Items!$C$5:$C$62,MATCH($E665,Items!$A$5:$A$62,0))</f>
        <v>Countable</v>
      </c>
      <c r="H665" s="6" t="s">
        <v>161</v>
      </c>
      <c r="I665" s="6" t="s">
        <v>160</v>
      </c>
      <c r="J665" s="6" t="n">
        <f aca="false">SUMIFS(Kits!$C$5:$C$163,Kits!$A$5:$A$163,$D665,Kits!$B$5:$B$163,$E665)</f>
        <v>1</v>
      </c>
      <c r="K665" s="6" t="n">
        <f aca="false">INDEX(Services!$F$5:$F$85,MATCH($A665,Services!$A$5:$A$85,0))</f>
        <v>1</v>
      </c>
      <c r="L665" s="6" t="n">
        <f aca="false">IF($H665="Auto-deduct",IF($G665="Countable",ROUNDUP($J665*IF($I665="Y",$K665,1),0),ROUND($J665*IF($I665="Y",$K665,1),1)),$J665)</f>
        <v>1</v>
      </c>
      <c r="M665" s="6" t="str">
        <f aca="false">INDEX(Items!$E$5:$E$62,MATCH($E665,Items!$A$5:$A$62,0))</f>
        <v>pc</v>
      </c>
      <c r="N665" s="6" t="n">
        <f aca="false">ROUND($L665/INDEX(Items!$F$5:$F$62,MATCH($E665,Items!$A$5:$A$62,0)),4)</f>
        <v>1</v>
      </c>
      <c r="O665" s="6"/>
    </row>
    <row r="666" customFormat="false" ht="15" hidden="false" customHeight="false" outlineLevel="0" collapsed="false">
      <c r="A666" s="6" t="n">
        <v>64</v>
      </c>
      <c r="B666" s="6" t="s">
        <v>298</v>
      </c>
      <c r="C666" s="6" t="s">
        <v>373</v>
      </c>
      <c r="D666" s="6" t="s">
        <v>159</v>
      </c>
      <c r="E666" s="6" t="s">
        <v>53</v>
      </c>
      <c r="F666" s="6" t="str">
        <f aca="false">INDEX(Items!$B$5:$B$62,MATCH($E666,Items!$A$5:$A$62,0))</f>
        <v>DISPOSABLES &amp; CLINIC CONSUMABLES</v>
      </c>
      <c r="G666" s="6" t="str">
        <f aca="false">INDEX(Items!$C$5:$C$62,MATCH($E666,Items!$A$5:$A$62,0))</f>
        <v>Countable</v>
      </c>
      <c r="H666" s="6" t="s">
        <v>161</v>
      </c>
      <c r="I666" s="6" t="s">
        <v>160</v>
      </c>
      <c r="J666" s="6" t="n">
        <f aca="false">SUMIFS(Kits!$C$5:$C$163,Kits!$A$5:$A$163,$D666,Kits!$B$5:$B$163,$E666)</f>
        <v>1</v>
      </c>
      <c r="K666" s="6" t="n">
        <f aca="false">INDEX(Services!$F$5:$F$85,MATCH($A666,Services!$A$5:$A$85,0))</f>
        <v>1</v>
      </c>
      <c r="L666" s="6" t="n">
        <f aca="false">IF($H666="Auto-deduct",IF($G666="Countable",ROUNDUP($J666*IF($I666="Y",$K666,1),0),ROUND($J666*IF($I666="Y",$K666,1),1)),$J666)</f>
        <v>1</v>
      </c>
      <c r="M666" s="6" t="str">
        <f aca="false">INDEX(Items!$E$5:$E$62,MATCH($E666,Items!$A$5:$A$62,0))</f>
        <v>pair</v>
      </c>
      <c r="N666" s="6" t="n">
        <f aca="false">ROUND($L666/INDEX(Items!$F$5:$F$62,MATCH($E666,Items!$A$5:$A$62,0)),4)</f>
        <v>1</v>
      </c>
      <c r="O666" s="6"/>
    </row>
    <row r="667" customFormat="false" ht="15" hidden="false" customHeight="false" outlineLevel="0" collapsed="false">
      <c r="A667" s="6" t="n">
        <v>64</v>
      </c>
      <c r="B667" s="6" t="s">
        <v>298</v>
      </c>
      <c r="C667" s="6" t="s">
        <v>373</v>
      </c>
      <c r="D667" s="6" t="s">
        <v>159</v>
      </c>
      <c r="E667" s="6" t="s">
        <v>88</v>
      </c>
      <c r="F667" s="6" t="str">
        <f aca="false">INDEX(Items!$B$5:$B$62,MATCH($E667,Items!$A$5:$A$62,0))</f>
        <v>DISPOSABLES &amp; CLINIC CONSUMABLES</v>
      </c>
      <c r="G667" s="6" t="str">
        <f aca="false">INDEX(Items!$C$5:$C$62,MATCH($E667,Items!$A$5:$A$62,0))</f>
        <v>Bulk</v>
      </c>
      <c r="H667" s="6" t="s">
        <v>161</v>
      </c>
      <c r="I667" s="6" t="s">
        <v>160</v>
      </c>
      <c r="J667" s="6" t="n">
        <f aca="false">SUMIFS(Kits!$C$5:$C$163,Kits!$A$5:$A$163,$D667,Kits!$B$5:$B$163,$E667)</f>
        <v>5</v>
      </c>
      <c r="K667" s="6" t="n">
        <f aca="false">INDEX(Services!$F$5:$F$85,MATCH($A667,Services!$A$5:$A$85,0))</f>
        <v>1</v>
      </c>
      <c r="L667" s="6" t="n">
        <f aca="false">IF($H667="Auto-deduct",IF($G667="Countable",ROUNDUP($J667*IF($I667="Y",$K667,1),0),ROUND($J667*IF($I667="Y",$K667,1),1)),$J667)</f>
        <v>5</v>
      </c>
      <c r="M667" s="6" t="str">
        <f aca="false">INDEX(Items!$E$5:$E$62,MATCH($E667,Items!$A$5:$A$62,0))</f>
        <v>mL</v>
      </c>
      <c r="N667" s="6" t="n">
        <f aca="false">ROUND($L667/INDEX(Items!$F$5:$F$62,MATCH($E667,Items!$A$5:$A$62,0)),4)</f>
        <v>0.01</v>
      </c>
      <c r="O667" s="6"/>
    </row>
    <row r="668" customFormat="false" ht="15" hidden="false" customHeight="false" outlineLevel="0" collapsed="false">
      <c r="A668" s="6" t="n">
        <v>64</v>
      </c>
      <c r="B668" s="6" t="s">
        <v>298</v>
      </c>
      <c r="C668" s="6" t="s">
        <v>373</v>
      </c>
      <c r="D668" s="6" t="s">
        <v>190</v>
      </c>
      <c r="E668" s="6" t="s">
        <v>95</v>
      </c>
      <c r="F668" s="6" t="str">
        <f aca="false">INDEX(Items!$B$5:$B$62,MATCH($E668,Items!$A$5:$A$62,0))</f>
        <v>FACIAL / TREATMENT PREP PRODUCTS</v>
      </c>
      <c r="G668" s="6" t="str">
        <f aca="false">INDEX(Items!$C$5:$C$62,MATCH($E668,Items!$A$5:$A$62,0))</f>
        <v>Bulk</v>
      </c>
      <c r="H668" s="6" t="s">
        <v>161</v>
      </c>
      <c r="I668" s="6" t="s">
        <v>191</v>
      </c>
      <c r="J668" s="6" t="n">
        <f aca="false">SUMIFS(Kits!$C$5:$C$163,Kits!$A$5:$A$163,$D668,Kits!$B$5:$B$163,$E668)</f>
        <v>5</v>
      </c>
      <c r="K668" s="6" t="n">
        <f aca="false">INDEX(Services!$F$5:$F$85,MATCH($A668,Services!$A$5:$A$85,0))</f>
        <v>1</v>
      </c>
      <c r="L668" s="6" t="n">
        <f aca="false">IF($H668="Auto-deduct",IF($G668="Countable",ROUNDUP($J668*IF($I668="Y",$K668,1),0),ROUND($J668*IF($I668="Y",$K668,1),1)),$J668)</f>
        <v>5</v>
      </c>
      <c r="M668" s="6" t="str">
        <f aca="false">INDEX(Items!$E$5:$E$62,MATCH($E668,Items!$A$5:$A$62,0))</f>
        <v>mL</v>
      </c>
      <c r="N668" s="6" t="n">
        <f aca="false">ROUND($L668/INDEX(Items!$F$5:$F$62,MATCH($E668,Items!$A$5:$A$62,0)),4)</f>
        <v>0.01</v>
      </c>
      <c r="O668" s="6"/>
    </row>
    <row r="669" customFormat="false" ht="15" hidden="false" customHeight="false" outlineLevel="0" collapsed="false">
      <c r="A669" s="6" t="n">
        <v>64</v>
      </c>
      <c r="B669" s="6" t="s">
        <v>298</v>
      </c>
      <c r="C669" s="6" t="s">
        <v>373</v>
      </c>
      <c r="D669" s="6" t="s">
        <v>190</v>
      </c>
      <c r="E669" s="6" t="s">
        <v>69</v>
      </c>
      <c r="F669" s="6" t="str">
        <f aca="false">INDEX(Items!$B$5:$B$62,MATCH($E669,Items!$A$5:$A$62,0))</f>
        <v>DISPOSABLES &amp; CLINIC CONSUMABLES</v>
      </c>
      <c r="G669" s="6" t="str">
        <f aca="false">INDEX(Items!$C$5:$C$62,MATCH($E669,Items!$A$5:$A$62,0))</f>
        <v>Bulk</v>
      </c>
      <c r="H669" s="6" t="s">
        <v>161</v>
      </c>
      <c r="I669" s="6" t="s">
        <v>191</v>
      </c>
      <c r="J669" s="6" t="n">
        <f aca="false">SUMIFS(Kits!$C$5:$C$163,Kits!$A$5:$A$163,$D669,Kits!$B$5:$B$163,$E669)</f>
        <v>5</v>
      </c>
      <c r="K669" s="6" t="n">
        <f aca="false">INDEX(Services!$F$5:$F$85,MATCH($A669,Services!$A$5:$A$85,0))</f>
        <v>1</v>
      </c>
      <c r="L669" s="6" t="n">
        <f aca="false">IF($H669="Auto-deduct",IF($G669="Countable",ROUNDUP($J669*IF($I669="Y",$K669,1),0),ROUND($J669*IF($I669="Y",$K669,1),1)),$J669)</f>
        <v>5</v>
      </c>
      <c r="M669" s="6" t="str">
        <f aca="false">INDEX(Items!$E$5:$E$62,MATCH($E669,Items!$A$5:$A$62,0))</f>
        <v>g</v>
      </c>
      <c r="N669" s="6" t="n">
        <f aca="false">ROUND($L669/INDEX(Items!$F$5:$F$62,MATCH($E669,Items!$A$5:$A$62,0)),4)</f>
        <v>0.0125</v>
      </c>
      <c r="O669" s="6"/>
    </row>
    <row r="670" customFormat="false" ht="15" hidden="false" customHeight="false" outlineLevel="0" collapsed="false">
      <c r="A670" s="6" t="n">
        <v>64</v>
      </c>
      <c r="B670" s="6" t="s">
        <v>298</v>
      </c>
      <c r="C670" s="6" t="s">
        <v>373</v>
      </c>
      <c r="D670" s="6" t="s">
        <v>190</v>
      </c>
      <c r="E670" s="6" t="s">
        <v>72</v>
      </c>
      <c r="F670" s="6" t="str">
        <f aca="false">INDEX(Items!$B$5:$B$62,MATCH($E670,Items!$A$5:$A$62,0))</f>
        <v>DISPOSABLES &amp; CLINIC CONSUMABLES</v>
      </c>
      <c r="G670" s="6" t="str">
        <f aca="false">INDEX(Items!$C$5:$C$62,MATCH($E670,Items!$A$5:$A$62,0))</f>
        <v>Bulk</v>
      </c>
      <c r="H670" s="6" t="s">
        <v>161</v>
      </c>
      <c r="I670" s="6" t="s">
        <v>191</v>
      </c>
      <c r="J670" s="6" t="n">
        <f aca="false">SUMIFS(Kits!$C$5:$C$163,Kits!$A$5:$A$163,$D670,Kits!$B$5:$B$163,$E670)</f>
        <v>6</v>
      </c>
      <c r="K670" s="6" t="n">
        <f aca="false">INDEX(Services!$F$5:$F$85,MATCH($A670,Services!$A$5:$A$85,0))</f>
        <v>1</v>
      </c>
      <c r="L670" s="6" t="n">
        <f aca="false">IF($H670="Auto-deduct",IF($G670="Countable",ROUNDUP($J670*IF($I670="Y",$K670,1),0),ROUND($J670*IF($I670="Y",$K670,1),1)),$J670)</f>
        <v>6</v>
      </c>
      <c r="M670" s="6" t="str">
        <f aca="false">INDEX(Items!$E$5:$E$62,MATCH($E670,Items!$A$5:$A$62,0))</f>
        <v>pc</v>
      </c>
      <c r="N670" s="6" t="n">
        <f aca="false">ROUND($L670/INDEX(Items!$F$5:$F$62,MATCH($E670,Items!$A$5:$A$62,0)),4)</f>
        <v>0.06</v>
      </c>
      <c r="O670" s="6"/>
    </row>
    <row r="671" customFormat="false" ht="15" hidden="false" customHeight="false" outlineLevel="0" collapsed="false">
      <c r="A671" s="6" t="n">
        <v>64</v>
      </c>
      <c r="B671" s="6" t="s">
        <v>298</v>
      </c>
      <c r="C671" s="6" t="s">
        <v>373</v>
      </c>
      <c r="D671" s="6" t="s">
        <v>190</v>
      </c>
      <c r="E671" s="6" t="s">
        <v>81</v>
      </c>
      <c r="F671" s="6" t="str">
        <f aca="false">INDEX(Items!$B$5:$B$62,MATCH($E671,Items!$A$5:$A$62,0))</f>
        <v>DISPOSABLES &amp; CLINIC CONSUMABLES</v>
      </c>
      <c r="G671" s="6" t="str">
        <f aca="false">INDEX(Items!$C$5:$C$62,MATCH($E671,Items!$A$5:$A$62,0))</f>
        <v>Bulk</v>
      </c>
      <c r="H671" s="6" t="s">
        <v>161</v>
      </c>
      <c r="I671" s="6" t="s">
        <v>191</v>
      </c>
      <c r="J671" s="6" t="n">
        <f aca="false">SUMIFS(Kits!$C$5:$C$163,Kits!$A$5:$A$163,$D671,Kits!$B$5:$B$163,$E671)</f>
        <v>4</v>
      </c>
      <c r="K671" s="6" t="n">
        <f aca="false">INDEX(Services!$F$5:$F$85,MATCH($A671,Services!$A$5:$A$85,0))</f>
        <v>1</v>
      </c>
      <c r="L671" s="6" t="n">
        <f aca="false">IF($H671="Auto-deduct",IF($G671="Countable",ROUNDUP($J671*IF($I671="Y",$K671,1),0),ROUND($J671*IF($I671="Y",$K671,1),1)),$J671)</f>
        <v>4</v>
      </c>
      <c r="M671" s="6" t="str">
        <f aca="false">INDEX(Items!$E$5:$E$62,MATCH($E671,Items!$A$5:$A$62,0))</f>
        <v>pc</v>
      </c>
      <c r="N671" s="6" t="n">
        <f aca="false">ROUND($L671/INDEX(Items!$F$5:$F$62,MATCH($E671,Items!$A$5:$A$62,0)),4)</f>
        <v>0.04</v>
      </c>
      <c r="O671" s="6"/>
    </row>
    <row r="672" customFormat="false" ht="15" hidden="false" customHeight="false" outlineLevel="0" collapsed="false">
      <c r="A672" s="6" t="n">
        <v>64</v>
      </c>
      <c r="B672" s="6" t="s">
        <v>298</v>
      </c>
      <c r="C672" s="6" t="s">
        <v>373</v>
      </c>
      <c r="D672" s="6" t="s">
        <v>190</v>
      </c>
      <c r="E672" s="6" t="s">
        <v>58</v>
      </c>
      <c r="F672" s="6" t="str">
        <f aca="false">INDEX(Items!$B$5:$B$62,MATCH($E672,Items!$A$5:$A$62,0))</f>
        <v>DISPOSABLES &amp; CLINIC CONSUMABLES</v>
      </c>
      <c r="G672" s="6" t="str">
        <f aca="false">INDEX(Items!$C$5:$C$62,MATCH($E672,Items!$A$5:$A$62,0))</f>
        <v>Bulk</v>
      </c>
      <c r="H672" s="6" t="s">
        <v>161</v>
      </c>
      <c r="I672" s="6" t="s">
        <v>191</v>
      </c>
      <c r="J672" s="6" t="n">
        <f aca="false">SUMIFS(Kits!$C$5:$C$163,Kits!$A$5:$A$163,$D672,Kits!$B$5:$B$163,$E672)</f>
        <v>4</v>
      </c>
      <c r="K672" s="6" t="n">
        <f aca="false">INDEX(Services!$F$5:$F$85,MATCH($A672,Services!$A$5:$A$85,0))</f>
        <v>1</v>
      </c>
      <c r="L672" s="6" t="n">
        <f aca="false">IF($H672="Auto-deduct",IF($G672="Countable",ROUNDUP($J672*IF($I672="Y",$K672,1),0),ROUND($J672*IF($I672="Y",$K672,1),1)),$J672)</f>
        <v>4</v>
      </c>
      <c r="M672" s="6" t="str">
        <f aca="false">INDEX(Items!$E$5:$E$62,MATCH($E672,Items!$A$5:$A$62,0))</f>
        <v>sheet</v>
      </c>
      <c r="N672" s="6" t="n">
        <f aca="false">ROUND($L672/INDEX(Items!$F$5:$F$62,MATCH($E672,Items!$A$5:$A$62,0)),4)</f>
        <v>0.02</v>
      </c>
      <c r="O672" s="6"/>
    </row>
    <row r="673" customFormat="false" ht="15" hidden="false" customHeight="false" outlineLevel="0" collapsed="false">
      <c r="A673" s="6" t="n">
        <v>64</v>
      </c>
      <c r="B673" s="6" t="s">
        <v>298</v>
      </c>
      <c r="C673" s="6" t="s">
        <v>373</v>
      </c>
      <c r="D673" s="6" t="s">
        <v>190</v>
      </c>
      <c r="E673" s="6" t="s">
        <v>86</v>
      </c>
      <c r="F673" s="6" t="str">
        <f aca="false">INDEX(Items!$B$5:$B$62,MATCH($E673,Items!$A$5:$A$62,0))</f>
        <v>DISPOSABLES &amp; CLINIC CONSUMABLES</v>
      </c>
      <c r="G673" s="6" t="str">
        <f aca="false">INDEX(Items!$C$5:$C$62,MATCH($E673,Items!$A$5:$A$62,0))</f>
        <v>Bulk</v>
      </c>
      <c r="H673" s="6" t="s">
        <v>161</v>
      </c>
      <c r="I673" s="6" t="s">
        <v>191</v>
      </c>
      <c r="J673" s="6" t="n">
        <f aca="false">SUMIFS(Kits!$C$5:$C$163,Kits!$A$5:$A$163,$D673,Kits!$B$5:$B$163,$E673)</f>
        <v>2</v>
      </c>
      <c r="K673" s="6" t="n">
        <f aca="false">INDEX(Services!$F$5:$F$85,MATCH($A673,Services!$A$5:$A$85,0))</f>
        <v>1</v>
      </c>
      <c r="L673" s="6" t="n">
        <f aca="false">IF($H673="Auto-deduct",IF($G673="Countable",ROUNDUP($J673*IF($I673="Y",$K673,1),0),ROUND($J673*IF($I673="Y",$K673,1),1)),$J673)</f>
        <v>2</v>
      </c>
      <c r="M673" s="6" t="str">
        <f aca="false">INDEX(Items!$E$5:$E$62,MATCH($E673,Items!$A$5:$A$62,0))</f>
        <v>pc</v>
      </c>
      <c r="N673" s="6" t="n">
        <f aca="false">ROUND($L673/INDEX(Items!$F$5:$F$62,MATCH($E673,Items!$A$5:$A$62,0)),4)</f>
        <v>0.025</v>
      </c>
      <c r="O673" s="6"/>
    </row>
    <row r="674" customFormat="false" ht="15" hidden="false" customHeight="false" outlineLevel="0" collapsed="false">
      <c r="A674" s="6" t="n">
        <v>64</v>
      </c>
      <c r="B674" s="6" t="s">
        <v>298</v>
      </c>
      <c r="C674" s="6" t="s">
        <v>373</v>
      </c>
      <c r="D674" s="6" t="s">
        <v>190</v>
      </c>
      <c r="E674" s="6" t="s">
        <v>110</v>
      </c>
      <c r="F674" s="6" t="str">
        <f aca="false">INDEX(Items!$B$5:$B$62,MATCH($E674,Items!$A$5:$A$62,0))</f>
        <v>FACIAL TREATMENT PRODUCTS (PROFESSIONAL USE)</v>
      </c>
      <c r="G674" s="6" t="str">
        <f aca="false">INDEX(Items!$C$5:$C$62,MATCH($E674,Items!$A$5:$A$62,0))</f>
        <v>Bulk</v>
      </c>
      <c r="H674" s="6" t="s">
        <v>161</v>
      </c>
      <c r="I674" s="6" t="s">
        <v>191</v>
      </c>
      <c r="J674" s="6" t="n">
        <f aca="false">SUMIFS(Kits!$C$5:$C$163,Kits!$A$5:$A$163,$D674,Kits!$B$5:$B$163,$E674)</f>
        <v>20</v>
      </c>
      <c r="K674" s="6" t="n">
        <f aca="false">INDEX(Services!$F$5:$F$85,MATCH($A674,Services!$A$5:$A$85,0))</f>
        <v>1</v>
      </c>
      <c r="L674" s="6" t="n">
        <f aca="false">IF($H674="Auto-deduct",IF($G674="Countable",ROUNDUP($J674*IF($I674="Y",$K674,1),0),ROUND($J674*IF($I674="Y",$K674,1),1)),$J674)</f>
        <v>20</v>
      </c>
      <c r="M674" s="6" t="str">
        <f aca="false">INDEX(Items!$E$5:$E$62,MATCH($E674,Items!$A$5:$A$62,0))</f>
        <v>g</v>
      </c>
      <c r="N674" s="6" t="n">
        <f aca="false">ROUND($L674/INDEX(Items!$F$5:$F$62,MATCH($E674,Items!$A$5:$A$62,0)),4)</f>
        <v>0.04</v>
      </c>
      <c r="O674" s="6"/>
    </row>
    <row r="675" customFormat="false" ht="15" hidden="false" customHeight="false" outlineLevel="0" collapsed="false">
      <c r="A675" s="6" t="n">
        <v>64</v>
      </c>
      <c r="B675" s="6" t="s">
        <v>298</v>
      </c>
      <c r="C675" s="6" t="s">
        <v>373</v>
      </c>
      <c r="D675" s="6" t="s">
        <v>190</v>
      </c>
      <c r="E675" s="6" t="s">
        <v>135</v>
      </c>
      <c r="F675" s="6" t="str">
        <f aca="false">INDEX(Items!$B$5:$B$62,MATCH($E675,Items!$A$5:$A$62,0))</f>
        <v>SKINCARE PRODUCTS (RETAIL / AFTERCARE)</v>
      </c>
      <c r="G675" s="6" t="str">
        <f aca="false">INDEX(Items!$C$5:$C$62,MATCH($E675,Items!$A$5:$A$62,0))</f>
        <v>Bulk</v>
      </c>
      <c r="H675" s="6" t="s">
        <v>161</v>
      </c>
      <c r="I675" s="6" t="s">
        <v>191</v>
      </c>
      <c r="J675" s="6" t="n">
        <f aca="false">SUMIFS(Kits!$C$5:$C$163,Kits!$A$5:$A$163,$D675,Kits!$B$5:$B$163,$E675)</f>
        <v>3</v>
      </c>
      <c r="K675" s="6" t="n">
        <f aca="false">INDEX(Services!$F$5:$F$85,MATCH($A675,Services!$A$5:$A$85,0))</f>
        <v>1</v>
      </c>
      <c r="L675" s="6" t="n">
        <f aca="false">IF($H675="Auto-deduct",IF($G675="Countable",ROUNDUP($J675*IF($I675="Y",$K675,1),0),ROUND($J675*IF($I675="Y",$K675,1),1)),$J675)</f>
        <v>3</v>
      </c>
      <c r="M675" s="6" t="str">
        <f aca="false">INDEX(Items!$E$5:$E$62,MATCH($E675,Items!$A$5:$A$62,0))</f>
        <v>g</v>
      </c>
      <c r="N675" s="6" t="n">
        <f aca="false">ROUND($L675/INDEX(Items!$F$5:$F$62,MATCH($E675,Items!$A$5:$A$62,0)),4)</f>
        <v>0.06</v>
      </c>
      <c r="O675" s="6"/>
    </row>
    <row r="676" customFormat="false" ht="15" hidden="false" customHeight="false" outlineLevel="0" collapsed="false">
      <c r="A676" s="6" t="n">
        <v>64</v>
      </c>
      <c r="B676" s="6" t="s">
        <v>298</v>
      </c>
      <c r="C676" s="6" t="s">
        <v>373</v>
      </c>
      <c r="D676" s="6" t="s">
        <v>190</v>
      </c>
      <c r="E676" s="6" t="s">
        <v>129</v>
      </c>
      <c r="F676" s="6" t="str">
        <f aca="false">INDEX(Items!$B$5:$B$62,MATCH($E676,Items!$A$5:$A$62,0))</f>
        <v>SKINCARE PRODUCTS (RETAIL / AFTERCARE)</v>
      </c>
      <c r="G676" s="6" t="str">
        <f aca="false">INDEX(Items!$C$5:$C$62,MATCH($E676,Items!$A$5:$A$62,0))</f>
        <v>Countable</v>
      </c>
      <c r="H676" s="6" t="s">
        <v>185</v>
      </c>
      <c r="I676" s="6" t="s">
        <v>160</v>
      </c>
      <c r="J676" s="6" t="n">
        <f aca="false">SUMIFS(Kits!$C$5:$C$163,Kits!$A$5:$A$163,$D676,Kits!$B$5:$B$163,$E676)</f>
        <v>1</v>
      </c>
      <c r="K676" s="6" t="n">
        <f aca="false">INDEX(Services!$F$5:$F$85,MATCH($A676,Services!$A$5:$A$85,0))</f>
        <v>1</v>
      </c>
      <c r="L676" s="6" t="n">
        <f aca="false">IF($H676="Auto-deduct",IF($G676="Countable",ROUNDUP($J676*IF($I676="Y",$K676,1),0),ROUND($J676*IF($I676="Y",$K676,1),1)),$J676)</f>
        <v>1</v>
      </c>
      <c r="M676" s="6" t="str">
        <f aca="false">INDEX(Items!$E$5:$E$62,MATCH($E676,Items!$A$5:$A$62,0))</f>
        <v>tube</v>
      </c>
      <c r="N676" s="6" t="n">
        <f aca="false">ROUND($L676/INDEX(Items!$F$5:$F$62,MATCH($E676,Items!$A$5:$A$62,0)),4)</f>
        <v>1</v>
      </c>
      <c r="O676" s="6"/>
    </row>
    <row r="677" customFormat="false" ht="15" hidden="false" customHeight="false" outlineLevel="0" collapsed="false">
      <c r="A677" s="6" t="n">
        <v>65</v>
      </c>
      <c r="B677" s="6" t="s">
        <v>281</v>
      </c>
      <c r="C677" s="6" t="s">
        <v>373</v>
      </c>
      <c r="D677" s="6" t="s">
        <v>159</v>
      </c>
      <c r="E677" s="6" t="s">
        <v>52</v>
      </c>
      <c r="F677" s="6" t="str">
        <f aca="false">INDEX(Items!$B$5:$B$62,MATCH($E677,Items!$A$5:$A$62,0))</f>
        <v>DISPOSABLES &amp; CLINIC CONSUMABLES</v>
      </c>
      <c r="G677" s="6" t="str">
        <f aca="false">INDEX(Items!$C$5:$C$62,MATCH($E677,Items!$A$5:$A$62,0))</f>
        <v>Countable</v>
      </c>
      <c r="H677" s="6" t="s">
        <v>161</v>
      </c>
      <c r="I677" s="6" t="s">
        <v>160</v>
      </c>
      <c r="J677" s="6" t="n">
        <f aca="false">SUMIFS(Kits!$C$5:$C$163,Kits!$A$5:$A$163,$D677,Kits!$B$5:$B$163,$E677)</f>
        <v>1</v>
      </c>
      <c r="K677" s="6" t="n">
        <f aca="false">INDEX(Services!$F$5:$F$85,MATCH($A677,Services!$A$5:$A$85,0))</f>
        <v>1</v>
      </c>
      <c r="L677" s="6" t="n">
        <f aca="false">IF($H677="Auto-deduct",IF($G677="Countable",ROUNDUP($J677*IF($I677="Y",$K677,1),0),ROUND($J677*IF($I677="Y",$K677,1),1)),$J677)</f>
        <v>1</v>
      </c>
      <c r="M677" s="6" t="str">
        <f aca="false">INDEX(Items!$E$5:$E$62,MATCH($E677,Items!$A$5:$A$62,0))</f>
        <v>pc</v>
      </c>
      <c r="N677" s="6" t="n">
        <f aca="false">ROUND($L677/INDEX(Items!$F$5:$F$62,MATCH($E677,Items!$A$5:$A$62,0)),4)</f>
        <v>1</v>
      </c>
      <c r="O677" s="6"/>
    </row>
    <row r="678" customFormat="false" ht="15" hidden="false" customHeight="false" outlineLevel="0" collapsed="false">
      <c r="A678" s="6" t="n">
        <v>65</v>
      </c>
      <c r="B678" s="6" t="s">
        <v>281</v>
      </c>
      <c r="C678" s="6" t="s">
        <v>373</v>
      </c>
      <c r="D678" s="6" t="s">
        <v>159</v>
      </c>
      <c r="E678" s="6" t="s">
        <v>53</v>
      </c>
      <c r="F678" s="6" t="str">
        <f aca="false">INDEX(Items!$B$5:$B$62,MATCH($E678,Items!$A$5:$A$62,0))</f>
        <v>DISPOSABLES &amp; CLINIC CONSUMABLES</v>
      </c>
      <c r="G678" s="6" t="str">
        <f aca="false">INDEX(Items!$C$5:$C$62,MATCH($E678,Items!$A$5:$A$62,0))</f>
        <v>Countable</v>
      </c>
      <c r="H678" s="6" t="s">
        <v>161</v>
      </c>
      <c r="I678" s="6" t="s">
        <v>160</v>
      </c>
      <c r="J678" s="6" t="n">
        <f aca="false">SUMIFS(Kits!$C$5:$C$163,Kits!$A$5:$A$163,$D678,Kits!$B$5:$B$163,$E678)</f>
        <v>1</v>
      </c>
      <c r="K678" s="6" t="n">
        <f aca="false">INDEX(Services!$F$5:$F$85,MATCH($A678,Services!$A$5:$A$85,0))</f>
        <v>1</v>
      </c>
      <c r="L678" s="6" t="n">
        <f aca="false">IF($H678="Auto-deduct",IF($G678="Countable",ROUNDUP($J678*IF($I678="Y",$K678,1),0),ROUND($J678*IF($I678="Y",$K678,1),1)),$J678)</f>
        <v>1</v>
      </c>
      <c r="M678" s="6" t="str">
        <f aca="false">INDEX(Items!$E$5:$E$62,MATCH($E678,Items!$A$5:$A$62,0))</f>
        <v>pair</v>
      </c>
      <c r="N678" s="6" t="n">
        <f aca="false">ROUND($L678/INDEX(Items!$F$5:$F$62,MATCH($E678,Items!$A$5:$A$62,0)),4)</f>
        <v>1</v>
      </c>
      <c r="O678" s="6"/>
    </row>
    <row r="679" customFormat="false" ht="15" hidden="false" customHeight="false" outlineLevel="0" collapsed="false">
      <c r="A679" s="6" t="n">
        <v>65</v>
      </c>
      <c r="B679" s="6" t="s">
        <v>281</v>
      </c>
      <c r="C679" s="6" t="s">
        <v>373</v>
      </c>
      <c r="D679" s="6" t="s">
        <v>159</v>
      </c>
      <c r="E679" s="6" t="s">
        <v>88</v>
      </c>
      <c r="F679" s="6" t="str">
        <f aca="false">INDEX(Items!$B$5:$B$62,MATCH($E679,Items!$A$5:$A$62,0))</f>
        <v>DISPOSABLES &amp; CLINIC CONSUMABLES</v>
      </c>
      <c r="G679" s="6" t="str">
        <f aca="false">INDEX(Items!$C$5:$C$62,MATCH($E679,Items!$A$5:$A$62,0))</f>
        <v>Bulk</v>
      </c>
      <c r="H679" s="6" t="s">
        <v>161</v>
      </c>
      <c r="I679" s="6" t="s">
        <v>160</v>
      </c>
      <c r="J679" s="6" t="n">
        <f aca="false">SUMIFS(Kits!$C$5:$C$163,Kits!$A$5:$A$163,$D679,Kits!$B$5:$B$163,$E679)</f>
        <v>5</v>
      </c>
      <c r="K679" s="6" t="n">
        <f aca="false">INDEX(Services!$F$5:$F$85,MATCH($A679,Services!$A$5:$A$85,0))</f>
        <v>1</v>
      </c>
      <c r="L679" s="6" t="n">
        <f aca="false">IF($H679="Auto-deduct",IF($G679="Countable",ROUNDUP($J679*IF($I679="Y",$K679,1),0),ROUND($J679*IF($I679="Y",$K679,1),1)),$J679)</f>
        <v>5</v>
      </c>
      <c r="M679" s="6" t="str">
        <f aca="false">INDEX(Items!$E$5:$E$62,MATCH($E679,Items!$A$5:$A$62,0))</f>
        <v>mL</v>
      </c>
      <c r="N679" s="6" t="n">
        <f aca="false">ROUND($L679/INDEX(Items!$F$5:$F$62,MATCH($E679,Items!$A$5:$A$62,0)),4)</f>
        <v>0.01</v>
      </c>
      <c r="O679" s="6"/>
    </row>
    <row r="680" customFormat="false" ht="15" hidden="false" customHeight="false" outlineLevel="0" collapsed="false">
      <c r="A680" s="6" t="n">
        <v>65</v>
      </c>
      <c r="B680" s="6" t="s">
        <v>281</v>
      </c>
      <c r="C680" s="6" t="s">
        <v>373</v>
      </c>
      <c r="D680" s="6" t="s">
        <v>190</v>
      </c>
      <c r="E680" s="6" t="s">
        <v>95</v>
      </c>
      <c r="F680" s="6" t="str">
        <f aca="false">INDEX(Items!$B$5:$B$62,MATCH($E680,Items!$A$5:$A$62,0))</f>
        <v>FACIAL / TREATMENT PREP PRODUCTS</v>
      </c>
      <c r="G680" s="6" t="str">
        <f aca="false">INDEX(Items!$C$5:$C$62,MATCH($E680,Items!$A$5:$A$62,0))</f>
        <v>Bulk</v>
      </c>
      <c r="H680" s="6" t="s">
        <v>161</v>
      </c>
      <c r="I680" s="6" t="s">
        <v>191</v>
      </c>
      <c r="J680" s="6" t="n">
        <f aca="false">SUMIFS(Kits!$C$5:$C$163,Kits!$A$5:$A$163,$D680,Kits!$B$5:$B$163,$E680)</f>
        <v>5</v>
      </c>
      <c r="K680" s="6" t="n">
        <f aca="false">INDEX(Services!$F$5:$F$85,MATCH($A680,Services!$A$5:$A$85,0))</f>
        <v>1</v>
      </c>
      <c r="L680" s="6" t="n">
        <f aca="false">IF($H680="Auto-deduct",IF($G680="Countable",ROUNDUP($J680*IF($I680="Y",$K680,1),0),ROUND($J680*IF($I680="Y",$K680,1),1)),$J680)</f>
        <v>5</v>
      </c>
      <c r="M680" s="6" t="str">
        <f aca="false">INDEX(Items!$E$5:$E$62,MATCH($E680,Items!$A$5:$A$62,0))</f>
        <v>mL</v>
      </c>
      <c r="N680" s="6" t="n">
        <f aca="false">ROUND($L680/INDEX(Items!$F$5:$F$62,MATCH($E680,Items!$A$5:$A$62,0)),4)</f>
        <v>0.01</v>
      </c>
      <c r="O680" s="6"/>
    </row>
    <row r="681" customFormat="false" ht="15" hidden="false" customHeight="false" outlineLevel="0" collapsed="false">
      <c r="A681" s="6" t="n">
        <v>65</v>
      </c>
      <c r="B681" s="6" t="s">
        <v>281</v>
      </c>
      <c r="C681" s="6" t="s">
        <v>373</v>
      </c>
      <c r="D681" s="6" t="s">
        <v>190</v>
      </c>
      <c r="E681" s="6" t="s">
        <v>69</v>
      </c>
      <c r="F681" s="6" t="str">
        <f aca="false">INDEX(Items!$B$5:$B$62,MATCH($E681,Items!$A$5:$A$62,0))</f>
        <v>DISPOSABLES &amp; CLINIC CONSUMABLES</v>
      </c>
      <c r="G681" s="6" t="str">
        <f aca="false">INDEX(Items!$C$5:$C$62,MATCH($E681,Items!$A$5:$A$62,0))</f>
        <v>Bulk</v>
      </c>
      <c r="H681" s="6" t="s">
        <v>161</v>
      </c>
      <c r="I681" s="6" t="s">
        <v>191</v>
      </c>
      <c r="J681" s="6" t="n">
        <f aca="false">SUMIFS(Kits!$C$5:$C$163,Kits!$A$5:$A$163,$D681,Kits!$B$5:$B$163,$E681)</f>
        <v>5</v>
      </c>
      <c r="K681" s="6" t="n">
        <f aca="false">INDEX(Services!$F$5:$F$85,MATCH($A681,Services!$A$5:$A$85,0))</f>
        <v>1</v>
      </c>
      <c r="L681" s="6" t="n">
        <f aca="false">IF($H681="Auto-deduct",IF($G681="Countable",ROUNDUP($J681*IF($I681="Y",$K681,1),0),ROUND($J681*IF($I681="Y",$K681,1),1)),$J681)</f>
        <v>5</v>
      </c>
      <c r="M681" s="6" t="str">
        <f aca="false">INDEX(Items!$E$5:$E$62,MATCH($E681,Items!$A$5:$A$62,0))</f>
        <v>g</v>
      </c>
      <c r="N681" s="6" t="n">
        <f aca="false">ROUND($L681/INDEX(Items!$F$5:$F$62,MATCH($E681,Items!$A$5:$A$62,0)),4)</f>
        <v>0.0125</v>
      </c>
      <c r="O681" s="6"/>
    </row>
    <row r="682" customFormat="false" ht="15" hidden="false" customHeight="false" outlineLevel="0" collapsed="false">
      <c r="A682" s="6" t="n">
        <v>65</v>
      </c>
      <c r="B682" s="6" t="s">
        <v>281</v>
      </c>
      <c r="C682" s="6" t="s">
        <v>373</v>
      </c>
      <c r="D682" s="6" t="s">
        <v>190</v>
      </c>
      <c r="E682" s="6" t="s">
        <v>72</v>
      </c>
      <c r="F682" s="6" t="str">
        <f aca="false">INDEX(Items!$B$5:$B$62,MATCH($E682,Items!$A$5:$A$62,0))</f>
        <v>DISPOSABLES &amp; CLINIC CONSUMABLES</v>
      </c>
      <c r="G682" s="6" t="str">
        <f aca="false">INDEX(Items!$C$5:$C$62,MATCH($E682,Items!$A$5:$A$62,0))</f>
        <v>Bulk</v>
      </c>
      <c r="H682" s="6" t="s">
        <v>161</v>
      </c>
      <c r="I682" s="6" t="s">
        <v>191</v>
      </c>
      <c r="J682" s="6" t="n">
        <f aca="false">SUMIFS(Kits!$C$5:$C$163,Kits!$A$5:$A$163,$D682,Kits!$B$5:$B$163,$E682)</f>
        <v>6</v>
      </c>
      <c r="K682" s="6" t="n">
        <f aca="false">INDEX(Services!$F$5:$F$85,MATCH($A682,Services!$A$5:$A$85,0))</f>
        <v>1</v>
      </c>
      <c r="L682" s="6" t="n">
        <f aca="false">IF($H682="Auto-deduct",IF($G682="Countable",ROUNDUP($J682*IF($I682="Y",$K682,1),0),ROUND($J682*IF($I682="Y",$K682,1),1)),$J682)</f>
        <v>6</v>
      </c>
      <c r="M682" s="6" t="str">
        <f aca="false">INDEX(Items!$E$5:$E$62,MATCH($E682,Items!$A$5:$A$62,0))</f>
        <v>pc</v>
      </c>
      <c r="N682" s="6" t="n">
        <f aca="false">ROUND($L682/INDEX(Items!$F$5:$F$62,MATCH($E682,Items!$A$5:$A$62,0)),4)</f>
        <v>0.06</v>
      </c>
      <c r="O682" s="6"/>
    </row>
    <row r="683" customFormat="false" ht="15" hidden="false" customHeight="false" outlineLevel="0" collapsed="false">
      <c r="A683" s="6" t="n">
        <v>65</v>
      </c>
      <c r="B683" s="6" t="s">
        <v>281</v>
      </c>
      <c r="C683" s="6" t="s">
        <v>373</v>
      </c>
      <c r="D683" s="6" t="s">
        <v>190</v>
      </c>
      <c r="E683" s="6" t="s">
        <v>81</v>
      </c>
      <c r="F683" s="6" t="str">
        <f aca="false">INDEX(Items!$B$5:$B$62,MATCH($E683,Items!$A$5:$A$62,0))</f>
        <v>DISPOSABLES &amp; CLINIC CONSUMABLES</v>
      </c>
      <c r="G683" s="6" t="str">
        <f aca="false">INDEX(Items!$C$5:$C$62,MATCH($E683,Items!$A$5:$A$62,0))</f>
        <v>Bulk</v>
      </c>
      <c r="H683" s="6" t="s">
        <v>161</v>
      </c>
      <c r="I683" s="6" t="s">
        <v>191</v>
      </c>
      <c r="J683" s="6" t="n">
        <f aca="false">SUMIFS(Kits!$C$5:$C$163,Kits!$A$5:$A$163,$D683,Kits!$B$5:$B$163,$E683)</f>
        <v>4</v>
      </c>
      <c r="K683" s="6" t="n">
        <f aca="false">INDEX(Services!$F$5:$F$85,MATCH($A683,Services!$A$5:$A$85,0))</f>
        <v>1</v>
      </c>
      <c r="L683" s="6" t="n">
        <f aca="false">IF($H683="Auto-deduct",IF($G683="Countable",ROUNDUP($J683*IF($I683="Y",$K683,1),0),ROUND($J683*IF($I683="Y",$K683,1),1)),$J683)</f>
        <v>4</v>
      </c>
      <c r="M683" s="6" t="str">
        <f aca="false">INDEX(Items!$E$5:$E$62,MATCH($E683,Items!$A$5:$A$62,0))</f>
        <v>pc</v>
      </c>
      <c r="N683" s="6" t="n">
        <f aca="false">ROUND($L683/INDEX(Items!$F$5:$F$62,MATCH($E683,Items!$A$5:$A$62,0)),4)</f>
        <v>0.04</v>
      </c>
      <c r="O683" s="6"/>
    </row>
    <row r="684" customFormat="false" ht="15" hidden="false" customHeight="false" outlineLevel="0" collapsed="false">
      <c r="A684" s="6" t="n">
        <v>65</v>
      </c>
      <c r="B684" s="6" t="s">
        <v>281</v>
      </c>
      <c r="C684" s="6" t="s">
        <v>373</v>
      </c>
      <c r="D684" s="6" t="s">
        <v>190</v>
      </c>
      <c r="E684" s="6" t="s">
        <v>58</v>
      </c>
      <c r="F684" s="6" t="str">
        <f aca="false">INDEX(Items!$B$5:$B$62,MATCH($E684,Items!$A$5:$A$62,0))</f>
        <v>DISPOSABLES &amp; CLINIC CONSUMABLES</v>
      </c>
      <c r="G684" s="6" t="str">
        <f aca="false">INDEX(Items!$C$5:$C$62,MATCH($E684,Items!$A$5:$A$62,0))</f>
        <v>Bulk</v>
      </c>
      <c r="H684" s="6" t="s">
        <v>161</v>
      </c>
      <c r="I684" s="6" t="s">
        <v>191</v>
      </c>
      <c r="J684" s="6" t="n">
        <f aca="false">SUMIFS(Kits!$C$5:$C$163,Kits!$A$5:$A$163,$D684,Kits!$B$5:$B$163,$E684)</f>
        <v>4</v>
      </c>
      <c r="K684" s="6" t="n">
        <f aca="false">INDEX(Services!$F$5:$F$85,MATCH($A684,Services!$A$5:$A$85,0))</f>
        <v>1</v>
      </c>
      <c r="L684" s="6" t="n">
        <f aca="false">IF($H684="Auto-deduct",IF($G684="Countable",ROUNDUP($J684*IF($I684="Y",$K684,1),0),ROUND($J684*IF($I684="Y",$K684,1),1)),$J684)</f>
        <v>4</v>
      </c>
      <c r="M684" s="6" t="str">
        <f aca="false">INDEX(Items!$E$5:$E$62,MATCH($E684,Items!$A$5:$A$62,0))</f>
        <v>sheet</v>
      </c>
      <c r="N684" s="6" t="n">
        <f aca="false">ROUND($L684/INDEX(Items!$F$5:$F$62,MATCH($E684,Items!$A$5:$A$62,0)),4)</f>
        <v>0.02</v>
      </c>
      <c r="O684" s="6"/>
    </row>
    <row r="685" customFormat="false" ht="15" hidden="false" customHeight="false" outlineLevel="0" collapsed="false">
      <c r="A685" s="6" t="n">
        <v>65</v>
      </c>
      <c r="B685" s="6" t="s">
        <v>281</v>
      </c>
      <c r="C685" s="6" t="s">
        <v>373</v>
      </c>
      <c r="D685" s="6" t="s">
        <v>190</v>
      </c>
      <c r="E685" s="6" t="s">
        <v>86</v>
      </c>
      <c r="F685" s="6" t="str">
        <f aca="false">INDEX(Items!$B$5:$B$62,MATCH($E685,Items!$A$5:$A$62,0))</f>
        <v>DISPOSABLES &amp; CLINIC CONSUMABLES</v>
      </c>
      <c r="G685" s="6" t="str">
        <f aca="false">INDEX(Items!$C$5:$C$62,MATCH($E685,Items!$A$5:$A$62,0))</f>
        <v>Bulk</v>
      </c>
      <c r="H685" s="6" t="s">
        <v>161</v>
      </c>
      <c r="I685" s="6" t="s">
        <v>191</v>
      </c>
      <c r="J685" s="6" t="n">
        <f aca="false">SUMIFS(Kits!$C$5:$C$163,Kits!$A$5:$A$163,$D685,Kits!$B$5:$B$163,$E685)</f>
        <v>2</v>
      </c>
      <c r="K685" s="6" t="n">
        <f aca="false">INDEX(Services!$F$5:$F$85,MATCH($A685,Services!$A$5:$A$85,0))</f>
        <v>1</v>
      </c>
      <c r="L685" s="6" t="n">
        <f aca="false">IF($H685="Auto-deduct",IF($G685="Countable",ROUNDUP($J685*IF($I685="Y",$K685,1),0),ROUND($J685*IF($I685="Y",$K685,1),1)),$J685)</f>
        <v>2</v>
      </c>
      <c r="M685" s="6" t="str">
        <f aca="false">INDEX(Items!$E$5:$E$62,MATCH($E685,Items!$A$5:$A$62,0))</f>
        <v>pc</v>
      </c>
      <c r="N685" s="6" t="n">
        <f aca="false">ROUND($L685/INDEX(Items!$F$5:$F$62,MATCH($E685,Items!$A$5:$A$62,0)),4)</f>
        <v>0.025</v>
      </c>
      <c r="O685" s="6"/>
    </row>
    <row r="686" customFormat="false" ht="15" hidden="false" customHeight="false" outlineLevel="0" collapsed="false">
      <c r="A686" s="6" t="n">
        <v>65</v>
      </c>
      <c r="B686" s="6" t="s">
        <v>281</v>
      </c>
      <c r="C686" s="6" t="s">
        <v>373</v>
      </c>
      <c r="D686" s="6" t="s">
        <v>190</v>
      </c>
      <c r="E686" s="6" t="s">
        <v>110</v>
      </c>
      <c r="F686" s="6" t="str">
        <f aca="false">INDEX(Items!$B$5:$B$62,MATCH($E686,Items!$A$5:$A$62,0))</f>
        <v>FACIAL TREATMENT PRODUCTS (PROFESSIONAL USE)</v>
      </c>
      <c r="G686" s="6" t="str">
        <f aca="false">INDEX(Items!$C$5:$C$62,MATCH($E686,Items!$A$5:$A$62,0))</f>
        <v>Bulk</v>
      </c>
      <c r="H686" s="6" t="s">
        <v>161</v>
      </c>
      <c r="I686" s="6" t="s">
        <v>191</v>
      </c>
      <c r="J686" s="6" t="n">
        <f aca="false">SUMIFS(Kits!$C$5:$C$163,Kits!$A$5:$A$163,$D686,Kits!$B$5:$B$163,$E686)</f>
        <v>20</v>
      </c>
      <c r="K686" s="6" t="n">
        <f aca="false">INDEX(Services!$F$5:$F$85,MATCH($A686,Services!$A$5:$A$85,0))</f>
        <v>1</v>
      </c>
      <c r="L686" s="6" t="n">
        <f aca="false">IF($H686="Auto-deduct",IF($G686="Countable",ROUNDUP($J686*IF($I686="Y",$K686,1),0),ROUND($J686*IF($I686="Y",$K686,1),1)),$J686)</f>
        <v>20</v>
      </c>
      <c r="M686" s="6" t="str">
        <f aca="false">INDEX(Items!$E$5:$E$62,MATCH($E686,Items!$A$5:$A$62,0))</f>
        <v>g</v>
      </c>
      <c r="N686" s="6" t="n">
        <f aca="false">ROUND($L686/INDEX(Items!$F$5:$F$62,MATCH($E686,Items!$A$5:$A$62,0)),4)</f>
        <v>0.04</v>
      </c>
      <c r="O686" s="6"/>
    </row>
    <row r="687" customFormat="false" ht="15" hidden="false" customHeight="false" outlineLevel="0" collapsed="false">
      <c r="A687" s="6" t="n">
        <v>65</v>
      </c>
      <c r="B687" s="6" t="s">
        <v>281</v>
      </c>
      <c r="C687" s="6" t="s">
        <v>373</v>
      </c>
      <c r="D687" s="6" t="s">
        <v>190</v>
      </c>
      <c r="E687" s="6" t="s">
        <v>135</v>
      </c>
      <c r="F687" s="6" t="str">
        <f aca="false">INDEX(Items!$B$5:$B$62,MATCH($E687,Items!$A$5:$A$62,0))</f>
        <v>SKINCARE PRODUCTS (RETAIL / AFTERCARE)</v>
      </c>
      <c r="G687" s="6" t="str">
        <f aca="false">INDEX(Items!$C$5:$C$62,MATCH($E687,Items!$A$5:$A$62,0))</f>
        <v>Bulk</v>
      </c>
      <c r="H687" s="6" t="s">
        <v>161</v>
      </c>
      <c r="I687" s="6" t="s">
        <v>191</v>
      </c>
      <c r="J687" s="6" t="n">
        <f aca="false">SUMIFS(Kits!$C$5:$C$163,Kits!$A$5:$A$163,$D687,Kits!$B$5:$B$163,$E687)</f>
        <v>3</v>
      </c>
      <c r="K687" s="6" t="n">
        <f aca="false">INDEX(Services!$F$5:$F$85,MATCH($A687,Services!$A$5:$A$85,0))</f>
        <v>1</v>
      </c>
      <c r="L687" s="6" t="n">
        <f aca="false">IF($H687="Auto-deduct",IF($G687="Countable",ROUNDUP($J687*IF($I687="Y",$K687,1),0),ROUND($J687*IF($I687="Y",$K687,1),1)),$J687)</f>
        <v>3</v>
      </c>
      <c r="M687" s="6" t="str">
        <f aca="false">INDEX(Items!$E$5:$E$62,MATCH($E687,Items!$A$5:$A$62,0))</f>
        <v>g</v>
      </c>
      <c r="N687" s="6" t="n">
        <f aca="false">ROUND($L687/INDEX(Items!$F$5:$F$62,MATCH($E687,Items!$A$5:$A$62,0)),4)</f>
        <v>0.06</v>
      </c>
      <c r="O687" s="6"/>
    </row>
    <row r="688" customFormat="false" ht="15" hidden="false" customHeight="false" outlineLevel="0" collapsed="false">
      <c r="A688" s="6" t="n">
        <v>65</v>
      </c>
      <c r="B688" s="6" t="s">
        <v>281</v>
      </c>
      <c r="C688" s="6" t="s">
        <v>373</v>
      </c>
      <c r="D688" s="6" t="s">
        <v>190</v>
      </c>
      <c r="E688" s="6" t="s">
        <v>129</v>
      </c>
      <c r="F688" s="6" t="str">
        <f aca="false">INDEX(Items!$B$5:$B$62,MATCH($E688,Items!$A$5:$A$62,0))</f>
        <v>SKINCARE PRODUCTS (RETAIL / AFTERCARE)</v>
      </c>
      <c r="G688" s="6" t="str">
        <f aca="false">INDEX(Items!$C$5:$C$62,MATCH($E688,Items!$A$5:$A$62,0))</f>
        <v>Countable</v>
      </c>
      <c r="H688" s="6" t="s">
        <v>185</v>
      </c>
      <c r="I688" s="6" t="s">
        <v>160</v>
      </c>
      <c r="J688" s="6" t="n">
        <f aca="false">SUMIFS(Kits!$C$5:$C$163,Kits!$A$5:$A$163,$D688,Kits!$B$5:$B$163,$E688)</f>
        <v>1</v>
      </c>
      <c r="K688" s="6" t="n">
        <f aca="false">INDEX(Services!$F$5:$F$85,MATCH($A688,Services!$A$5:$A$85,0))</f>
        <v>1</v>
      </c>
      <c r="L688" s="6" t="n">
        <f aca="false">IF($H688="Auto-deduct",IF($G688="Countable",ROUNDUP($J688*IF($I688="Y",$K688,1),0),ROUND($J688*IF($I688="Y",$K688,1),1)),$J688)</f>
        <v>1</v>
      </c>
      <c r="M688" s="6" t="str">
        <f aca="false">INDEX(Items!$E$5:$E$62,MATCH($E688,Items!$A$5:$A$62,0))</f>
        <v>tube</v>
      </c>
      <c r="N688" s="6" t="n">
        <f aca="false">ROUND($L688/INDEX(Items!$F$5:$F$62,MATCH($E688,Items!$A$5:$A$62,0)),4)</f>
        <v>1</v>
      </c>
      <c r="O688" s="6"/>
    </row>
    <row r="689" customFormat="false" ht="15" hidden="false" customHeight="false" outlineLevel="0" collapsed="false">
      <c r="A689" s="6" t="n">
        <v>66</v>
      </c>
      <c r="B689" s="6" t="s">
        <v>379</v>
      </c>
      <c r="C689" s="6" t="s">
        <v>373</v>
      </c>
      <c r="D689" s="6" t="s">
        <v>159</v>
      </c>
      <c r="E689" s="6" t="s">
        <v>52</v>
      </c>
      <c r="F689" s="6" t="str">
        <f aca="false">INDEX(Items!$B$5:$B$62,MATCH($E689,Items!$A$5:$A$62,0))</f>
        <v>DISPOSABLES &amp; CLINIC CONSUMABLES</v>
      </c>
      <c r="G689" s="6" t="str">
        <f aca="false">INDEX(Items!$C$5:$C$62,MATCH($E689,Items!$A$5:$A$62,0))</f>
        <v>Countable</v>
      </c>
      <c r="H689" s="6" t="s">
        <v>161</v>
      </c>
      <c r="I689" s="6" t="s">
        <v>160</v>
      </c>
      <c r="J689" s="6" t="n">
        <f aca="false">SUMIFS(Kits!$C$5:$C$163,Kits!$A$5:$A$163,$D689,Kits!$B$5:$B$163,$E689)</f>
        <v>1</v>
      </c>
      <c r="K689" s="6" t="n">
        <f aca="false">INDEX(Services!$F$5:$F$85,MATCH($A689,Services!$A$5:$A$85,0))</f>
        <v>1</v>
      </c>
      <c r="L689" s="6" t="n">
        <f aca="false">IF($H689="Auto-deduct",IF($G689="Countable",ROUNDUP($J689*IF($I689="Y",$K689,1),0),ROUND($J689*IF($I689="Y",$K689,1),1)),$J689)</f>
        <v>1</v>
      </c>
      <c r="M689" s="6" t="str">
        <f aca="false">INDEX(Items!$E$5:$E$62,MATCH($E689,Items!$A$5:$A$62,0))</f>
        <v>pc</v>
      </c>
      <c r="N689" s="6" t="n">
        <f aca="false">ROUND($L689/INDEX(Items!$F$5:$F$62,MATCH($E689,Items!$A$5:$A$62,0)),4)</f>
        <v>1</v>
      </c>
      <c r="O689" s="6"/>
    </row>
    <row r="690" customFormat="false" ht="15" hidden="false" customHeight="false" outlineLevel="0" collapsed="false">
      <c r="A690" s="6" t="n">
        <v>66</v>
      </c>
      <c r="B690" s="6" t="s">
        <v>379</v>
      </c>
      <c r="C690" s="6" t="s">
        <v>373</v>
      </c>
      <c r="D690" s="6" t="s">
        <v>159</v>
      </c>
      <c r="E690" s="6" t="s">
        <v>53</v>
      </c>
      <c r="F690" s="6" t="str">
        <f aca="false">INDEX(Items!$B$5:$B$62,MATCH($E690,Items!$A$5:$A$62,0))</f>
        <v>DISPOSABLES &amp; CLINIC CONSUMABLES</v>
      </c>
      <c r="G690" s="6" t="str">
        <f aca="false">INDEX(Items!$C$5:$C$62,MATCH($E690,Items!$A$5:$A$62,0))</f>
        <v>Countable</v>
      </c>
      <c r="H690" s="6" t="s">
        <v>161</v>
      </c>
      <c r="I690" s="6" t="s">
        <v>160</v>
      </c>
      <c r="J690" s="6" t="n">
        <f aca="false">SUMIFS(Kits!$C$5:$C$163,Kits!$A$5:$A$163,$D690,Kits!$B$5:$B$163,$E690)</f>
        <v>1</v>
      </c>
      <c r="K690" s="6" t="n">
        <f aca="false">INDEX(Services!$F$5:$F$85,MATCH($A690,Services!$A$5:$A$85,0))</f>
        <v>1</v>
      </c>
      <c r="L690" s="6" t="n">
        <f aca="false">IF($H690="Auto-deduct",IF($G690="Countable",ROUNDUP($J690*IF($I690="Y",$K690,1),0),ROUND($J690*IF($I690="Y",$K690,1),1)),$J690)</f>
        <v>1</v>
      </c>
      <c r="M690" s="6" t="str">
        <f aca="false">INDEX(Items!$E$5:$E$62,MATCH($E690,Items!$A$5:$A$62,0))</f>
        <v>pair</v>
      </c>
      <c r="N690" s="6" t="n">
        <f aca="false">ROUND($L690/INDEX(Items!$F$5:$F$62,MATCH($E690,Items!$A$5:$A$62,0)),4)</f>
        <v>1</v>
      </c>
      <c r="O690" s="6"/>
    </row>
    <row r="691" customFormat="false" ht="15" hidden="false" customHeight="false" outlineLevel="0" collapsed="false">
      <c r="A691" s="6" t="n">
        <v>66</v>
      </c>
      <c r="B691" s="6" t="s">
        <v>379</v>
      </c>
      <c r="C691" s="6" t="s">
        <v>373</v>
      </c>
      <c r="D691" s="6" t="s">
        <v>159</v>
      </c>
      <c r="E691" s="6" t="s">
        <v>88</v>
      </c>
      <c r="F691" s="6" t="str">
        <f aca="false">INDEX(Items!$B$5:$B$62,MATCH($E691,Items!$A$5:$A$62,0))</f>
        <v>DISPOSABLES &amp; CLINIC CONSUMABLES</v>
      </c>
      <c r="G691" s="6" t="str">
        <f aca="false">INDEX(Items!$C$5:$C$62,MATCH($E691,Items!$A$5:$A$62,0))</f>
        <v>Bulk</v>
      </c>
      <c r="H691" s="6" t="s">
        <v>161</v>
      </c>
      <c r="I691" s="6" t="s">
        <v>160</v>
      </c>
      <c r="J691" s="6" t="n">
        <f aca="false">SUMIFS(Kits!$C$5:$C$163,Kits!$A$5:$A$163,$D691,Kits!$B$5:$B$163,$E691)</f>
        <v>5</v>
      </c>
      <c r="K691" s="6" t="n">
        <f aca="false">INDEX(Services!$F$5:$F$85,MATCH($A691,Services!$A$5:$A$85,0))</f>
        <v>1</v>
      </c>
      <c r="L691" s="6" t="n">
        <f aca="false">IF($H691="Auto-deduct",IF($G691="Countable",ROUNDUP($J691*IF($I691="Y",$K691,1),0),ROUND($J691*IF($I691="Y",$K691,1),1)),$J691)</f>
        <v>5</v>
      </c>
      <c r="M691" s="6" t="str">
        <f aca="false">INDEX(Items!$E$5:$E$62,MATCH($E691,Items!$A$5:$A$62,0))</f>
        <v>mL</v>
      </c>
      <c r="N691" s="6" t="n">
        <f aca="false">ROUND($L691/INDEX(Items!$F$5:$F$62,MATCH($E691,Items!$A$5:$A$62,0)),4)</f>
        <v>0.01</v>
      </c>
      <c r="O691" s="6"/>
    </row>
    <row r="692" customFormat="false" ht="15" hidden="false" customHeight="false" outlineLevel="0" collapsed="false">
      <c r="A692" s="6" t="n">
        <v>66</v>
      </c>
      <c r="B692" s="6" t="s">
        <v>379</v>
      </c>
      <c r="C692" s="6" t="s">
        <v>373</v>
      </c>
      <c r="D692" s="6" t="s">
        <v>190</v>
      </c>
      <c r="E692" s="6" t="s">
        <v>95</v>
      </c>
      <c r="F692" s="6" t="str">
        <f aca="false">INDEX(Items!$B$5:$B$62,MATCH($E692,Items!$A$5:$A$62,0))</f>
        <v>FACIAL / TREATMENT PREP PRODUCTS</v>
      </c>
      <c r="G692" s="6" t="str">
        <f aca="false">INDEX(Items!$C$5:$C$62,MATCH($E692,Items!$A$5:$A$62,0))</f>
        <v>Bulk</v>
      </c>
      <c r="H692" s="6" t="s">
        <v>161</v>
      </c>
      <c r="I692" s="6" t="s">
        <v>191</v>
      </c>
      <c r="J692" s="6" t="n">
        <f aca="false">SUMIFS(Kits!$C$5:$C$163,Kits!$A$5:$A$163,$D692,Kits!$B$5:$B$163,$E692)</f>
        <v>5</v>
      </c>
      <c r="K692" s="6" t="n">
        <f aca="false">INDEX(Services!$F$5:$F$85,MATCH($A692,Services!$A$5:$A$85,0))</f>
        <v>1</v>
      </c>
      <c r="L692" s="6" t="n">
        <f aca="false">IF($H692="Auto-deduct",IF($G692="Countable",ROUNDUP($J692*IF($I692="Y",$K692,1),0),ROUND($J692*IF($I692="Y",$K692,1),1)),$J692)</f>
        <v>5</v>
      </c>
      <c r="M692" s="6" t="str">
        <f aca="false">INDEX(Items!$E$5:$E$62,MATCH($E692,Items!$A$5:$A$62,0))</f>
        <v>mL</v>
      </c>
      <c r="N692" s="6" t="n">
        <f aca="false">ROUND($L692/INDEX(Items!$F$5:$F$62,MATCH($E692,Items!$A$5:$A$62,0)),4)</f>
        <v>0.01</v>
      </c>
      <c r="O692" s="6"/>
    </row>
    <row r="693" customFormat="false" ht="15" hidden="false" customHeight="false" outlineLevel="0" collapsed="false">
      <c r="A693" s="6" t="n">
        <v>66</v>
      </c>
      <c r="B693" s="6" t="s">
        <v>379</v>
      </c>
      <c r="C693" s="6" t="s">
        <v>373</v>
      </c>
      <c r="D693" s="6" t="s">
        <v>190</v>
      </c>
      <c r="E693" s="6" t="s">
        <v>69</v>
      </c>
      <c r="F693" s="6" t="str">
        <f aca="false">INDEX(Items!$B$5:$B$62,MATCH($E693,Items!$A$5:$A$62,0))</f>
        <v>DISPOSABLES &amp; CLINIC CONSUMABLES</v>
      </c>
      <c r="G693" s="6" t="str">
        <f aca="false">INDEX(Items!$C$5:$C$62,MATCH($E693,Items!$A$5:$A$62,0))</f>
        <v>Bulk</v>
      </c>
      <c r="H693" s="6" t="s">
        <v>161</v>
      </c>
      <c r="I693" s="6" t="s">
        <v>191</v>
      </c>
      <c r="J693" s="6" t="n">
        <f aca="false">SUMIFS(Kits!$C$5:$C$163,Kits!$A$5:$A$163,$D693,Kits!$B$5:$B$163,$E693)</f>
        <v>5</v>
      </c>
      <c r="K693" s="6" t="n">
        <f aca="false">INDEX(Services!$F$5:$F$85,MATCH($A693,Services!$A$5:$A$85,0))</f>
        <v>1</v>
      </c>
      <c r="L693" s="6" t="n">
        <f aca="false">IF($H693="Auto-deduct",IF($G693="Countable",ROUNDUP($J693*IF($I693="Y",$K693,1),0),ROUND($J693*IF($I693="Y",$K693,1),1)),$J693)</f>
        <v>5</v>
      </c>
      <c r="M693" s="6" t="str">
        <f aca="false">INDEX(Items!$E$5:$E$62,MATCH($E693,Items!$A$5:$A$62,0))</f>
        <v>g</v>
      </c>
      <c r="N693" s="6" t="n">
        <f aca="false">ROUND($L693/INDEX(Items!$F$5:$F$62,MATCH($E693,Items!$A$5:$A$62,0)),4)</f>
        <v>0.0125</v>
      </c>
      <c r="O693" s="6"/>
    </row>
    <row r="694" customFormat="false" ht="15" hidden="false" customHeight="false" outlineLevel="0" collapsed="false">
      <c r="A694" s="6" t="n">
        <v>66</v>
      </c>
      <c r="B694" s="6" t="s">
        <v>379</v>
      </c>
      <c r="C694" s="6" t="s">
        <v>373</v>
      </c>
      <c r="D694" s="6" t="s">
        <v>190</v>
      </c>
      <c r="E694" s="6" t="s">
        <v>72</v>
      </c>
      <c r="F694" s="6" t="str">
        <f aca="false">INDEX(Items!$B$5:$B$62,MATCH($E694,Items!$A$5:$A$62,0))</f>
        <v>DISPOSABLES &amp; CLINIC CONSUMABLES</v>
      </c>
      <c r="G694" s="6" t="str">
        <f aca="false">INDEX(Items!$C$5:$C$62,MATCH($E694,Items!$A$5:$A$62,0))</f>
        <v>Bulk</v>
      </c>
      <c r="H694" s="6" t="s">
        <v>161</v>
      </c>
      <c r="I694" s="6" t="s">
        <v>191</v>
      </c>
      <c r="J694" s="6" t="n">
        <f aca="false">SUMIFS(Kits!$C$5:$C$163,Kits!$A$5:$A$163,$D694,Kits!$B$5:$B$163,$E694)</f>
        <v>6</v>
      </c>
      <c r="K694" s="6" t="n">
        <f aca="false">INDEX(Services!$F$5:$F$85,MATCH($A694,Services!$A$5:$A$85,0))</f>
        <v>1</v>
      </c>
      <c r="L694" s="6" t="n">
        <f aca="false">IF($H694="Auto-deduct",IF($G694="Countable",ROUNDUP($J694*IF($I694="Y",$K694,1),0),ROUND($J694*IF($I694="Y",$K694,1),1)),$J694)</f>
        <v>6</v>
      </c>
      <c r="M694" s="6" t="str">
        <f aca="false">INDEX(Items!$E$5:$E$62,MATCH($E694,Items!$A$5:$A$62,0))</f>
        <v>pc</v>
      </c>
      <c r="N694" s="6" t="n">
        <f aca="false">ROUND($L694/INDEX(Items!$F$5:$F$62,MATCH($E694,Items!$A$5:$A$62,0)),4)</f>
        <v>0.06</v>
      </c>
      <c r="O694" s="6"/>
    </row>
    <row r="695" customFormat="false" ht="15" hidden="false" customHeight="false" outlineLevel="0" collapsed="false">
      <c r="A695" s="6" t="n">
        <v>66</v>
      </c>
      <c r="B695" s="6" t="s">
        <v>379</v>
      </c>
      <c r="C695" s="6" t="s">
        <v>373</v>
      </c>
      <c r="D695" s="6" t="s">
        <v>190</v>
      </c>
      <c r="E695" s="6" t="s">
        <v>81</v>
      </c>
      <c r="F695" s="6" t="str">
        <f aca="false">INDEX(Items!$B$5:$B$62,MATCH($E695,Items!$A$5:$A$62,0))</f>
        <v>DISPOSABLES &amp; CLINIC CONSUMABLES</v>
      </c>
      <c r="G695" s="6" t="str">
        <f aca="false">INDEX(Items!$C$5:$C$62,MATCH($E695,Items!$A$5:$A$62,0))</f>
        <v>Bulk</v>
      </c>
      <c r="H695" s="6" t="s">
        <v>161</v>
      </c>
      <c r="I695" s="6" t="s">
        <v>191</v>
      </c>
      <c r="J695" s="6" t="n">
        <f aca="false">SUMIFS(Kits!$C$5:$C$163,Kits!$A$5:$A$163,$D695,Kits!$B$5:$B$163,$E695)</f>
        <v>4</v>
      </c>
      <c r="K695" s="6" t="n">
        <f aca="false">INDEX(Services!$F$5:$F$85,MATCH($A695,Services!$A$5:$A$85,0))</f>
        <v>1</v>
      </c>
      <c r="L695" s="6" t="n">
        <f aca="false">IF($H695="Auto-deduct",IF($G695="Countable",ROUNDUP($J695*IF($I695="Y",$K695,1),0),ROUND($J695*IF($I695="Y",$K695,1),1)),$J695)</f>
        <v>4</v>
      </c>
      <c r="M695" s="6" t="str">
        <f aca="false">INDEX(Items!$E$5:$E$62,MATCH($E695,Items!$A$5:$A$62,0))</f>
        <v>pc</v>
      </c>
      <c r="N695" s="6" t="n">
        <f aca="false">ROUND($L695/INDEX(Items!$F$5:$F$62,MATCH($E695,Items!$A$5:$A$62,0)),4)</f>
        <v>0.04</v>
      </c>
      <c r="O695" s="6"/>
    </row>
    <row r="696" customFormat="false" ht="15" hidden="false" customHeight="false" outlineLevel="0" collapsed="false">
      <c r="A696" s="6" t="n">
        <v>66</v>
      </c>
      <c r="B696" s="6" t="s">
        <v>379</v>
      </c>
      <c r="C696" s="6" t="s">
        <v>373</v>
      </c>
      <c r="D696" s="6" t="s">
        <v>190</v>
      </c>
      <c r="E696" s="6" t="s">
        <v>58</v>
      </c>
      <c r="F696" s="6" t="str">
        <f aca="false">INDEX(Items!$B$5:$B$62,MATCH($E696,Items!$A$5:$A$62,0))</f>
        <v>DISPOSABLES &amp; CLINIC CONSUMABLES</v>
      </c>
      <c r="G696" s="6" t="str">
        <f aca="false">INDEX(Items!$C$5:$C$62,MATCH($E696,Items!$A$5:$A$62,0))</f>
        <v>Bulk</v>
      </c>
      <c r="H696" s="6" t="s">
        <v>161</v>
      </c>
      <c r="I696" s="6" t="s">
        <v>191</v>
      </c>
      <c r="J696" s="6" t="n">
        <f aca="false">SUMIFS(Kits!$C$5:$C$163,Kits!$A$5:$A$163,$D696,Kits!$B$5:$B$163,$E696)</f>
        <v>4</v>
      </c>
      <c r="K696" s="6" t="n">
        <f aca="false">INDEX(Services!$F$5:$F$85,MATCH($A696,Services!$A$5:$A$85,0))</f>
        <v>1</v>
      </c>
      <c r="L696" s="6" t="n">
        <f aca="false">IF($H696="Auto-deduct",IF($G696="Countable",ROUNDUP($J696*IF($I696="Y",$K696,1),0),ROUND($J696*IF($I696="Y",$K696,1),1)),$J696)</f>
        <v>4</v>
      </c>
      <c r="M696" s="6" t="str">
        <f aca="false">INDEX(Items!$E$5:$E$62,MATCH($E696,Items!$A$5:$A$62,0))</f>
        <v>sheet</v>
      </c>
      <c r="N696" s="6" t="n">
        <f aca="false">ROUND($L696/INDEX(Items!$F$5:$F$62,MATCH($E696,Items!$A$5:$A$62,0)),4)</f>
        <v>0.02</v>
      </c>
      <c r="O696" s="6"/>
    </row>
    <row r="697" customFormat="false" ht="15" hidden="false" customHeight="false" outlineLevel="0" collapsed="false">
      <c r="A697" s="6" t="n">
        <v>66</v>
      </c>
      <c r="B697" s="6" t="s">
        <v>379</v>
      </c>
      <c r="C697" s="6" t="s">
        <v>373</v>
      </c>
      <c r="D697" s="6" t="s">
        <v>190</v>
      </c>
      <c r="E697" s="6" t="s">
        <v>86</v>
      </c>
      <c r="F697" s="6" t="str">
        <f aca="false">INDEX(Items!$B$5:$B$62,MATCH($E697,Items!$A$5:$A$62,0))</f>
        <v>DISPOSABLES &amp; CLINIC CONSUMABLES</v>
      </c>
      <c r="G697" s="6" t="str">
        <f aca="false">INDEX(Items!$C$5:$C$62,MATCH($E697,Items!$A$5:$A$62,0))</f>
        <v>Bulk</v>
      </c>
      <c r="H697" s="6" t="s">
        <v>161</v>
      </c>
      <c r="I697" s="6" t="s">
        <v>191</v>
      </c>
      <c r="J697" s="6" t="n">
        <f aca="false">SUMIFS(Kits!$C$5:$C$163,Kits!$A$5:$A$163,$D697,Kits!$B$5:$B$163,$E697)</f>
        <v>2</v>
      </c>
      <c r="K697" s="6" t="n">
        <f aca="false">INDEX(Services!$F$5:$F$85,MATCH($A697,Services!$A$5:$A$85,0))</f>
        <v>1</v>
      </c>
      <c r="L697" s="6" t="n">
        <f aca="false">IF($H697="Auto-deduct",IF($G697="Countable",ROUNDUP($J697*IF($I697="Y",$K697,1),0),ROUND($J697*IF($I697="Y",$K697,1),1)),$J697)</f>
        <v>2</v>
      </c>
      <c r="M697" s="6" t="str">
        <f aca="false">INDEX(Items!$E$5:$E$62,MATCH($E697,Items!$A$5:$A$62,0))</f>
        <v>pc</v>
      </c>
      <c r="N697" s="6" t="n">
        <f aca="false">ROUND($L697/INDEX(Items!$F$5:$F$62,MATCH($E697,Items!$A$5:$A$62,0)),4)</f>
        <v>0.025</v>
      </c>
      <c r="O697" s="6"/>
    </row>
    <row r="698" customFormat="false" ht="15" hidden="false" customHeight="false" outlineLevel="0" collapsed="false">
      <c r="A698" s="6" t="n">
        <v>66</v>
      </c>
      <c r="B698" s="6" t="s">
        <v>379</v>
      </c>
      <c r="C698" s="6" t="s">
        <v>373</v>
      </c>
      <c r="D698" s="6" t="s">
        <v>190</v>
      </c>
      <c r="E698" s="6" t="s">
        <v>110</v>
      </c>
      <c r="F698" s="6" t="str">
        <f aca="false">INDEX(Items!$B$5:$B$62,MATCH($E698,Items!$A$5:$A$62,0))</f>
        <v>FACIAL TREATMENT PRODUCTS (PROFESSIONAL USE)</v>
      </c>
      <c r="G698" s="6" t="str">
        <f aca="false">INDEX(Items!$C$5:$C$62,MATCH($E698,Items!$A$5:$A$62,0))</f>
        <v>Bulk</v>
      </c>
      <c r="H698" s="6" t="s">
        <v>161</v>
      </c>
      <c r="I698" s="6" t="s">
        <v>191</v>
      </c>
      <c r="J698" s="6" t="n">
        <f aca="false">SUMIFS(Kits!$C$5:$C$163,Kits!$A$5:$A$163,$D698,Kits!$B$5:$B$163,$E698)</f>
        <v>20</v>
      </c>
      <c r="K698" s="6" t="n">
        <f aca="false">INDEX(Services!$F$5:$F$85,MATCH($A698,Services!$A$5:$A$85,0))</f>
        <v>1</v>
      </c>
      <c r="L698" s="6" t="n">
        <f aca="false">IF($H698="Auto-deduct",IF($G698="Countable",ROUNDUP($J698*IF($I698="Y",$K698,1),0),ROUND($J698*IF($I698="Y",$K698,1),1)),$J698)</f>
        <v>20</v>
      </c>
      <c r="M698" s="6" t="str">
        <f aca="false">INDEX(Items!$E$5:$E$62,MATCH($E698,Items!$A$5:$A$62,0))</f>
        <v>g</v>
      </c>
      <c r="N698" s="6" t="n">
        <f aca="false">ROUND($L698/INDEX(Items!$F$5:$F$62,MATCH($E698,Items!$A$5:$A$62,0)),4)</f>
        <v>0.04</v>
      </c>
      <c r="O698" s="6"/>
    </row>
    <row r="699" customFormat="false" ht="15" hidden="false" customHeight="false" outlineLevel="0" collapsed="false">
      <c r="A699" s="6" t="n">
        <v>66</v>
      </c>
      <c r="B699" s="6" t="s">
        <v>379</v>
      </c>
      <c r="C699" s="6" t="s">
        <v>373</v>
      </c>
      <c r="D699" s="6" t="s">
        <v>190</v>
      </c>
      <c r="E699" s="6" t="s">
        <v>135</v>
      </c>
      <c r="F699" s="6" t="str">
        <f aca="false">INDEX(Items!$B$5:$B$62,MATCH($E699,Items!$A$5:$A$62,0))</f>
        <v>SKINCARE PRODUCTS (RETAIL / AFTERCARE)</v>
      </c>
      <c r="G699" s="6" t="str">
        <f aca="false">INDEX(Items!$C$5:$C$62,MATCH($E699,Items!$A$5:$A$62,0))</f>
        <v>Bulk</v>
      </c>
      <c r="H699" s="6" t="s">
        <v>161</v>
      </c>
      <c r="I699" s="6" t="s">
        <v>191</v>
      </c>
      <c r="J699" s="6" t="n">
        <f aca="false">SUMIFS(Kits!$C$5:$C$163,Kits!$A$5:$A$163,$D699,Kits!$B$5:$B$163,$E699)</f>
        <v>3</v>
      </c>
      <c r="K699" s="6" t="n">
        <f aca="false">INDEX(Services!$F$5:$F$85,MATCH($A699,Services!$A$5:$A$85,0))</f>
        <v>1</v>
      </c>
      <c r="L699" s="6" t="n">
        <f aca="false">IF($H699="Auto-deduct",IF($G699="Countable",ROUNDUP($J699*IF($I699="Y",$K699,1),0),ROUND($J699*IF($I699="Y",$K699,1),1)),$J699)</f>
        <v>3</v>
      </c>
      <c r="M699" s="6" t="str">
        <f aca="false">INDEX(Items!$E$5:$E$62,MATCH($E699,Items!$A$5:$A$62,0))</f>
        <v>g</v>
      </c>
      <c r="N699" s="6" t="n">
        <f aca="false">ROUND($L699/INDEX(Items!$F$5:$F$62,MATCH($E699,Items!$A$5:$A$62,0)),4)</f>
        <v>0.06</v>
      </c>
      <c r="O699" s="6"/>
    </row>
    <row r="700" customFormat="false" ht="15" hidden="false" customHeight="false" outlineLevel="0" collapsed="false">
      <c r="A700" s="6" t="n">
        <v>66</v>
      </c>
      <c r="B700" s="6" t="s">
        <v>379</v>
      </c>
      <c r="C700" s="6" t="s">
        <v>373</v>
      </c>
      <c r="D700" s="6" t="s">
        <v>190</v>
      </c>
      <c r="E700" s="6" t="s">
        <v>129</v>
      </c>
      <c r="F700" s="6" t="str">
        <f aca="false">INDEX(Items!$B$5:$B$62,MATCH($E700,Items!$A$5:$A$62,0))</f>
        <v>SKINCARE PRODUCTS (RETAIL / AFTERCARE)</v>
      </c>
      <c r="G700" s="6" t="str">
        <f aca="false">INDEX(Items!$C$5:$C$62,MATCH($E700,Items!$A$5:$A$62,0))</f>
        <v>Countable</v>
      </c>
      <c r="H700" s="6" t="s">
        <v>185</v>
      </c>
      <c r="I700" s="6" t="s">
        <v>160</v>
      </c>
      <c r="J700" s="6" t="n">
        <f aca="false">SUMIFS(Kits!$C$5:$C$163,Kits!$A$5:$A$163,$D700,Kits!$B$5:$B$163,$E700)</f>
        <v>1</v>
      </c>
      <c r="K700" s="6" t="n">
        <f aca="false">INDEX(Services!$F$5:$F$85,MATCH($A700,Services!$A$5:$A$85,0))</f>
        <v>1</v>
      </c>
      <c r="L700" s="6" t="n">
        <f aca="false">IF($H700="Auto-deduct",IF($G700="Countable",ROUNDUP($J700*IF($I700="Y",$K700,1),0),ROUND($J700*IF($I700="Y",$K700,1),1)),$J700)</f>
        <v>1</v>
      </c>
      <c r="M700" s="6" t="str">
        <f aca="false">INDEX(Items!$E$5:$E$62,MATCH($E700,Items!$A$5:$A$62,0))</f>
        <v>tube</v>
      </c>
      <c r="N700" s="6" t="n">
        <f aca="false">ROUND($L700/INDEX(Items!$F$5:$F$62,MATCH($E700,Items!$A$5:$A$62,0)),4)</f>
        <v>1</v>
      </c>
      <c r="O700" s="6"/>
    </row>
    <row r="701" customFormat="false" ht="15" hidden="false" customHeight="false" outlineLevel="0" collapsed="false">
      <c r="A701" s="6" t="n">
        <v>67</v>
      </c>
      <c r="B701" s="6" t="s">
        <v>380</v>
      </c>
      <c r="C701" s="6" t="s">
        <v>373</v>
      </c>
      <c r="D701" s="6" t="s">
        <v>159</v>
      </c>
      <c r="E701" s="6" t="s">
        <v>52</v>
      </c>
      <c r="F701" s="6" t="str">
        <f aca="false">INDEX(Items!$B$5:$B$62,MATCH($E701,Items!$A$5:$A$62,0))</f>
        <v>DISPOSABLES &amp; CLINIC CONSUMABLES</v>
      </c>
      <c r="G701" s="6" t="str">
        <f aca="false">INDEX(Items!$C$5:$C$62,MATCH($E701,Items!$A$5:$A$62,0))</f>
        <v>Countable</v>
      </c>
      <c r="H701" s="6" t="s">
        <v>161</v>
      </c>
      <c r="I701" s="6" t="s">
        <v>160</v>
      </c>
      <c r="J701" s="6" t="n">
        <f aca="false">SUMIFS(Kits!$C$5:$C$163,Kits!$A$5:$A$163,$D701,Kits!$B$5:$B$163,$E701)</f>
        <v>1</v>
      </c>
      <c r="K701" s="6" t="n">
        <f aca="false">INDEX(Services!$F$5:$F$85,MATCH($A701,Services!$A$5:$A$85,0))</f>
        <v>1</v>
      </c>
      <c r="L701" s="6" t="n">
        <f aca="false">IF($H701="Auto-deduct",IF($G701="Countable",ROUNDUP($J701*IF($I701="Y",$K701,1),0),ROUND($J701*IF($I701="Y",$K701,1),1)),$J701)</f>
        <v>1</v>
      </c>
      <c r="M701" s="6" t="str">
        <f aca="false">INDEX(Items!$E$5:$E$62,MATCH($E701,Items!$A$5:$A$62,0))</f>
        <v>pc</v>
      </c>
      <c r="N701" s="6" t="n">
        <f aca="false">ROUND($L701/INDEX(Items!$F$5:$F$62,MATCH($E701,Items!$A$5:$A$62,0)),4)</f>
        <v>1</v>
      </c>
      <c r="O701" s="6"/>
    </row>
    <row r="702" customFormat="false" ht="15" hidden="false" customHeight="false" outlineLevel="0" collapsed="false">
      <c r="A702" s="6" t="n">
        <v>67</v>
      </c>
      <c r="B702" s="6" t="s">
        <v>380</v>
      </c>
      <c r="C702" s="6" t="s">
        <v>373</v>
      </c>
      <c r="D702" s="6" t="s">
        <v>159</v>
      </c>
      <c r="E702" s="6" t="s">
        <v>53</v>
      </c>
      <c r="F702" s="6" t="str">
        <f aca="false">INDEX(Items!$B$5:$B$62,MATCH($E702,Items!$A$5:$A$62,0))</f>
        <v>DISPOSABLES &amp; CLINIC CONSUMABLES</v>
      </c>
      <c r="G702" s="6" t="str">
        <f aca="false">INDEX(Items!$C$5:$C$62,MATCH($E702,Items!$A$5:$A$62,0))</f>
        <v>Countable</v>
      </c>
      <c r="H702" s="6" t="s">
        <v>161</v>
      </c>
      <c r="I702" s="6" t="s">
        <v>160</v>
      </c>
      <c r="J702" s="6" t="n">
        <f aca="false">SUMIFS(Kits!$C$5:$C$163,Kits!$A$5:$A$163,$D702,Kits!$B$5:$B$163,$E702)</f>
        <v>1</v>
      </c>
      <c r="K702" s="6" t="n">
        <f aca="false">INDEX(Services!$F$5:$F$85,MATCH($A702,Services!$A$5:$A$85,0))</f>
        <v>1</v>
      </c>
      <c r="L702" s="6" t="n">
        <f aca="false">IF($H702="Auto-deduct",IF($G702="Countable",ROUNDUP($J702*IF($I702="Y",$K702,1),0),ROUND($J702*IF($I702="Y",$K702,1),1)),$J702)</f>
        <v>1</v>
      </c>
      <c r="M702" s="6" t="str">
        <f aca="false">INDEX(Items!$E$5:$E$62,MATCH($E702,Items!$A$5:$A$62,0))</f>
        <v>pair</v>
      </c>
      <c r="N702" s="6" t="n">
        <f aca="false">ROUND($L702/INDEX(Items!$F$5:$F$62,MATCH($E702,Items!$A$5:$A$62,0)),4)</f>
        <v>1</v>
      </c>
      <c r="O702" s="6"/>
    </row>
    <row r="703" customFormat="false" ht="15" hidden="false" customHeight="false" outlineLevel="0" collapsed="false">
      <c r="A703" s="6" t="n">
        <v>67</v>
      </c>
      <c r="B703" s="6" t="s">
        <v>380</v>
      </c>
      <c r="C703" s="6" t="s">
        <v>373</v>
      </c>
      <c r="D703" s="6" t="s">
        <v>159</v>
      </c>
      <c r="E703" s="6" t="s">
        <v>88</v>
      </c>
      <c r="F703" s="6" t="str">
        <f aca="false">INDEX(Items!$B$5:$B$62,MATCH($E703,Items!$A$5:$A$62,0))</f>
        <v>DISPOSABLES &amp; CLINIC CONSUMABLES</v>
      </c>
      <c r="G703" s="6" t="str">
        <f aca="false">INDEX(Items!$C$5:$C$62,MATCH($E703,Items!$A$5:$A$62,0))</f>
        <v>Bulk</v>
      </c>
      <c r="H703" s="6" t="s">
        <v>161</v>
      </c>
      <c r="I703" s="6" t="s">
        <v>160</v>
      </c>
      <c r="J703" s="6" t="n">
        <f aca="false">SUMIFS(Kits!$C$5:$C$163,Kits!$A$5:$A$163,$D703,Kits!$B$5:$B$163,$E703)</f>
        <v>5</v>
      </c>
      <c r="K703" s="6" t="n">
        <f aca="false">INDEX(Services!$F$5:$F$85,MATCH($A703,Services!$A$5:$A$85,0))</f>
        <v>1</v>
      </c>
      <c r="L703" s="6" t="n">
        <f aca="false">IF($H703="Auto-deduct",IF($G703="Countable",ROUNDUP($J703*IF($I703="Y",$K703,1),0),ROUND($J703*IF($I703="Y",$K703,1),1)),$J703)</f>
        <v>5</v>
      </c>
      <c r="M703" s="6" t="str">
        <f aca="false">INDEX(Items!$E$5:$E$62,MATCH($E703,Items!$A$5:$A$62,0))</f>
        <v>mL</v>
      </c>
      <c r="N703" s="6" t="n">
        <f aca="false">ROUND($L703/INDEX(Items!$F$5:$F$62,MATCH($E703,Items!$A$5:$A$62,0)),4)</f>
        <v>0.01</v>
      </c>
      <c r="O703" s="6"/>
    </row>
    <row r="704" customFormat="false" ht="15" hidden="false" customHeight="false" outlineLevel="0" collapsed="false">
      <c r="A704" s="6" t="n">
        <v>67</v>
      </c>
      <c r="B704" s="6" t="s">
        <v>380</v>
      </c>
      <c r="C704" s="6" t="s">
        <v>373</v>
      </c>
      <c r="D704" s="6" t="s">
        <v>190</v>
      </c>
      <c r="E704" s="6" t="s">
        <v>95</v>
      </c>
      <c r="F704" s="6" t="str">
        <f aca="false">INDEX(Items!$B$5:$B$62,MATCH($E704,Items!$A$5:$A$62,0))</f>
        <v>FACIAL / TREATMENT PREP PRODUCTS</v>
      </c>
      <c r="G704" s="6" t="str">
        <f aca="false">INDEX(Items!$C$5:$C$62,MATCH($E704,Items!$A$5:$A$62,0))</f>
        <v>Bulk</v>
      </c>
      <c r="H704" s="6" t="s">
        <v>161</v>
      </c>
      <c r="I704" s="6" t="s">
        <v>191</v>
      </c>
      <c r="J704" s="6" t="n">
        <f aca="false">SUMIFS(Kits!$C$5:$C$163,Kits!$A$5:$A$163,$D704,Kits!$B$5:$B$163,$E704)</f>
        <v>5</v>
      </c>
      <c r="K704" s="6" t="n">
        <f aca="false">INDEX(Services!$F$5:$F$85,MATCH($A704,Services!$A$5:$A$85,0))</f>
        <v>1</v>
      </c>
      <c r="L704" s="6" t="n">
        <f aca="false">IF($H704="Auto-deduct",IF($G704="Countable",ROUNDUP($J704*IF($I704="Y",$K704,1),0),ROUND($J704*IF($I704="Y",$K704,1),1)),$J704)</f>
        <v>5</v>
      </c>
      <c r="M704" s="6" t="str">
        <f aca="false">INDEX(Items!$E$5:$E$62,MATCH($E704,Items!$A$5:$A$62,0))</f>
        <v>mL</v>
      </c>
      <c r="N704" s="6" t="n">
        <f aca="false">ROUND($L704/INDEX(Items!$F$5:$F$62,MATCH($E704,Items!$A$5:$A$62,0)),4)</f>
        <v>0.01</v>
      </c>
      <c r="O704" s="6"/>
    </row>
    <row r="705" customFormat="false" ht="15" hidden="false" customHeight="false" outlineLevel="0" collapsed="false">
      <c r="A705" s="6" t="n">
        <v>67</v>
      </c>
      <c r="B705" s="6" t="s">
        <v>380</v>
      </c>
      <c r="C705" s="6" t="s">
        <v>373</v>
      </c>
      <c r="D705" s="6" t="s">
        <v>190</v>
      </c>
      <c r="E705" s="6" t="s">
        <v>69</v>
      </c>
      <c r="F705" s="6" t="str">
        <f aca="false">INDEX(Items!$B$5:$B$62,MATCH($E705,Items!$A$5:$A$62,0))</f>
        <v>DISPOSABLES &amp; CLINIC CONSUMABLES</v>
      </c>
      <c r="G705" s="6" t="str">
        <f aca="false">INDEX(Items!$C$5:$C$62,MATCH($E705,Items!$A$5:$A$62,0))</f>
        <v>Bulk</v>
      </c>
      <c r="H705" s="6" t="s">
        <v>161</v>
      </c>
      <c r="I705" s="6" t="s">
        <v>191</v>
      </c>
      <c r="J705" s="6" t="n">
        <f aca="false">SUMIFS(Kits!$C$5:$C$163,Kits!$A$5:$A$163,$D705,Kits!$B$5:$B$163,$E705)</f>
        <v>5</v>
      </c>
      <c r="K705" s="6" t="n">
        <f aca="false">INDEX(Services!$F$5:$F$85,MATCH($A705,Services!$A$5:$A$85,0))</f>
        <v>1</v>
      </c>
      <c r="L705" s="6" t="n">
        <f aca="false">IF($H705="Auto-deduct",IF($G705="Countable",ROUNDUP($J705*IF($I705="Y",$K705,1),0),ROUND($J705*IF($I705="Y",$K705,1),1)),$J705)</f>
        <v>5</v>
      </c>
      <c r="M705" s="6" t="str">
        <f aca="false">INDEX(Items!$E$5:$E$62,MATCH($E705,Items!$A$5:$A$62,0))</f>
        <v>g</v>
      </c>
      <c r="N705" s="6" t="n">
        <f aca="false">ROUND($L705/INDEX(Items!$F$5:$F$62,MATCH($E705,Items!$A$5:$A$62,0)),4)</f>
        <v>0.0125</v>
      </c>
      <c r="O705" s="6"/>
    </row>
    <row r="706" customFormat="false" ht="15" hidden="false" customHeight="false" outlineLevel="0" collapsed="false">
      <c r="A706" s="6" t="n">
        <v>67</v>
      </c>
      <c r="B706" s="6" t="s">
        <v>380</v>
      </c>
      <c r="C706" s="6" t="s">
        <v>373</v>
      </c>
      <c r="D706" s="6" t="s">
        <v>190</v>
      </c>
      <c r="E706" s="6" t="s">
        <v>72</v>
      </c>
      <c r="F706" s="6" t="str">
        <f aca="false">INDEX(Items!$B$5:$B$62,MATCH($E706,Items!$A$5:$A$62,0))</f>
        <v>DISPOSABLES &amp; CLINIC CONSUMABLES</v>
      </c>
      <c r="G706" s="6" t="str">
        <f aca="false">INDEX(Items!$C$5:$C$62,MATCH($E706,Items!$A$5:$A$62,0))</f>
        <v>Bulk</v>
      </c>
      <c r="H706" s="6" t="s">
        <v>161</v>
      </c>
      <c r="I706" s="6" t="s">
        <v>191</v>
      </c>
      <c r="J706" s="6" t="n">
        <f aca="false">SUMIFS(Kits!$C$5:$C$163,Kits!$A$5:$A$163,$D706,Kits!$B$5:$B$163,$E706)</f>
        <v>6</v>
      </c>
      <c r="K706" s="6" t="n">
        <f aca="false">INDEX(Services!$F$5:$F$85,MATCH($A706,Services!$A$5:$A$85,0))</f>
        <v>1</v>
      </c>
      <c r="L706" s="6" t="n">
        <f aca="false">IF($H706="Auto-deduct",IF($G706="Countable",ROUNDUP($J706*IF($I706="Y",$K706,1),0),ROUND($J706*IF($I706="Y",$K706,1),1)),$J706)</f>
        <v>6</v>
      </c>
      <c r="M706" s="6" t="str">
        <f aca="false">INDEX(Items!$E$5:$E$62,MATCH($E706,Items!$A$5:$A$62,0))</f>
        <v>pc</v>
      </c>
      <c r="N706" s="6" t="n">
        <f aca="false">ROUND($L706/INDEX(Items!$F$5:$F$62,MATCH($E706,Items!$A$5:$A$62,0)),4)</f>
        <v>0.06</v>
      </c>
      <c r="O706" s="6"/>
    </row>
    <row r="707" customFormat="false" ht="15" hidden="false" customHeight="false" outlineLevel="0" collapsed="false">
      <c r="A707" s="6" t="n">
        <v>67</v>
      </c>
      <c r="B707" s="6" t="s">
        <v>380</v>
      </c>
      <c r="C707" s="6" t="s">
        <v>373</v>
      </c>
      <c r="D707" s="6" t="s">
        <v>190</v>
      </c>
      <c r="E707" s="6" t="s">
        <v>81</v>
      </c>
      <c r="F707" s="6" t="str">
        <f aca="false">INDEX(Items!$B$5:$B$62,MATCH($E707,Items!$A$5:$A$62,0))</f>
        <v>DISPOSABLES &amp; CLINIC CONSUMABLES</v>
      </c>
      <c r="G707" s="6" t="str">
        <f aca="false">INDEX(Items!$C$5:$C$62,MATCH($E707,Items!$A$5:$A$62,0))</f>
        <v>Bulk</v>
      </c>
      <c r="H707" s="6" t="s">
        <v>161</v>
      </c>
      <c r="I707" s="6" t="s">
        <v>191</v>
      </c>
      <c r="J707" s="6" t="n">
        <f aca="false">SUMIFS(Kits!$C$5:$C$163,Kits!$A$5:$A$163,$D707,Kits!$B$5:$B$163,$E707)</f>
        <v>4</v>
      </c>
      <c r="K707" s="6" t="n">
        <f aca="false">INDEX(Services!$F$5:$F$85,MATCH($A707,Services!$A$5:$A$85,0))</f>
        <v>1</v>
      </c>
      <c r="L707" s="6" t="n">
        <f aca="false">IF($H707="Auto-deduct",IF($G707="Countable",ROUNDUP($J707*IF($I707="Y",$K707,1),0),ROUND($J707*IF($I707="Y",$K707,1),1)),$J707)</f>
        <v>4</v>
      </c>
      <c r="M707" s="6" t="str">
        <f aca="false">INDEX(Items!$E$5:$E$62,MATCH($E707,Items!$A$5:$A$62,0))</f>
        <v>pc</v>
      </c>
      <c r="N707" s="6" t="n">
        <f aca="false">ROUND($L707/INDEX(Items!$F$5:$F$62,MATCH($E707,Items!$A$5:$A$62,0)),4)</f>
        <v>0.04</v>
      </c>
      <c r="O707" s="6"/>
    </row>
    <row r="708" customFormat="false" ht="15" hidden="false" customHeight="false" outlineLevel="0" collapsed="false">
      <c r="A708" s="6" t="n">
        <v>67</v>
      </c>
      <c r="B708" s="6" t="s">
        <v>380</v>
      </c>
      <c r="C708" s="6" t="s">
        <v>373</v>
      </c>
      <c r="D708" s="6" t="s">
        <v>190</v>
      </c>
      <c r="E708" s="6" t="s">
        <v>58</v>
      </c>
      <c r="F708" s="6" t="str">
        <f aca="false">INDEX(Items!$B$5:$B$62,MATCH($E708,Items!$A$5:$A$62,0))</f>
        <v>DISPOSABLES &amp; CLINIC CONSUMABLES</v>
      </c>
      <c r="G708" s="6" t="str">
        <f aca="false">INDEX(Items!$C$5:$C$62,MATCH($E708,Items!$A$5:$A$62,0))</f>
        <v>Bulk</v>
      </c>
      <c r="H708" s="6" t="s">
        <v>161</v>
      </c>
      <c r="I708" s="6" t="s">
        <v>191</v>
      </c>
      <c r="J708" s="6" t="n">
        <f aca="false">SUMIFS(Kits!$C$5:$C$163,Kits!$A$5:$A$163,$D708,Kits!$B$5:$B$163,$E708)</f>
        <v>4</v>
      </c>
      <c r="K708" s="6" t="n">
        <f aca="false">INDEX(Services!$F$5:$F$85,MATCH($A708,Services!$A$5:$A$85,0))</f>
        <v>1</v>
      </c>
      <c r="L708" s="6" t="n">
        <f aca="false">IF($H708="Auto-deduct",IF($G708="Countable",ROUNDUP($J708*IF($I708="Y",$K708,1),0),ROUND($J708*IF($I708="Y",$K708,1),1)),$J708)</f>
        <v>4</v>
      </c>
      <c r="M708" s="6" t="str">
        <f aca="false">INDEX(Items!$E$5:$E$62,MATCH($E708,Items!$A$5:$A$62,0))</f>
        <v>sheet</v>
      </c>
      <c r="N708" s="6" t="n">
        <f aca="false">ROUND($L708/INDEX(Items!$F$5:$F$62,MATCH($E708,Items!$A$5:$A$62,0)),4)</f>
        <v>0.02</v>
      </c>
      <c r="O708" s="6"/>
    </row>
    <row r="709" customFormat="false" ht="15" hidden="false" customHeight="false" outlineLevel="0" collapsed="false">
      <c r="A709" s="6" t="n">
        <v>67</v>
      </c>
      <c r="B709" s="6" t="s">
        <v>380</v>
      </c>
      <c r="C709" s="6" t="s">
        <v>373</v>
      </c>
      <c r="D709" s="6" t="s">
        <v>190</v>
      </c>
      <c r="E709" s="6" t="s">
        <v>86</v>
      </c>
      <c r="F709" s="6" t="str">
        <f aca="false">INDEX(Items!$B$5:$B$62,MATCH($E709,Items!$A$5:$A$62,0))</f>
        <v>DISPOSABLES &amp; CLINIC CONSUMABLES</v>
      </c>
      <c r="G709" s="6" t="str">
        <f aca="false">INDEX(Items!$C$5:$C$62,MATCH($E709,Items!$A$5:$A$62,0))</f>
        <v>Bulk</v>
      </c>
      <c r="H709" s="6" t="s">
        <v>161</v>
      </c>
      <c r="I709" s="6" t="s">
        <v>191</v>
      </c>
      <c r="J709" s="6" t="n">
        <f aca="false">SUMIFS(Kits!$C$5:$C$163,Kits!$A$5:$A$163,$D709,Kits!$B$5:$B$163,$E709)</f>
        <v>2</v>
      </c>
      <c r="K709" s="6" t="n">
        <f aca="false">INDEX(Services!$F$5:$F$85,MATCH($A709,Services!$A$5:$A$85,0))</f>
        <v>1</v>
      </c>
      <c r="L709" s="6" t="n">
        <f aca="false">IF($H709="Auto-deduct",IF($G709="Countable",ROUNDUP($J709*IF($I709="Y",$K709,1),0),ROUND($J709*IF($I709="Y",$K709,1),1)),$J709)</f>
        <v>2</v>
      </c>
      <c r="M709" s="6" t="str">
        <f aca="false">INDEX(Items!$E$5:$E$62,MATCH($E709,Items!$A$5:$A$62,0))</f>
        <v>pc</v>
      </c>
      <c r="N709" s="6" t="n">
        <f aca="false">ROUND($L709/INDEX(Items!$F$5:$F$62,MATCH($E709,Items!$A$5:$A$62,0)),4)</f>
        <v>0.025</v>
      </c>
      <c r="O709" s="6"/>
    </row>
    <row r="710" customFormat="false" ht="15" hidden="false" customHeight="false" outlineLevel="0" collapsed="false">
      <c r="A710" s="6" t="n">
        <v>67</v>
      </c>
      <c r="B710" s="6" t="s">
        <v>380</v>
      </c>
      <c r="C710" s="6" t="s">
        <v>373</v>
      </c>
      <c r="D710" s="6" t="s">
        <v>190</v>
      </c>
      <c r="E710" s="6" t="s">
        <v>110</v>
      </c>
      <c r="F710" s="6" t="str">
        <f aca="false">INDEX(Items!$B$5:$B$62,MATCH($E710,Items!$A$5:$A$62,0))</f>
        <v>FACIAL TREATMENT PRODUCTS (PROFESSIONAL USE)</v>
      </c>
      <c r="G710" s="6" t="str">
        <f aca="false">INDEX(Items!$C$5:$C$62,MATCH($E710,Items!$A$5:$A$62,0))</f>
        <v>Bulk</v>
      </c>
      <c r="H710" s="6" t="s">
        <v>161</v>
      </c>
      <c r="I710" s="6" t="s">
        <v>191</v>
      </c>
      <c r="J710" s="6" t="n">
        <f aca="false">SUMIFS(Kits!$C$5:$C$163,Kits!$A$5:$A$163,$D710,Kits!$B$5:$B$163,$E710)</f>
        <v>20</v>
      </c>
      <c r="K710" s="6" t="n">
        <f aca="false">INDEX(Services!$F$5:$F$85,MATCH($A710,Services!$A$5:$A$85,0))</f>
        <v>1</v>
      </c>
      <c r="L710" s="6" t="n">
        <f aca="false">IF($H710="Auto-deduct",IF($G710="Countable",ROUNDUP($J710*IF($I710="Y",$K710,1),0),ROUND($J710*IF($I710="Y",$K710,1),1)),$J710)</f>
        <v>20</v>
      </c>
      <c r="M710" s="6" t="str">
        <f aca="false">INDEX(Items!$E$5:$E$62,MATCH($E710,Items!$A$5:$A$62,0))</f>
        <v>g</v>
      </c>
      <c r="N710" s="6" t="n">
        <f aca="false">ROUND($L710/INDEX(Items!$F$5:$F$62,MATCH($E710,Items!$A$5:$A$62,0)),4)</f>
        <v>0.04</v>
      </c>
      <c r="O710" s="6"/>
    </row>
    <row r="711" customFormat="false" ht="15" hidden="false" customHeight="false" outlineLevel="0" collapsed="false">
      <c r="A711" s="6" t="n">
        <v>67</v>
      </c>
      <c r="B711" s="6" t="s">
        <v>380</v>
      </c>
      <c r="C711" s="6" t="s">
        <v>373</v>
      </c>
      <c r="D711" s="6" t="s">
        <v>190</v>
      </c>
      <c r="E711" s="6" t="s">
        <v>135</v>
      </c>
      <c r="F711" s="6" t="str">
        <f aca="false">INDEX(Items!$B$5:$B$62,MATCH($E711,Items!$A$5:$A$62,0))</f>
        <v>SKINCARE PRODUCTS (RETAIL / AFTERCARE)</v>
      </c>
      <c r="G711" s="6" t="str">
        <f aca="false">INDEX(Items!$C$5:$C$62,MATCH($E711,Items!$A$5:$A$62,0))</f>
        <v>Bulk</v>
      </c>
      <c r="H711" s="6" t="s">
        <v>161</v>
      </c>
      <c r="I711" s="6" t="s">
        <v>191</v>
      </c>
      <c r="J711" s="6" t="n">
        <f aca="false">SUMIFS(Kits!$C$5:$C$163,Kits!$A$5:$A$163,$D711,Kits!$B$5:$B$163,$E711)</f>
        <v>3</v>
      </c>
      <c r="K711" s="6" t="n">
        <f aca="false">INDEX(Services!$F$5:$F$85,MATCH($A711,Services!$A$5:$A$85,0))</f>
        <v>1</v>
      </c>
      <c r="L711" s="6" t="n">
        <f aca="false">IF($H711="Auto-deduct",IF($G711="Countable",ROUNDUP($J711*IF($I711="Y",$K711,1),0),ROUND($J711*IF($I711="Y",$K711,1),1)),$J711)</f>
        <v>3</v>
      </c>
      <c r="M711" s="6" t="str">
        <f aca="false">INDEX(Items!$E$5:$E$62,MATCH($E711,Items!$A$5:$A$62,0))</f>
        <v>g</v>
      </c>
      <c r="N711" s="6" t="n">
        <f aca="false">ROUND($L711/INDEX(Items!$F$5:$F$62,MATCH($E711,Items!$A$5:$A$62,0)),4)</f>
        <v>0.06</v>
      </c>
      <c r="O711" s="6"/>
    </row>
    <row r="712" customFormat="false" ht="15" hidden="false" customHeight="false" outlineLevel="0" collapsed="false">
      <c r="A712" s="6" t="n">
        <v>67</v>
      </c>
      <c r="B712" s="6" t="s">
        <v>380</v>
      </c>
      <c r="C712" s="6" t="s">
        <v>373</v>
      </c>
      <c r="D712" s="6" t="s">
        <v>190</v>
      </c>
      <c r="E712" s="6" t="s">
        <v>129</v>
      </c>
      <c r="F712" s="6" t="str">
        <f aca="false">INDEX(Items!$B$5:$B$62,MATCH($E712,Items!$A$5:$A$62,0))</f>
        <v>SKINCARE PRODUCTS (RETAIL / AFTERCARE)</v>
      </c>
      <c r="G712" s="6" t="str">
        <f aca="false">INDEX(Items!$C$5:$C$62,MATCH($E712,Items!$A$5:$A$62,0))</f>
        <v>Countable</v>
      </c>
      <c r="H712" s="6" t="s">
        <v>185</v>
      </c>
      <c r="I712" s="6" t="s">
        <v>160</v>
      </c>
      <c r="J712" s="6" t="n">
        <f aca="false">SUMIFS(Kits!$C$5:$C$163,Kits!$A$5:$A$163,$D712,Kits!$B$5:$B$163,$E712)</f>
        <v>1</v>
      </c>
      <c r="K712" s="6" t="n">
        <f aca="false">INDEX(Services!$F$5:$F$85,MATCH($A712,Services!$A$5:$A$85,0))</f>
        <v>1</v>
      </c>
      <c r="L712" s="6" t="n">
        <f aca="false">IF($H712="Auto-deduct",IF($G712="Countable",ROUNDUP($J712*IF($I712="Y",$K712,1),0),ROUND($J712*IF($I712="Y",$K712,1),1)),$J712)</f>
        <v>1</v>
      </c>
      <c r="M712" s="6" t="str">
        <f aca="false">INDEX(Items!$E$5:$E$62,MATCH($E712,Items!$A$5:$A$62,0))</f>
        <v>tube</v>
      </c>
      <c r="N712" s="6" t="n">
        <f aca="false">ROUND($L712/INDEX(Items!$F$5:$F$62,MATCH($E712,Items!$A$5:$A$62,0)),4)</f>
        <v>1</v>
      </c>
      <c r="O712" s="6"/>
    </row>
    <row r="713" customFormat="false" ht="15" hidden="false" customHeight="false" outlineLevel="0" collapsed="false">
      <c r="A713" s="6" t="n">
        <v>68</v>
      </c>
      <c r="B713" s="6" t="s">
        <v>381</v>
      </c>
      <c r="C713" s="6" t="s">
        <v>373</v>
      </c>
      <c r="D713" s="6" t="s">
        <v>159</v>
      </c>
      <c r="E713" s="6" t="s">
        <v>52</v>
      </c>
      <c r="F713" s="6" t="str">
        <f aca="false">INDEX(Items!$B$5:$B$62,MATCH($E713,Items!$A$5:$A$62,0))</f>
        <v>DISPOSABLES &amp; CLINIC CONSUMABLES</v>
      </c>
      <c r="G713" s="6" t="str">
        <f aca="false">INDEX(Items!$C$5:$C$62,MATCH($E713,Items!$A$5:$A$62,0))</f>
        <v>Countable</v>
      </c>
      <c r="H713" s="6" t="s">
        <v>161</v>
      </c>
      <c r="I713" s="6" t="s">
        <v>160</v>
      </c>
      <c r="J713" s="6" t="n">
        <f aca="false">SUMIFS(Kits!$C$5:$C$163,Kits!$A$5:$A$163,$D713,Kits!$B$5:$B$163,$E713)</f>
        <v>1</v>
      </c>
      <c r="K713" s="6" t="n">
        <f aca="false">INDEX(Services!$F$5:$F$85,MATCH($A713,Services!$A$5:$A$85,0))</f>
        <v>1</v>
      </c>
      <c r="L713" s="6" t="n">
        <f aca="false">IF($H713="Auto-deduct",IF($G713="Countable",ROUNDUP($J713*IF($I713="Y",$K713,1),0),ROUND($J713*IF($I713="Y",$K713,1),1)),$J713)</f>
        <v>1</v>
      </c>
      <c r="M713" s="6" t="str">
        <f aca="false">INDEX(Items!$E$5:$E$62,MATCH($E713,Items!$A$5:$A$62,0))</f>
        <v>pc</v>
      </c>
      <c r="N713" s="6" t="n">
        <f aca="false">ROUND($L713/INDEX(Items!$F$5:$F$62,MATCH($E713,Items!$A$5:$A$62,0)),4)</f>
        <v>1</v>
      </c>
      <c r="O713" s="6"/>
    </row>
    <row r="714" customFormat="false" ht="15" hidden="false" customHeight="false" outlineLevel="0" collapsed="false">
      <c r="A714" s="6" t="n">
        <v>68</v>
      </c>
      <c r="B714" s="6" t="s">
        <v>381</v>
      </c>
      <c r="C714" s="6" t="s">
        <v>373</v>
      </c>
      <c r="D714" s="6" t="s">
        <v>159</v>
      </c>
      <c r="E714" s="6" t="s">
        <v>53</v>
      </c>
      <c r="F714" s="6" t="str">
        <f aca="false">INDEX(Items!$B$5:$B$62,MATCH($E714,Items!$A$5:$A$62,0))</f>
        <v>DISPOSABLES &amp; CLINIC CONSUMABLES</v>
      </c>
      <c r="G714" s="6" t="str">
        <f aca="false">INDEX(Items!$C$5:$C$62,MATCH($E714,Items!$A$5:$A$62,0))</f>
        <v>Countable</v>
      </c>
      <c r="H714" s="6" t="s">
        <v>161</v>
      </c>
      <c r="I714" s="6" t="s">
        <v>160</v>
      </c>
      <c r="J714" s="6" t="n">
        <f aca="false">SUMIFS(Kits!$C$5:$C$163,Kits!$A$5:$A$163,$D714,Kits!$B$5:$B$163,$E714)</f>
        <v>1</v>
      </c>
      <c r="K714" s="6" t="n">
        <f aca="false">INDEX(Services!$F$5:$F$85,MATCH($A714,Services!$A$5:$A$85,0))</f>
        <v>1</v>
      </c>
      <c r="L714" s="6" t="n">
        <f aca="false">IF($H714="Auto-deduct",IF($G714="Countable",ROUNDUP($J714*IF($I714="Y",$K714,1),0),ROUND($J714*IF($I714="Y",$K714,1),1)),$J714)</f>
        <v>1</v>
      </c>
      <c r="M714" s="6" t="str">
        <f aca="false">INDEX(Items!$E$5:$E$62,MATCH($E714,Items!$A$5:$A$62,0))</f>
        <v>pair</v>
      </c>
      <c r="N714" s="6" t="n">
        <f aca="false">ROUND($L714/INDEX(Items!$F$5:$F$62,MATCH($E714,Items!$A$5:$A$62,0)),4)</f>
        <v>1</v>
      </c>
      <c r="O714" s="6"/>
    </row>
    <row r="715" customFormat="false" ht="15" hidden="false" customHeight="false" outlineLevel="0" collapsed="false">
      <c r="A715" s="6" t="n">
        <v>68</v>
      </c>
      <c r="B715" s="6" t="s">
        <v>381</v>
      </c>
      <c r="C715" s="6" t="s">
        <v>373</v>
      </c>
      <c r="D715" s="6" t="s">
        <v>159</v>
      </c>
      <c r="E715" s="6" t="s">
        <v>88</v>
      </c>
      <c r="F715" s="6" t="str">
        <f aca="false">INDEX(Items!$B$5:$B$62,MATCH($E715,Items!$A$5:$A$62,0))</f>
        <v>DISPOSABLES &amp; CLINIC CONSUMABLES</v>
      </c>
      <c r="G715" s="6" t="str">
        <f aca="false">INDEX(Items!$C$5:$C$62,MATCH($E715,Items!$A$5:$A$62,0))</f>
        <v>Bulk</v>
      </c>
      <c r="H715" s="6" t="s">
        <v>161</v>
      </c>
      <c r="I715" s="6" t="s">
        <v>160</v>
      </c>
      <c r="J715" s="6" t="n">
        <f aca="false">SUMIFS(Kits!$C$5:$C$163,Kits!$A$5:$A$163,$D715,Kits!$B$5:$B$163,$E715)</f>
        <v>5</v>
      </c>
      <c r="K715" s="6" t="n">
        <f aca="false">INDEX(Services!$F$5:$F$85,MATCH($A715,Services!$A$5:$A$85,0))</f>
        <v>1</v>
      </c>
      <c r="L715" s="6" t="n">
        <f aca="false">IF($H715="Auto-deduct",IF($G715="Countable",ROUNDUP($J715*IF($I715="Y",$K715,1),0),ROUND($J715*IF($I715="Y",$K715,1),1)),$J715)</f>
        <v>5</v>
      </c>
      <c r="M715" s="6" t="str">
        <f aca="false">INDEX(Items!$E$5:$E$62,MATCH($E715,Items!$A$5:$A$62,0))</f>
        <v>mL</v>
      </c>
      <c r="N715" s="6" t="n">
        <f aca="false">ROUND($L715/INDEX(Items!$F$5:$F$62,MATCH($E715,Items!$A$5:$A$62,0)),4)</f>
        <v>0.01</v>
      </c>
      <c r="O715" s="6"/>
    </row>
    <row r="716" customFormat="false" ht="15" hidden="false" customHeight="false" outlineLevel="0" collapsed="false">
      <c r="A716" s="6" t="n">
        <v>68</v>
      </c>
      <c r="B716" s="6" t="s">
        <v>381</v>
      </c>
      <c r="C716" s="6" t="s">
        <v>373</v>
      </c>
      <c r="D716" s="6" t="s">
        <v>190</v>
      </c>
      <c r="E716" s="6" t="s">
        <v>95</v>
      </c>
      <c r="F716" s="6" t="str">
        <f aca="false">INDEX(Items!$B$5:$B$62,MATCH($E716,Items!$A$5:$A$62,0))</f>
        <v>FACIAL / TREATMENT PREP PRODUCTS</v>
      </c>
      <c r="G716" s="6" t="str">
        <f aca="false">INDEX(Items!$C$5:$C$62,MATCH($E716,Items!$A$5:$A$62,0))</f>
        <v>Bulk</v>
      </c>
      <c r="H716" s="6" t="s">
        <v>161</v>
      </c>
      <c r="I716" s="6" t="s">
        <v>191</v>
      </c>
      <c r="J716" s="6" t="n">
        <f aca="false">SUMIFS(Kits!$C$5:$C$163,Kits!$A$5:$A$163,$D716,Kits!$B$5:$B$163,$E716)</f>
        <v>5</v>
      </c>
      <c r="K716" s="6" t="n">
        <f aca="false">INDEX(Services!$F$5:$F$85,MATCH($A716,Services!$A$5:$A$85,0))</f>
        <v>1</v>
      </c>
      <c r="L716" s="6" t="n">
        <f aca="false">IF($H716="Auto-deduct",IF($G716="Countable",ROUNDUP($J716*IF($I716="Y",$K716,1),0),ROUND($J716*IF($I716="Y",$K716,1),1)),$J716)</f>
        <v>5</v>
      </c>
      <c r="M716" s="6" t="str">
        <f aca="false">INDEX(Items!$E$5:$E$62,MATCH($E716,Items!$A$5:$A$62,0))</f>
        <v>mL</v>
      </c>
      <c r="N716" s="6" t="n">
        <f aca="false">ROUND($L716/INDEX(Items!$F$5:$F$62,MATCH($E716,Items!$A$5:$A$62,0)),4)</f>
        <v>0.01</v>
      </c>
      <c r="O716" s="6"/>
    </row>
    <row r="717" customFormat="false" ht="15" hidden="false" customHeight="false" outlineLevel="0" collapsed="false">
      <c r="A717" s="6" t="n">
        <v>68</v>
      </c>
      <c r="B717" s="6" t="s">
        <v>381</v>
      </c>
      <c r="C717" s="6" t="s">
        <v>373</v>
      </c>
      <c r="D717" s="6" t="s">
        <v>190</v>
      </c>
      <c r="E717" s="6" t="s">
        <v>69</v>
      </c>
      <c r="F717" s="6" t="str">
        <f aca="false">INDEX(Items!$B$5:$B$62,MATCH($E717,Items!$A$5:$A$62,0))</f>
        <v>DISPOSABLES &amp; CLINIC CONSUMABLES</v>
      </c>
      <c r="G717" s="6" t="str">
        <f aca="false">INDEX(Items!$C$5:$C$62,MATCH($E717,Items!$A$5:$A$62,0))</f>
        <v>Bulk</v>
      </c>
      <c r="H717" s="6" t="s">
        <v>161</v>
      </c>
      <c r="I717" s="6" t="s">
        <v>191</v>
      </c>
      <c r="J717" s="6" t="n">
        <f aca="false">SUMIFS(Kits!$C$5:$C$163,Kits!$A$5:$A$163,$D717,Kits!$B$5:$B$163,$E717)</f>
        <v>5</v>
      </c>
      <c r="K717" s="6" t="n">
        <f aca="false">INDEX(Services!$F$5:$F$85,MATCH($A717,Services!$A$5:$A$85,0))</f>
        <v>1</v>
      </c>
      <c r="L717" s="6" t="n">
        <f aca="false">IF($H717="Auto-deduct",IF($G717="Countable",ROUNDUP($J717*IF($I717="Y",$K717,1),0),ROUND($J717*IF($I717="Y",$K717,1),1)),$J717)</f>
        <v>5</v>
      </c>
      <c r="M717" s="6" t="str">
        <f aca="false">INDEX(Items!$E$5:$E$62,MATCH($E717,Items!$A$5:$A$62,0))</f>
        <v>g</v>
      </c>
      <c r="N717" s="6" t="n">
        <f aca="false">ROUND($L717/INDEX(Items!$F$5:$F$62,MATCH($E717,Items!$A$5:$A$62,0)),4)</f>
        <v>0.0125</v>
      </c>
      <c r="O717" s="6"/>
    </row>
    <row r="718" customFormat="false" ht="15" hidden="false" customHeight="false" outlineLevel="0" collapsed="false">
      <c r="A718" s="6" t="n">
        <v>68</v>
      </c>
      <c r="B718" s="6" t="s">
        <v>381</v>
      </c>
      <c r="C718" s="6" t="s">
        <v>373</v>
      </c>
      <c r="D718" s="6" t="s">
        <v>190</v>
      </c>
      <c r="E718" s="6" t="s">
        <v>72</v>
      </c>
      <c r="F718" s="6" t="str">
        <f aca="false">INDEX(Items!$B$5:$B$62,MATCH($E718,Items!$A$5:$A$62,0))</f>
        <v>DISPOSABLES &amp; CLINIC CONSUMABLES</v>
      </c>
      <c r="G718" s="6" t="str">
        <f aca="false">INDEX(Items!$C$5:$C$62,MATCH($E718,Items!$A$5:$A$62,0))</f>
        <v>Bulk</v>
      </c>
      <c r="H718" s="6" t="s">
        <v>161</v>
      </c>
      <c r="I718" s="6" t="s">
        <v>191</v>
      </c>
      <c r="J718" s="6" t="n">
        <f aca="false">SUMIFS(Kits!$C$5:$C$163,Kits!$A$5:$A$163,$D718,Kits!$B$5:$B$163,$E718)</f>
        <v>6</v>
      </c>
      <c r="K718" s="6" t="n">
        <f aca="false">INDEX(Services!$F$5:$F$85,MATCH($A718,Services!$A$5:$A$85,0))</f>
        <v>1</v>
      </c>
      <c r="L718" s="6" t="n">
        <f aca="false">IF($H718="Auto-deduct",IF($G718="Countable",ROUNDUP($J718*IF($I718="Y",$K718,1),0),ROUND($J718*IF($I718="Y",$K718,1),1)),$J718)</f>
        <v>6</v>
      </c>
      <c r="M718" s="6" t="str">
        <f aca="false">INDEX(Items!$E$5:$E$62,MATCH($E718,Items!$A$5:$A$62,0))</f>
        <v>pc</v>
      </c>
      <c r="N718" s="6" t="n">
        <f aca="false">ROUND($L718/INDEX(Items!$F$5:$F$62,MATCH($E718,Items!$A$5:$A$62,0)),4)</f>
        <v>0.06</v>
      </c>
      <c r="O718" s="6"/>
    </row>
    <row r="719" customFormat="false" ht="15" hidden="false" customHeight="false" outlineLevel="0" collapsed="false">
      <c r="A719" s="6" t="n">
        <v>68</v>
      </c>
      <c r="B719" s="6" t="s">
        <v>381</v>
      </c>
      <c r="C719" s="6" t="s">
        <v>373</v>
      </c>
      <c r="D719" s="6" t="s">
        <v>190</v>
      </c>
      <c r="E719" s="6" t="s">
        <v>81</v>
      </c>
      <c r="F719" s="6" t="str">
        <f aca="false">INDEX(Items!$B$5:$B$62,MATCH($E719,Items!$A$5:$A$62,0))</f>
        <v>DISPOSABLES &amp; CLINIC CONSUMABLES</v>
      </c>
      <c r="G719" s="6" t="str">
        <f aca="false">INDEX(Items!$C$5:$C$62,MATCH($E719,Items!$A$5:$A$62,0))</f>
        <v>Bulk</v>
      </c>
      <c r="H719" s="6" t="s">
        <v>161</v>
      </c>
      <c r="I719" s="6" t="s">
        <v>191</v>
      </c>
      <c r="J719" s="6" t="n">
        <f aca="false">SUMIFS(Kits!$C$5:$C$163,Kits!$A$5:$A$163,$D719,Kits!$B$5:$B$163,$E719)</f>
        <v>4</v>
      </c>
      <c r="K719" s="6" t="n">
        <f aca="false">INDEX(Services!$F$5:$F$85,MATCH($A719,Services!$A$5:$A$85,0))</f>
        <v>1</v>
      </c>
      <c r="L719" s="6" t="n">
        <f aca="false">IF($H719="Auto-deduct",IF($G719="Countable",ROUNDUP($J719*IF($I719="Y",$K719,1),0),ROUND($J719*IF($I719="Y",$K719,1),1)),$J719)</f>
        <v>4</v>
      </c>
      <c r="M719" s="6" t="str">
        <f aca="false">INDEX(Items!$E$5:$E$62,MATCH($E719,Items!$A$5:$A$62,0))</f>
        <v>pc</v>
      </c>
      <c r="N719" s="6" t="n">
        <f aca="false">ROUND($L719/INDEX(Items!$F$5:$F$62,MATCH($E719,Items!$A$5:$A$62,0)),4)</f>
        <v>0.04</v>
      </c>
      <c r="O719" s="6"/>
    </row>
    <row r="720" customFormat="false" ht="15" hidden="false" customHeight="false" outlineLevel="0" collapsed="false">
      <c r="A720" s="6" t="n">
        <v>68</v>
      </c>
      <c r="B720" s="6" t="s">
        <v>381</v>
      </c>
      <c r="C720" s="6" t="s">
        <v>373</v>
      </c>
      <c r="D720" s="6" t="s">
        <v>190</v>
      </c>
      <c r="E720" s="6" t="s">
        <v>58</v>
      </c>
      <c r="F720" s="6" t="str">
        <f aca="false">INDEX(Items!$B$5:$B$62,MATCH($E720,Items!$A$5:$A$62,0))</f>
        <v>DISPOSABLES &amp; CLINIC CONSUMABLES</v>
      </c>
      <c r="G720" s="6" t="str">
        <f aca="false">INDEX(Items!$C$5:$C$62,MATCH($E720,Items!$A$5:$A$62,0))</f>
        <v>Bulk</v>
      </c>
      <c r="H720" s="6" t="s">
        <v>161</v>
      </c>
      <c r="I720" s="6" t="s">
        <v>191</v>
      </c>
      <c r="J720" s="6" t="n">
        <f aca="false">SUMIFS(Kits!$C$5:$C$163,Kits!$A$5:$A$163,$D720,Kits!$B$5:$B$163,$E720)</f>
        <v>4</v>
      </c>
      <c r="K720" s="6" t="n">
        <f aca="false">INDEX(Services!$F$5:$F$85,MATCH($A720,Services!$A$5:$A$85,0))</f>
        <v>1</v>
      </c>
      <c r="L720" s="6" t="n">
        <f aca="false">IF($H720="Auto-deduct",IF($G720="Countable",ROUNDUP($J720*IF($I720="Y",$K720,1),0),ROUND($J720*IF($I720="Y",$K720,1),1)),$J720)</f>
        <v>4</v>
      </c>
      <c r="M720" s="6" t="str">
        <f aca="false">INDEX(Items!$E$5:$E$62,MATCH($E720,Items!$A$5:$A$62,0))</f>
        <v>sheet</v>
      </c>
      <c r="N720" s="6" t="n">
        <f aca="false">ROUND($L720/INDEX(Items!$F$5:$F$62,MATCH($E720,Items!$A$5:$A$62,0)),4)</f>
        <v>0.02</v>
      </c>
      <c r="O720" s="6"/>
    </row>
    <row r="721" customFormat="false" ht="15" hidden="false" customHeight="false" outlineLevel="0" collapsed="false">
      <c r="A721" s="6" t="n">
        <v>68</v>
      </c>
      <c r="B721" s="6" t="s">
        <v>381</v>
      </c>
      <c r="C721" s="6" t="s">
        <v>373</v>
      </c>
      <c r="D721" s="6" t="s">
        <v>190</v>
      </c>
      <c r="E721" s="6" t="s">
        <v>86</v>
      </c>
      <c r="F721" s="6" t="str">
        <f aca="false">INDEX(Items!$B$5:$B$62,MATCH($E721,Items!$A$5:$A$62,0))</f>
        <v>DISPOSABLES &amp; CLINIC CONSUMABLES</v>
      </c>
      <c r="G721" s="6" t="str">
        <f aca="false">INDEX(Items!$C$5:$C$62,MATCH($E721,Items!$A$5:$A$62,0))</f>
        <v>Bulk</v>
      </c>
      <c r="H721" s="6" t="s">
        <v>161</v>
      </c>
      <c r="I721" s="6" t="s">
        <v>191</v>
      </c>
      <c r="J721" s="6" t="n">
        <f aca="false">SUMIFS(Kits!$C$5:$C$163,Kits!$A$5:$A$163,$D721,Kits!$B$5:$B$163,$E721)</f>
        <v>2</v>
      </c>
      <c r="K721" s="6" t="n">
        <f aca="false">INDEX(Services!$F$5:$F$85,MATCH($A721,Services!$A$5:$A$85,0))</f>
        <v>1</v>
      </c>
      <c r="L721" s="6" t="n">
        <f aca="false">IF($H721="Auto-deduct",IF($G721="Countable",ROUNDUP($J721*IF($I721="Y",$K721,1),0),ROUND($J721*IF($I721="Y",$K721,1),1)),$J721)</f>
        <v>2</v>
      </c>
      <c r="M721" s="6" t="str">
        <f aca="false">INDEX(Items!$E$5:$E$62,MATCH($E721,Items!$A$5:$A$62,0))</f>
        <v>pc</v>
      </c>
      <c r="N721" s="6" t="n">
        <f aca="false">ROUND($L721/INDEX(Items!$F$5:$F$62,MATCH($E721,Items!$A$5:$A$62,0)),4)</f>
        <v>0.025</v>
      </c>
      <c r="O721" s="6"/>
    </row>
    <row r="722" customFormat="false" ht="15" hidden="false" customHeight="false" outlineLevel="0" collapsed="false">
      <c r="A722" s="6" t="n">
        <v>68</v>
      </c>
      <c r="B722" s="6" t="s">
        <v>381</v>
      </c>
      <c r="C722" s="6" t="s">
        <v>373</v>
      </c>
      <c r="D722" s="6" t="s">
        <v>190</v>
      </c>
      <c r="E722" s="6" t="s">
        <v>110</v>
      </c>
      <c r="F722" s="6" t="str">
        <f aca="false">INDEX(Items!$B$5:$B$62,MATCH($E722,Items!$A$5:$A$62,0))</f>
        <v>FACIAL TREATMENT PRODUCTS (PROFESSIONAL USE)</v>
      </c>
      <c r="G722" s="6" t="str">
        <f aca="false">INDEX(Items!$C$5:$C$62,MATCH($E722,Items!$A$5:$A$62,0))</f>
        <v>Bulk</v>
      </c>
      <c r="H722" s="6" t="s">
        <v>161</v>
      </c>
      <c r="I722" s="6" t="s">
        <v>191</v>
      </c>
      <c r="J722" s="6" t="n">
        <f aca="false">SUMIFS(Kits!$C$5:$C$163,Kits!$A$5:$A$163,$D722,Kits!$B$5:$B$163,$E722)</f>
        <v>20</v>
      </c>
      <c r="K722" s="6" t="n">
        <f aca="false">INDEX(Services!$F$5:$F$85,MATCH($A722,Services!$A$5:$A$85,0))</f>
        <v>1</v>
      </c>
      <c r="L722" s="6" t="n">
        <f aca="false">IF($H722="Auto-deduct",IF($G722="Countable",ROUNDUP($J722*IF($I722="Y",$K722,1),0),ROUND($J722*IF($I722="Y",$K722,1),1)),$J722)</f>
        <v>20</v>
      </c>
      <c r="M722" s="6" t="str">
        <f aca="false">INDEX(Items!$E$5:$E$62,MATCH($E722,Items!$A$5:$A$62,0))</f>
        <v>g</v>
      </c>
      <c r="N722" s="6" t="n">
        <f aca="false">ROUND($L722/INDEX(Items!$F$5:$F$62,MATCH($E722,Items!$A$5:$A$62,0)),4)</f>
        <v>0.04</v>
      </c>
      <c r="O722" s="6"/>
    </row>
    <row r="723" customFormat="false" ht="15" hidden="false" customHeight="false" outlineLevel="0" collapsed="false">
      <c r="A723" s="6" t="n">
        <v>68</v>
      </c>
      <c r="B723" s="6" t="s">
        <v>381</v>
      </c>
      <c r="C723" s="6" t="s">
        <v>373</v>
      </c>
      <c r="D723" s="6" t="s">
        <v>190</v>
      </c>
      <c r="E723" s="6" t="s">
        <v>135</v>
      </c>
      <c r="F723" s="6" t="str">
        <f aca="false">INDEX(Items!$B$5:$B$62,MATCH($E723,Items!$A$5:$A$62,0))</f>
        <v>SKINCARE PRODUCTS (RETAIL / AFTERCARE)</v>
      </c>
      <c r="G723" s="6" t="str">
        <f aca="false">INDEX(Items!$C$5:$C$62,MATCH($E723,Items!$A$5:$A$62,0))</f>
        <v>Bulk</v>
      </c>
      <c r="H723" s="6" t="s">
        <v>161</v>
      </c>
      <c r="I723" s="6" t="s">
        <v>191</v>
      </c>
      <c r="J723" s="6" t="n">
        <f aca="false">SUMIFS(Kits!$C$5:$C$163,Kits!$A$5:$A$163,$D723,Kits!$B$5:$B$163,$E723)</f>
        <v>3</v>
      </c>
      <c r="K723" s="6" t="n">
        <f aca="false">INDEX(Services!$F$5:$F$85,MATCH($A723,Services!$A$5:$A$85,0))</f>
        <v>1</v>
      </c>
      <c r="L723" s="6" t="n">
        <f aca="false">IF($H723="Auto-deduct",IF($G723="Countable",ROUNDUP($J723*IF($I723="Y",$K723,1),0),ROUND($J723*IF($I723="Y",$K723,1),1)),$J723)</f>
        <v>3</v>
      </c>
      <c r="M723" s="6" t="str">
        <f aca="false">INDEX(Items!$E$5:$E$62,MATCH($E723,Items!$A$5:$A$62,0))</f>
        <v>g</v>
      </c>
      <c r="N723" s="6" t="n">
        <f aca="false">ROUND($L723/INDEX(Items!$F$5:$F$62,MATCH($E723,Items!$A$5:$A$62,0)),4)</f>
        <v>0.06</v>
      </c>
      <c r="O723" s="6"/>
    </row>
    <row r="724" customFormat="false" ht="15" hidden="false" customHeight="false" outlineLevel="0" collapsed="false">
      <c r="A724" s="6" t="n">
        <v>68</v>
      </c>
      <c r="B724" s="6" t="s">
        <v>381</v>
      </c>
      <c r="C724" s="6" t="s">
        <v>373</v>
      </c>
      <c r="D724" s="6" t="s">
        <v>190</v>
      </c>
      <c r="E724" s="6" t="s">
        <v>129</v>
      </c>
      <c r="F724" s="6" t="str">
        <f aca="false">INDEX(Items!$B$5:$B$62,MATCH($E724,Items!$A$5:$A$62,0))</f>
        <v>SKINCARE PRODUCTS (RETAIL / AFTERCARE)</v>
      </c>
      <c r="G724" s="6" t="str">
        <f aca="false">INDEX(Items!$C$5:$C$62,MATCH($E724,Items!$A$5:$A$62,0))</f>
        <v>Countable</v>
      </c>
      <c r="H724" s="6" t="s">
        <v>185</v>
      </c>
      <c r="I724" s="6" t="s">
        <v>160</v>
      </c>
      <c r="J724" s="6" t="n">
        <f aca="false">SUMIFS(Kits!$C$5:$C$163,Kits!$A$5:$A$163,$D724,Kits!$B$5:$B$163,$E724)</f>
        <v>1</v>
      </c>
      <c r="K724" s="6" t="n">
        <f aca="false">INDEX(Services!$F$5:$F$85,MATCH($A724,Services!$A$5:$A$85,0))</f>
        <v>1</v>
      </c>
      <c r="L724" s="6" t="n">
        <f aca="false">IF($H724="Auto-deduct",IF($G724="Countable",ROUNDUP($J724*IF($I724="Y",$K724,1),0),ROUND($J724*IF($I724="Y",$K724,1),1)),$J724)</f>
        <v>1</v>
      </c>
      <c r="M724" s="6" t="str">
        <f aca="false">INDEX(Items!$E$5:$E$62,MATCH($E724,Items!$A$5:$A$62,0))</f>
        <v>tube</v>
      </c>
      <c r="N724" s="6" t="n">
        <f aca="false">ROUND($L724/INDEX(Items!$F$5:$F$62,MATCH($E724,Items!$A$5:$A$62,0)),4)</f>
        <v>1</v>
      </c>
      <c r="O724" s="6"/>
    </row>
    <row r="725" customFormat="false" ht="15" hidden="false" customHeight="false" outlineLevel="0" collapsed="false">
      <c r="A725" s="6" t="n">
        <v>69</v>
      </c>
      <c r="B725" s="6" t="s">
        <v>331</v>
      </c>
      <c r="C725" s="6" t="s">
        <v>373</v>
      </c>
      <c r="D725" s="6" t="s">
        <v>159</v>
      </c>
      <c r="E725" s="6" t="s">
        <v>52</v>
      </c>
      <c r="F725" s="6" t="str">
        <f aca="false">INDEX(Items!$B$5:$B$62,MATCH($E725,Items!$A$5:$A$62,0))</f>
        <v>DISPOSABLES &amp; CLINIC CONSUMABLES</v>
      </c>
      <c r="G725" s="6" t="str">
        <f aca="false">INDEX(Items!$C$5:$C$62,MATCH($E725,Items!$A$5:$A$62,0))</f>
        <v>Countable</v>
      </c>
      <c r="H725" s="6" t="s">
        <v>161</v>
      </c>
      <c r="I725" s="6" t="s">
        <v>160</v>
      </c>
      <c r="J725" s="6" t="n">
        <f aca="false">SUMIFS(Kits!$C$5:$C$163,Kits!$A$5:$A$163,$D725,Kits!$B$5:$B$163,$E725)</f>
        <v>1</v>
      </c>
      <c r="K725" s="6" t="n">
        <f aca="false">INDEX(Services!$F$5:$F$85,MATCH($A725,Services!$A$5:$A$85,0))</f>
        <v>2</v>
      </c>
      <c r="L725" s="6" t="n">
        <f aca="false">IF($H725="Auto-deduct",IF($G725="Countable",ROUNDUP($J725*IF($I725="Y",$K725,1),0),ROUND($J725*IF($I725="Y",$K725,1),1)),$J725)</f>
        <v>1</v>
      </c>
      <c r="M725" s="6" t="str">
        <f aca="false">INDEX(Items!$E$5:$E$62,MATCH($E725,Items!$A$5:$A$62,0))</f>
        <v>pc</v>
      </c>
      <c r="N725" s="6" t="n">
        <f aca="false">ROUND($L725/INDEX(Items!$F$5:$F$62,MATCH($E725,Items!$A$5:$A$62,0)),4)</f>
        <v>1</v>
      </c>
      <c r="O725" s="6"/>
    </row>
    <row r="726" customFormat="false" ht="15" hidden="false" customHeight="false" outlineLevel="0" collapsed="false">
      <c r="A726" s="6" t="n">
        <v>69</v>
      </c>
      <c r="B726" s="6" t="s">
        <v>331</v>
      </c>
      <c r="C726" s="6" t="s">
        <v>373</v>
      </c>
      <c r="D726" s="6" t="s">
        <v>159</v>
      </c>
      <c r="E726" s="6" t="s">
        <v>53</v>
      </c>
      <c r="F726" s="6" t="str">
        <f aca="false">INDEX(Items!$B$5:$B$62,MATCH($E726,Items!$A$5:$A$62,0))</f>
        <v>DISPOSABLES &amp; CLINIC CONSUMABLES</v>
      </c>
      <c r="G726" s="6" t="str">
        <f aca="false">INDEX(Items!$C$5:$C$62,MATCH($E726,Items!$A$5:$A$62,0))</f>
        <v>Countable</v>
      </c>
      <c r="H726" s="6" t="s">
        <v>161</v>
      </c>
      <c r="I726" s="6" t="s">
        <v>160</v>
      </c>
      <c r="J726" s="6" t="n">
        <f aca="false">SUMIFS(Kits!$C$5:$C$163,Kits!$A$5:$A$163,$D726,Kits!$B$5:$B$163,$E726)</f>
        <v>1</v>
      </c>
      <c r="K726" s="6" t="n">
        <f aca="false">INDEX(Services!$F$5:$F$85,MATCH($A726,Services!$A$5:$A$85,0))</f>
        <v>2</v>
      </c>
      <c r="L726" s="6" t="n">
        <f aca="false">IF($H726="Auto-deduct",IF($G726="Countable",ROUNDUP($J726*IF($I726="Y",$K726,1),0),ROUND($J726*IF($I726="Y",$K726,1),1)),$J726)</f>
        <v>1</v>
      </c>
      <c r="M726" s="6" t="str">
        <f aca="false">INDEX(Items!$E$5:$E$62,MATCH($E726,Items!$A$5:$A$62,0))</f>
        <v>pair</v>
      </c>
      <c r="N726" s="6" t="n">
        <f aca="false">ROUND($L726/INDEX(Items!$F$5:$F$62,MATCH($E726,Items!$A$5:$A$62,0)),4)</f>
        <v>1</v>
      </c>
      <c r="O726" s="6"/>
    </row>
    <row r="727" customFormat="false" ht="15" hidden="false" customHeight="false" outlineLevel="0" collapsed="false">
      <c r="A727" s="6" t="n">
        <v>69</v>
      </c>
      <c r="B727" s="6" t="s">
        <v>331</v>
      </c>
      <c r="C727" s="6" t="s">
        <v>373</v>
      </c>
      <c r="D727" s="6" t="s">
        <v>159</v>
      </c>
      <c r="E727" s="6" t="s">
        <v>88</v>
      </c>
      <c r="F727" s="6" t="str">
        <f aca="false">INDEX(Items!$B$5:$B$62,MATCH($E727,Items!$A$5:$A$62,0))</f>
        <v>DISPOSABLES &amp; CLINIC CONSUMABLES</v>
      </c>
      <c r="G727" s="6" t="str">
        <f aca="false">INDEX(Items!$C$5:$C$62,MATCH($E727,Items!$A$5:$A$62,0))</f>
        <v>Bulk</v>
      </c>
      <c r="H727" s="6" t="s">
        <v>161</v>
      </c>
      <c r="I727" s="6" t="s">
        <v>160</v>
      </c>
      <c r="J727" s="6" t="n">
        <f aca="false">SUMIFS(Kits!$C$5:$C$163,Kits!$A$5:$A$163,$D727,Kits!$B$5:$B$163,$E727)</f>
        <v>5</v>
      </c>
      <c r="K727" s="6" t="n">
        <f aca="false">INDEX(Services!$F$5:$F$85,MATCH($A727,Services!$A$5:$A$85,0))</f>
        <v>2</v>
      </c>
      <c r="L727" s="6" t="n">
        <f aca="false">IF($H727="Auto-deduct",IF($G727="Countable",ROUNDUP($J727*IF($I727="Y",$K727,1),0),ROUND($J727*IF($I727="Y",$K727,1),1)),$J727)</f>
        <v>5</v>
      </c>
      <c r="M727" s="6" t="str">
        <f aca="false">INDEX(Items!$E$5:$E$62,MATCH($E727,Items!$A$5:$A$62,0))</f>
        <v>mL</v>
      </c>
      <c r="N727" s="6" t="n">
        <f aca="false">ROUND($L727/INDEX(Items!$F$5:$F$62,MATCH($E727,Items!$A$5:$A$62,0)),4)</f>
        <v>0.01</v>
      </c>
      <c r="O727" s="6"/>
    </row>
    <row r="728" customFormat="false" ht="15" hidden="false" customHeight="false" outlineLevel="0" collapsed="false">
      <c r="A728" s="6" t="n">
        <v>69</v>
      </c>
      <c r="B728" s="6" t="s">
        <v>331</v>
      </c>
      <c r="C728" s="6" t="s">
        <v>373</v>
      </c>
      <c r="D728" s="6" t="s">
        <v>190</v>
      </c>
      <c r="E728" s="6" t="s">
        <v>95</v>
      </c>
      <c r="F728" s="6" t="str">
        <f aca="false">INDEX(Items!$B$5:$B$62,MATCH($E728,Items!$A$5:$A$62,0))</f>
        <v>FACIAL / TREATMENT PREP PRODUCTS</v>
      </c>
      <c r="G728" s="6" t="str">
        <f aca="false">INDEX(Items!$C$5:$C$62,MATCH($E728,Items!$A$5:$A$62,0))</f>
        <v>Bulk</v>
      </c>
      <c r="H728" s="6" t="s">
        <v>161</v>
      </c>
      <c r="I728" s="6" t="s">
        <v>191</v>
      </c>
      <c r="J728" s="6" t="n">
        <f aca="false">SUMIFS(Kits!$C$5:$C$163,Kits!$A$5:$A$163,$D728,Kits!$B$5:$B$163,$E728)</f>
        <v>5</v>
      </c>
      <c r="K728" s="6" t="n">
        <f aca="false">INDEX(Services!$F$5:$F$85,MATCH($A728,Services!$A$5:$A$85,0))</f>
        <v>2</v>
      </c>
      <c r="L728" s="6" t="n">
        <f aca="false">IF($H728="Auto-deduct",IF($G728="Countable",ROUNDUP($J728*IF($I728="Y",$K728,1),0),ROUND($J728*IF($I728="Y",$K728,1),1)),$J728)</f>
        <v>10</v>
      </c>
      <c r="M728" s="6" t="str">
        <f aca="false">INDEX(Items!$E$5:$E$62,MATCH($E728,Items!$A$5:$A$62,0))</f>
        <v>mL</v>
      </c>
      <c r="N728" s="6" t="n">
        <f aca="false">ROUND($L728/INDEX(Items!$F$5:$F$62,MATCH($E728,Items!$A$5:$A$62,0)),4)</f>
        <v>0.02</v>
      </c>
      <c r="O728" s="6"/>
    </row>
    <row r="729" customFormat="false" ht="15" hidden="false" customHeight="false" outlineLevel="0" collapsed="false">
      <c r="A729" s="6" t="n">
        <v>69</v>
      </c>
      <c r="B729" s="6" t="s">
        <v>331</v>
      </c>
      <c r="C729" s="6" t="s">
        <v>373</v>
      </c>
      <c r="D729" s="6" t="s">
        <v>190</v>
      </c>
      <c r="E729" s="6" t="s">
        <v>69</v>
      </c>
      <c r="F729" s="6" t="str">
        <f aca="false">INDEX(Items!$B$5:$B$62,MATCH($E729,Items!$A$5:$A$62,0))</f>
        <v>DISPOSABLES &amp; CLINIC CONSUMABLES</v>
      </c>
      <c r="G729" s="6" t="str">
        <f aca="false">INDEX(Items!$C$5:$C$62,MATCH($E729,Items!$A$5:$A$62,0))</f>
        <v>Bulk</v>
      </c>
      <c r="H729" s="6" t="s">
        <v>161</v>
      </c>
      <c r="I729" s="6" t="s">
        <v>191</v>
      </c>
      <c r="J729" s="6" t="n">
        <f aca="false">SUMIFS(Kits!$C$5:$C$163,Kits!$A$5:$A$163,$D729,Kits!$B$5:$B$163,$E729)</f>
        <v>5</v>
      </c>
      <c r="K729" s="6" t="n">
        <f aca="false">INDEX(Services!$F$5:$F$85,MATCH($A729,Services!$A$5:$A$85,0))</f>
        <v>2</v>
      </c>
      <c r="L729" s="6" t="n">
        <f aca="false">IF($H729="Auto-deduct",IF($G729="Countable",ROUNDUP($J729*IF($I729="Y",$K729,1),0),ROUND($J729*IF($I729="Y",$K729,1),1)),$J729)</f>
        <v>10</v>
      </c>
      <c r="M729" s="6" t="str">
        <f aca="false">INDEX(Items!$E$5:$E$62,MATCH($E729,Items!$A$5:$A$62,0))</f>
        <v>g</v>
      </c>
      <c r="N729" s="6" t="n">
        <f aca="false">ROUND($L729/INDEX(Items!$F$5:$F$62,MATCH($E729,Items!$A$5:$A$62,0)),4)</f>
        <v>0.025</v>
      </c>
      <c r="O729" s="6"/>
    </row>
    <row r="730" customFormat="false" ht="15" hidden="false" customHeight="false" outlineLevel="0" collapsed="false">
      <c r="A730" s="6" t="n">
        <v>69</v>
      </c>
      <c r="B730" s="6" t="s">
        <v>331</v>
      </c>
      <c r="C730" s="6" t="s">
        <v>373</v>
      </c>
      <c r="D730" s="6" t="s">
        <v>190</v>
      </c>
      <c r="E730" s="6" t="s">
        <v>72</v>
      </c>
      <c r="F730" s="6" t="str">
        <f aca="false">INDEX(Items!$B$5:$B$62,MATCH($E730,Items!$A$5:$A$62,0))</f>
        <v>DISPOSABLES &amp; CLINIC CONSUMABLES</v>
      </c>
      <c r="G730" s="6" t="str">
        <f aca="false">INDEX(Items!$C$5:$C$62,MATCH($E730,Items!$A$5:$A$62,0))</f>
        <v>Bulk</v>
      </c>
      <c r="H730" s="6" t="s">
        <v>161</v>
      </c>
      <c r="I730" s="6" t="s">
        <v>191</v>
      </c>
      <c r="J730" s="6" t="n">
        <f aca="false">SUMIFS(Kits!$C$5:$C$163,Kits!$A$5:$A$163,$D730,Kits!$B$5:$B$163,$E730)</f>
        <v>6</v>
      </c>
      <c r="K730" s="6" t="n">
        <f aca="false">INDEX(Services!$F$5:$F$85,MATCH($A730,Services!$A$5:$A$85,0))</f>
        <v>2</v>
      </c>
      <c r="L730" s="6" t="n">
        <f aca="false">IF($H730="Auto-deduct",IF($G730="Countable",ROUNDUP($J730*IF($I730="Y",$K730,1),0),ROUND($J730*IF($I730="Y",$K730,1),1)),$J730)</f>
        <v>12</v>
      </c>
      <c r="M730" s="6" t="str">
        <f aca="false">INDEX(Items!$E$5:$E$62,MATCH($E730,Items!$A$5:$A$62,0))</f>
        <v>pc</v>
      </c>
      <c r="N730" s="6" t="n">
        <f aca="false">ROUND($L730/INDEX(Items!$F$5:$F$62,MATCH($E730,Items!$A$5:$A$62,0)),4)</f>
        <v>0.12</v>
      </c>
      <c r="O730" s="6"/>
    </row>
    <row r="731" customFormat="false" ht="15" hidden="false" customHeight="false" outlineLevel="0" collapsed="false">
      <c r="A731" s="6" t="n">
        <v>69</v>
      </c>
      <c r="B731" s="6" t="s">
        <v>331</v>
      </c>
      <c r="C731" s="6" t="s">
        <v>373</v>
      </c>
      <c r="D731" s="6" t="s">
        <v>190</v>
      </c>
      <c r="E731" s="6" t="s">
        <v>81</v>
      </c>
      <c r="F731" s="6" t="str">
        <f aca="false">INDEX(Items!$B$5:$B$62,MATCH($E731,Items!$A$5:$A$62,0))</f>
        <v>DISPOSABLES &amp; CLINIC CONSUMABLES</v>
      </c>
      <c r="G731" s="6" t="str">
        <f aca="false">INDEX(Items!$C$5:$C$62,MATCH($E731,Items!$A$5:$A$62,0))</f>
        <v>Bulk</v>
      </c>
      <c r="H731" s="6" t="s">
        <v>161</v>
      </c>
      <c r="I731" s="6" t="s">
        <v>191</v>
      </c>
      <c r="J731" s="6" t="n">
        <f aca="false">SUMIFS(Kits!$C$5:$C$163,Kits!$A$5:$A$163,$D731,Kits!$B$5:$B$163,$E731)</f>
        <v>4</v>
      </c>
      <c r="K731" s="6" t="n">
        <f aca="false">INDEX(Services!$F$5:$F$85,MATCH($A731,Services!$A$5:$A$85,0))</f>
        <v>2</v>
      </c>
      <c r="L731" s="6" t="n">
        <f aca="false">IF($H731="Auto-deduct",IF($G731="Countable",ROUNDUP($J731*IF($I731="Y",$K731,1),0),ROUND($J731*IF($I731="Y",$K731,1),1)),$J731)</f>
        <v>8</v>
      </c>
      <c r="M731" s="6" t="str">
        <f aca="false">INDEX(Items!$E$5:$E$62,MATCH($E731,Items!$A$5:$A$62,0))</f>
        <v>pc</v>
      </c>
      <c r="N731" s="6" t="n">
        <f aca="false">ROUND($L731/INDEX(Items!$F$5:$F$62,MATCH($E731,Items!$A$5:$A$62,0)),4)</f>
        <v>0.08</v>
      </c>
      <c r="O731" s="6"/>
    </row>
    <row r="732" customFormat="false" ht="15" hidden="false" customHeight="false" outlineLevel="0" collapsed="false">
      <c r="A732" s="6" t="n">
        <v>69</v>
      </c>
      <c r="B732" s="6" t="s">
        <v>331</v>
      </c>
      <c r="C732" s="6" t="s">
        <v>373</v>
      </c>
      <c r="D732" s="6" t="s">
        <v>190</v>
      </c>
      <c r="E732" s="6" t="s">
        <v>58</v>
      </c>
      <c r="F732" s="6" t="str">
        <f aca="false">INDEX(Items!$B$5:$B$62,MATCH($E732,Items!$A$5:$A$62,0))</f>
        <v>DISPOSABLES &amp; CLINIC CONSUMABLES</v>
      </c>
      <c r="G732" s="6" t="str">
        <f aca="false">INDEX(Items!$C$5:$C$62,MATCH($E732,Items!$A$5:$A$62,0))</f>
        <v>Bulk</v>
      </c>
      <c r="H732" s="6" t="s">
        <v>161</v>
      </c>
      <c r="I732" s="6" t="s">
        <v>191</v>
      </c>
      <c r="J732" s="6" t="n">
        <f aca="false">SUMIFS(Kits!$C$5:$C$163,Kits!$A$5:$A$163,$D732,Kits!$B$5:$B$163,$E732)</f>
        <v>4</v>
      </c>
      <c r="K732" s="6" t="n">
        <f aca="false">INDEX(Services!$F$5:$F$85,MATCH($A732,Services!$A$5:$A$85,0))</f>
        <v>2</v>
      </c>
      <c r="L732" s="6" t="n">
        <f aca="false">IF($H732="Auto-deduct",IF($G732="Countable",ROUNDUP($J732*IF($I732="Y",$K732,1),0),ROUND($J732*IF($I732="Y",$K732,1),1)),$J732)</f>
        <v>8</v>
      </c>
      <c r="M732" s="6" t="str">
        <f aca="false">INDEX(Items!$E$5:$E$62,MATCH($E732,Items!$A$5:$A$62,0))</f>
        <v>sheet</v>
      </c>
      <c r="N732" s="6" t="n">
        <f aca="false">ROUND($L732/INDEX(Items!$F$5:$F$62,MATCH($E732,Items!$A$5:$A$62,0)),4)</f>
        <v>0.04</v>
      </c>
      <c r="O732" s="6"/>
    </row>
    <row r="733" customFormat="false" ht="15" hidden="false" customHeight="false" outlineLevel="0" collapsed="false">
      <c r="A733" s="6" t="n">
        <v>69</v>
      </c>
      <c r="B733" s="6" t="s">
        <v>331</v>
      </c>
      <c r="C733" s="6" t="s">
        <v>373</v>
      </c>
      <c r="D733" s="6" t="s">
        <v>190</v>
      </c>
      <c r="E733" s="6" t="s">
        <v>86</v>
      </c>
      <c r="F733" s="6" t="str">
        <f aca="false">INDEX(Items!$B$5:$B$62,MATCH($E733,Items!$A$5:$A$62,0))</f>
        <v>DISPOSABLES &amp; CLINIC CONSUMABLES</v>
      </c>
      <c r="G733" s="6" t="str">
        <f aca="false">INDEX(Items!$C$5:$C$62,MATCH($E733,Items!$A$5:$A$62,0))</f>
        <v>Bulk</v>
      </c>
      <c r="H733" s="6" t="s">
        <v>161</v>
      </c>
      <c r="I733" s="6" t="s">
        <v>191</v>
      </c>
      <c r="J733" s="6" t="n">
        <f aca="false">SUMIFS(Kits!$C$5:$C$163,Kits!$A$5:$A$163,$D733,Kits!$B$5:$B$163,$E733)</f>
        <v>2</v>
      </c>
      <c r="K733" s="6" t="n">
        <f aca="false">INDEX(Services!$F$5:$F$85,MATCH($A733,Services!$A$5:$A$85,0))</f>
        <v>2</v>
      </c>
      <c r="L733" s="6" t="n">
        <f aca="false">IF($H733="Auto-deduct",IF($G733="Countable",ROUNDUP($J733*IF($I733="Y",$K733,1),0),ROUND($J733*IF($I733="Y",$K733,1),1)),$J733)</f>
        <v>4</v>
      </c>
      <c r="M733" s="6" t="str">
        <f aca="false">INDEX(Items!$E$5:$E$62,MATCH($E733,Items!$A$5:$A$62,0))</f>
        <v>pc</v>
      </c>
      <c r="N733" s="6" t="n">
        <f aca="false">ROUND($L733/INDEX(Items!$F$5:$F$62,MATCH($E733,Items!$A$5:$A$62,0)),4)</f>
        <v>0.05</v>
      </c>
      <c r="O733" s="6"/>
    </row>
    <row r="734" customFormat="false" ht="15" hidden="false" customHeight="false" outlineLevel="0" collapsed="false">
      <c r="A734" s="6" t="n">
        <v>69</v>
      </c>
      <c r="B734" s="6" t="s">
        <v>331</v>
      </c>
      <c r="C734" s="6" t="s">
        <v>373</v>
      </c>
      <c r="D734" s="6" t="s">
        <v>190</v>
      </c>
      <c r="E734" s="6" t="s">
        <v>110</v>
      </c>
      <c r="F734" s="6" t="str">
        <f aca="false">INDEX(Items!$B$5:$B$62,MATCH($E734,Items!$A$5:$A$62,0))</f>
        <v>FACIAL TREATMENT PRODUCTS (PROFESSIONAL USE)</v>
      </c>
      <c r="G734" s="6" t="str">
        <f aca="false">INDEX(Items!$C$5:$C$62,MATCH($E734,Items!$A$5:$A$62,0))</f>
        <v>Bulk</v>
      </c>
      <c r="H734" s="6" t="s">
        <v>161</v>
      </c>
      <c r="I734" s="6" t="s">
        <v>191</v>
      </c>
      <c r="J734" s="6" t="n">
        <f aca="false">SUMIFS(Kits!$C$5:$C$163,Kits!$A$5:$A$163,$D734,Kits!$B$5:$B$163,$E734)</f>
        <v>20</v>
      </c>
      <c r="K734" s="6" t="n">
        <f aca="false">INDEX(Services!$F$5:$F$85,MATCH($A734,Services!$A$5:$A$85,0))</f>
        <v>2</v>
      </c>
      <c r="L734" s="6" t="n">
        <f aca="false">IF($H734="Auto-deduct",IF($G734="Countable",ROUNDUP($J734*IF($I734="Y",$K734,1),0),ROUND($J734*IF($I734="Y",$K734,1),1)),$J734)</f>
        <v>40</v>
      </c>
      <c r="M734" s="6" t="str">
        <f aca="false">INDEX(Items!$E$5:$E$62,MATCH($E734,Items!$A$5:$A$62,0))</f>
        <v>g</v>
      </c>
      <c r="N734" s="6" t="n">
        <f aca="false">ROUND($L734/INDEX(Items!$F$5:$F$62,MATCH($E734,Items!$A$5:$A$62,0)),4)</f>
        <v>0.08</v>
      </c>
      <c r="O734" s="6"/>
    </row>
    <row r="735" customFormat="false" ht="15" hidden="false" customHeight="false" outlineLevel="0" collapsed="false">
      <c r="A735" s="6" t="n">
        <v>69</v>
      </c>
      <c r="B735" s="6" t="s">
        <v>331</v>
      </c>
      <c r="C735" s="6" t="s">
        <v>373</v>
      </c>
      <c r="D735" s="6" t="s">
        <v>190</v>
      </c>
      <c r="E735" s="6" t="s">
        <v>135</v>
      </c>
      <c r="F735" s="6" t="str">
        <f aca="false">INDEX(Items!$B$5:$B$62,MATCH($E735,Items!$A$5:$A$62,0))</f>
        <v>SKINCARE PRODUCTS (RETAIL / AFTERCARE)</v>
      </c>
      <c r="G735" s="6" t="str">
        <f aca="false">INDEX(Items!$C$5:$C$62,MATCH($E735,Items!$A$5:$A$62,0))</f>
        <v>Bulk</v>
      </c>
      <c r="H735" s="6" t="s">
        <v>161</v>
      </c>
      <c r="I735" s="6" t="s">
        <v>191</v>
      </c>
      <c r="J735" s="6" t="n">
        <f aca="false">SUMIFS(Kits!$C$5:$C$163,Kits!$A$5:$A$163,$D735,Kits!$B$5:$B$163,$E735)</f>
        <v>3</v>
      </c>
      <c r="K735" s="6" t="n">
        <f aca="false">INDEX(Services!$F$5:$F$85,MATCH($A735,Services!$A$5:$A$85,0))</f>
        <v>2</v>
      </c>
      <c r="L735" s="6" t="n">
        <f aca="false">IF($H735="Auto-deduct",IF($G735="Countable",ROUNDUP($J735*IF($I735="Y",$K735,1),0),ROUND($J735*IF($I735="Y",$K735,1),1)),$J735)</f>
        <v>6</v>
      </c>
      <c r="M735" s="6" t="str">
        <f aca="false">INDEX(Items!$E$5:$E$62,MATCH($E735,Items!$A$5:$A$62,0))</f>
        <v>g</v>
      </c>
      <c r="N735" s="6" t="n">
        <f aca="false">ROUND($L735/INDEX(Items!$F$5:$F$62,MATCH($E735,Items!$A$5:$A$62,0)),4)</f>
        <v>0.12</v>
      </c>
      <c r="O735" s="6"/>
    </row>
    <row r="736" customFormat="false" ht="15" hidden="false" customHeight="false" outlineLevel="0" collapsed="false">
      <c r="A736" s="6" t="n">
        <v>69</v>
      </c>
      <c r="B736" s="6" t="s">
        <v>331</v>
      </c>
      <c r="C736" s="6" t="s">
        <v>373</v>
      </c>
      <c r="D736" s="6" t="s">
        <v>190</v>
      </c>
      <c r="E736" s="6" t="s">
        <v>129</v>
      </c>
      <c r="F736" s="6" t="str">
        <f aca="false">INDEX(Items!$B$5:$B$62,MATCH($E736,Items!$A$5:$A$62,0))</f>
        <v>SKINCARE PRODUCTS (RETAIL / AFTERCARE)</v>
      </c>
      <c r="G736" s="6" t="str">
        <f aca="false">INDEX(Items!$C$5:$C$62,MATCH($E736,Items!$A$5:$A$62,0))</f>
        <v>Countable</v>
      </c>
      <c r="H736" s="6" t="s">
        <v>185</v>
      </c>
      <c r="I736" s="6" t="s">
        <v>160</v>
      </c>
      <c r="J736" s="6" t="n">
        <f aca="false">SUMIFS(Kits!$C$5:$C$163,Kits!$A$5:$A$163,$D736,Kits!$B$5:$B$163,$E736)</f>
        <v>1</v>
      </c>
      <c r="K736" s="6" t="n">
        <f aca="false">INDEX(Services!$F$5:$F$85,MATCH($A736,Services!$A$5:$A$85,0))</f>
        <v>2</v>
      </c>
      <c r="L736" s="6" t="n">
        <f aca="false">IF($H736="Auto-deduct",IF($G736="Countable",ROUNDUP($J736*IF($I736="Y",$K736,1),0),ROUND($J736*IF($I736="Y",$K736,1),1)),$J736)</f>
        <v>1</v>
      </c>
      <c r="M736" s="6" t="str">
        <f aca="false">INDEX(Items!$E$5:$E$62,MATCH($E736,Items!$A$5:$A$62,0))</f>
        <v>tube</v>
      </c>
      <c r="N736" s="6" t="n">
        <f aca="false">ROUND($L736/INDEX(Items!$F$5:$F$62,MATCH($E736,Items!$A$5:$A$62,0)),4)</f>
        <v>1</v>
      </c>
      <c r="O736" s="6"/>
    </row>
    <row r="737" customFormat="false" ht="15" hidden="false" customHeight="false" outlineLevel="0" collapsed="false">
      <c r="A737" s="6" t="n">
        <v>70</v>
      </c>
      <c r="B737" s="6" t="s">
        <v>382</v>
      </c>
      <c r="C737" s="6" t="s">
        <v>373</v>
      </c>
      <c r="D737" s="6" t="s">
        <v>159</v>
      </c>
      <c r="E737" s="6" t="s">
        <v>52</v>
      </c>
      <c r="F737" s="6" t="str">
        <f aca="false">INDEX(Items!$B$5:$B$62,MATCH($E737,Items!$A$5:$A$62,0))</f>
        <v>DISPOSABLES &amp; CLINIC CONSUMABLES</v>
      </c>
      <c r="G737" s="6" t="str">
        <f aca="false">INDEX(Items!$C$5:$C$62,MATCH($E737,Items!$A$5:$A$62,0))</f>
        <v>Countable</v>
      </c>
      <c r="H737" s="6" t="s">
        <v>161</v>
      </c>
      <c r="I737" s="6" t="s">
        <v>160</v>
      </c>
      <c r="J737" s="6" t="n">
        <f aca="false">SUMIFS(Kits!$C$5:$C$163,Kits!$A$5:$A$163,$D737,Kits!$B$5:$B$163,$E737)</f>
        <v>1</v>
      </c>
      <c r="K737" s="6" t="n">
        <f aca="false">INDEX(Services!$F$5:$F$85,MATCH($A737,Services!$A$5:$A$85,0))</f>
        <v>2</v>
      </c>
      <c r="L737" s="6" t="n">
        <f aca="false">IF($H737="Auto-deduct",IF($G737="Countable",ROUNDUP($J737*IF($I737="Y",$K737,1),0),ROUND($J737*IF($I737="Y",$K737,1),1)),$J737)</f>
        <v>1</v>
      </c>
      <c r="M737" s="6" t="str">
        <f aca="false">INDEX(Items!$E$5:$E$62,MATCH($E737,Items!$A$5:$A$62,0))</f>
        <v>pc</v>
      </c>
      <c r="N737" s="6" t="n">
        <f aca="false">ROUND($L737/INDEX(Items!$F$5:$F$62,MATCH($E737,Items!$A$5:$A$62,0)),4)</f>
        <v>1</v>
      </c>
      <c r="O737" s="6"/>
    </row>
    <row r="738" customFormat="false" ht="15" hidden="false" customHeight="false" outlineLevel="0" collapsed="false">
      <c r="A738" s="6" t="n">
        <v>70</v>
      </c>
      <c r="B738" s="6" t="s">
        <v>382</v>
      </c>
      <c r="C738" s="6" t="s">
        <v>373</v>
      </c>
      <c r="D738" s="6" t="s">
        <v>159</v>
      </c>
      <c r="E738" s="6" t="s">
        <v>53</v>
      </c>
      <c r="F738" s="6" t="str">
        <f aca="false">INDEX(Items!$B$5:$B$62,MATCH($E738,Items!$A$5:$A$62,0))</f>
        <v>DISPOSABLES &amp; CLINIC CONSUMABLES</v>
      </c>
      <c r="G738" s="6" t="str">
        <f aca="false">INDEX(Items!$C$5:$C$62,MATCH($E738,Items!$A$5:$A$62,0))</f>
        <v>Countable</v>
      </c>
      <c r="H738" s="6" t="s">
        <v>161</v>
      </c>
      <c r="I738" s="6" t="s">
        <v>160</v>
      </c>
      <c r="J738" s="6" t="n">
        <f aca="false">SUMIFS(Kits!$C$5:$C$163,Kits!$A$5:$A$163,$D738,Kits!$B$5:$B$163,$E738)</f>
        <v>1</v>
      </c>
      <c r="K738" s="6" t="n">
        <f aca="false">INDEX(Services!$F$5:$F$85,MATCH($A738,Services!$A$5:$A$85,0))</f>
        <v>2</v>
      </c>
      <c r="L738" s="6" t="n">
        <f aca="false">IF($H738="Auto-deduct",IF($G738="Countable",ROUNDUP($J738*IF($I738="Y",$K738,1),0),ROUND($J738*IF($I738="Y",$K738,1),1)),$J738)</f>
        <v>1</v>
      </c>
      <c r="M738" s="6" t="str">
        <f aca="false">INDEX(Items!$E$5:$E$62,MATCH($E738,Items!$A$5:$A$62,0))</f>
        <v>pair</v>
      </c>
      <c r="N738" s="6" t="n">
        <f aca="false">ROUND($L738/INDEX(Items!$F$5:$F$62,MATCH($E738,Items!$A$5:$A$62,0)),4)</f>
        <v>1</v>
      </c>
      <c r="O738" s="6"/>
    </row>
    <row r="739" customFormat="false" ht="15" hidden="false" customHeight="false" outlineLevel="0" collapsed="false">
      <c r="A739" s="6" t="n">
        <v>70</v>
      </c>
      <c r="B739" s="6" t="s">
        <v>382</v>
      </c>
      <c r="C739" s="6" t="s">
        <v>373</v>
      </c>
      <c r="D739" s="6" t="s">
        <v>159</v>
      </c>
      <c r="E739" s="6" t="s">
        <v>88</v>
      </c>
      <c r="F739" s="6" t="str">
        <f aca="false">INDEX(Items!$B$5:$B$62,MATCH($E739,Items!$A$5:$A$62,0))</f>
        <v>DISPOSABLES &amp; CLINIC CONSUMABLES</v>
      </c>
      <c r="G739" s="6" t="str">
        <f aca="false">INDEX(Items!$C$5:$C$62,MATCH($E739,Items!$A$5:$A$62,0))</f>
        <v>Bulk</v>
      </c>
      <c r="H739" s="6" t="s">
        <v>161</v>
      </c>
      <c r="I739" s="6" t="s">
        <v>160</v>
      </c>
      <c r="J739" s="6" t="n">
        <f aca="false">SUMIFS(Kits!$C$5:$C$163,Kits!$A$5:$A$163,$D739,Kits!$B$5:$B$163,$E739)</f>
        <v>5</v>
      </c>
      <c r="K739" s="6" t="n">
        <f aca="false">INDEX(Services!$F$5:$F$85,MATCH($A739,Services!$A$5:$A$85,0))</f>
        <v>2</v>
      </c>
      <c r="L739" s="6" t="n">
        <f aca="false">IF($H739="Auto-deduct",IF($G739="Countable",ROUNDUP($J739*IF($I739="Y",$K739,1),0),ROUND($J739*IF($I739="Y",$K739,1),1)),$J739)</f>
        <v>5</v>
      </c>
      <c r="M739" s="6" t="str">
        <f aca="false">INDEX(Items!$E$5:$E$62,MATCH($E739,Items!$A$5:$A$62,0))</f>
        <v>mL</v>
      </c>
      <c r="N739" s="6" t="n">
        <f aca="false">ROUND($L739/INDEX(Items!$F$5:$F$62,MATCH($E739,Items!$A$5:$A$62,0)),4)</f>
        <v>0.01</v>
      </c>
      <c r="O739" s="6"/>
    </row>
    <row r="740" customFormat="false" ht="15" hidden="false" customHeight="false" outlineLevel="0" collapsed="false">
      <c r="A740" s="6" t="n">
        <v>70</v>
      </c>
      <c r="B740" s="6" t="s">
        <v>382</v>
      </c>
      <c r="C740" s="6" t="s">
        <v>373</v>
      </c>
      <c r="D740" s="6" t="s">
        <v>190</v>
      </c>
      <c r="E740" s="6" t="s">
        <v>95</v>
      </c>
      <c r="F740" s="6" t="str">
        <f aca="false">INDEX(Items!$B$5:$B$62,MATCH($E740,Items!$A$5:$A$62,0))</f>
        <v>FACIAL / TREATMENT PREP PRODUCTS</v>
      </c>
      <c r="G740" s="6" t="str">
        <f aca="false">INDEX(Items!$C$5:$C$62,MATCH($E740,Items!$A$5:$A$62,0))</f>
        <v>Bulk</v>
      </c>
      <c r="H740" s="6" t="s">
        <v>161</v>
      </c>
      <c r="I740" s="6" t="s">
        <v>191</v>
      </c>
      <c r="J740" s="6" t="n">
        <f aca="false">SUMIFS(Kits!$C$5:$C$163,Kits!$A$5:$A$163,$D740,Kits!$B$5:$B$163,$E740)</f>
        <v>5</v>
      </c>
      <c r="K740" s="6" t="n">
        <f aca="false">INDEX(Services!$F$5:$F$85,MATCH($A740,Services!$A$5:$A$85,0))</f>
        <v>2</v>
      </c>
      <c r="L740" s="6" t="n">
        <f aca="false">IF($H740="Auto-deduct",IF($G740="Countable",ROUNDUP($J740*IF($I740="Y",$K740,1),0),ROUND($J740*IF($I740="Y",$K740,1),1)),$J740)</f>
        <v>10</v>
      </c>
      <c r="M740" s="6" t="str">
        <f aca="false">INDEX(Items!$E$5:$E$62,MATCH($E740,Items!$A$5:$A$62,0))</f>
        <v>mL</v>
      </c>
      <c r="N740" s="6" t="n">
        <f aca="false">ROUND($L740/INDEX(Items!$F$5:$F$62,MATCH($E740,Items!$A$5:$A$62,0)),4)</f>
        <v>0.02</v>
      </c>
      <c r="O740" s="6"/>
    </row>
    <row r="741" customFormat="false" ht="15" hidden="false" customHeight="false" outlineLevel="0" collapsed="false">
      <c r="A741" s="6" t="n">
        <v>70</v>
      </c>
      <c r="B741" s="6" t="s">
        <v>382</v>
      </c>
      <c r="C741" s="6" t="s">
        <v>373</v>
      </c>
      <c r="D741" s="6" t="s">
        <v>190</v>
      </c>
      <c r="E741" s="6" t="s">
        <v>69</v>
      </c>
      <c r="F741" s="6" t="str">
        <f aca="false">INDEX(Items!$B$5:$B$62,MATCH($E741,Items!$A$5:$A$62,0))</f>
        <v>DISPOSABLES &amp; CLINIC CONSUMABLES</v>
      </c>
      <c r="G741" s="6" t="str">
        <f aca="false">INDEX(Items!$C$5:$C$62,MATCH($E741,Items!$A$5:$A$62,0))</f>
        <v>Bulk</v>
      </c>
      <c r="H741" s="6" t="s">
        <v>161</v>
      </c>
      <c r="I741" s="6" t="s">
        <v>191</v>
      </c>
      <c r="J741" s="6" t="n">
        <f aca="false">SUMIFS(Kits!$C$5:$C$163,Kits!$A$5:$A$163,$D741,Kits!$B$5:$B$163,$E741)</f>
        <v>5</v>
      </c>
      <c r="K741" s="6" t="n">
        <f aca="false">INDEX(Services!$F$5:$F$85,MATCH($A741,Services!$A$5:$A$85,0))</f>
        <v>2</v>
      </c>
      <c r="L741" s="6" t="n">
        <f aca="false">IF($H741="Auto-deduct",IF($G741="Countable",ROUNDUP($J741*IF($I741="Y",$K741,1),0),ROUND($J741*IF($I741="Y",$K741,1),1)),$J741)</f>
        <v>10</v>
      </c>
      <c r="M741" s="6" t="str">
        <f aca="false">INDEX(Items!$E$5:$E$62,MATCH($E741,Items!$A$5:$A$62,0))</f>
        <v>g</v>
      </c>
      <c r="N741" s="6" t="n">
        <f aca="false">ROUND($L741/INDEX(Items!$F$5:$F$62,MATCH($E741,Items!$A$5:$A$62,0)),4)</f>
        <v>0.025</v>
      </c>
      <c r="O741" s="6"/>
    </row>
    <row r="742" customFormat="false" ht="15" hidden="false" customHeight="false" outlineLevel="0" collapsed="false">
      <c r="A742" s="6" t="n">
        <v>70</v>
      </c>
      <c r="B742" s="6" t="s">
        <v>382</v>
      </c>
      <c r="C742" s="6" t="s">
        <v>373</v>
      </c>
      <c r="D742" s="6" t="s">
        <v>190</v>
      </c>
      <c r="E742" s="6" t="s">
        <v>72</v>
      </c>
      <c r="F742" s="6" t="str">
        <f aca="false">INDEX(Items!$B$5:$B$62,MATCH($E742,Items!$A$5:$A$62,0))</f>
        <v>DISPOSABLES &amp; CLINIC CONSUMABLES</v>
      </c>
      <c r="G742" s="6" t="str">
        <f aca="false">INDEX(Items!$C$5:$C$62,MATCH($E742,Items!$A$5:$A$62,0))</f>
        <v>Bulk</v>
      </c>
      <c r="H742" s="6" t="s">
        <v>161</v>
      </c>
      <c r="I742" s="6" t="s">
        <v>191</v>
      </c>
      <c r="J742" s="6" t="n">
        <f aca="false">SUMIFS(Kits!$C$5:$C$163,Kits!$A$5:$A$163,$D742,Kits!$B$5:$B$163,$E742)</f>
        <v>6</v>
      </c>
      <c r="K742" s="6" t="n">
        <f aca="false">INDEX(Services!$F$5:$F$85,MATCH($A742,Services!$A$5:$A$85,0))</f>
        <v>2</v>
      </c>
      <c r="L742" s="6" t="n">
        <f aca="false">IF($H742="Auto-deduct",IF($G742="Countable",ROUNDUP($J742*IF($I742="Y",$K742,1),0),ROUND($J742*IF($I742="Y",$K742,1),1)),$J742)</f>
        <v>12</v>
      </c>
      <c r="M742" s="6" t="str">
        <f aca="false">INDEX(Items!$E$5:$E$62,MATCH($E742,Items!$A$5:$A$62,0))</f>
        <v>pc</v>
      </c>
      <c r="N742" s="6" t="n">
        <f aca="false">ROUND($L742/INDEX(Items!$F$5:$F$62,MATCH($E742,Items!$A$5:$A$62,0)),4)</f>
        <v>0.12</v>
      </c>
      <c r="O742" s="6"/>
    </row>
    <row r="743" customFormat="false" ht="15" hidden="false" customHeight="false" outlineLevel="0" collapsed="false">
      <c r="A743" s="6" t="n">
        <v>70</v>
      </c>
      <c r="B743" s="6" t="s">
        <v>382</v>
      </c>
      <c r="C743" s="6" t="s">
        <v>373</v>
      </c>
      <c r="D743" s="6" t="s">
        <v>190</v>
      </c>
      <c r="E743" s="6" t="s">
        <v>81</v>
      </c>
      <c r="F743" s="6" t="str">
        <f aca="false">INDEX(Items!$B$5:$B$62,MATCH($E743,Items!$A$5:$A$62,0))</f>
        <v>DISPOSABLES &amp; CLINIC CONSUMABLES</v>
      </c>
      <c r="G743" s="6" t="str">
        <f aca="false">INDEX(Items!$C$5:$C$62,MATCH($E743,Items!$A$5:$A$62,0))</f>
        <v>Bulk</v>
      </c>
      <c r="H743" s="6" t="s">
        <v>161</v>
      </c>
      <c r="I743" s="6" t="s">
        <v>191</v>
      </c>
      <c r="J743" s="6" t="n">
        <f aca="false">SUMIFS(Kits!$C$5:$C$163,Kits!$A$5:$A$163,$D743,Kits!$B$5:$B$163,$E743)</f>
        <v>4</v>
      </c>
      <c r="K743" s="6" t="n">
        <f aca="false">INDEX(Services!$F$5:$F$85,MATCH($A743,Services!$A$5:$A$85,0))</f>
        <v>2</v>
      </c>
      <c r="L743" s="6" t="n">
        <f aca="false">IF($H743="Auto-deduct",IF($G743="Countable",ROUNDUP($J743*IF($I743="Y",$K743,1),0),ROUND($J743*IF($I743="Y",$K743,1),1)),$J743)</f>
        <v>8</v>
      </c>
      <c r="M743" s="6" t="str">
        <f aca="false">INDEX(Items!$E$5:$E$62,MATCH($E743,Items!$A$5:$A$62,0))</f>
        <v>pc</v>
      </c>
      <c r="N743" s="6" t="n">
        <f aca="false">ROUND($L743/INDEX(Items!$F$5:$F$62,MATCH($E743,Items!$A$5:$A$62,0)),4)</f>
        <v>0.08</v>
      </c>
      <c r="O743" s="6"/>
    </row>
    <row r="744" customFormat="false" ht="15" hidden="false" customHeight="false" outlineLevel="0" collapsed="false">
      <c r="A744" s="6" t="n">
        <v>70</v>
      </c>
      <c r="B744" s="6" t="s">
        <v>382</v>
      </c>
      <c r="C744" s="6" t="s">
        <v>373</v>
      </c>
      <c r="D744" s="6" t="s">
        <v>190</v>
      </c>
      <c r="E744" s="6" t="s">
        <v>58</v>
      </c>
      <c r="F744" s="6" t="str">
        <f aca="false">INDEX(Items!$B$5:$B$62,MATCH($E744,Items!$A$5:$A$62,0))</f>
        <v>DISPOSABLES &amp; CLINIC CONSUMABLES</v>
      </c>
      <c r="G744" s="6" t="str">
        <f aca="false">INDEX(Items!$C$5:$C$62,MATCH($E744,Items!$A$5:$A$62,0))</f>
        <v>Bulk</v>
      </c>
      <c r="H744" s="6" t="s">
        <v>161</v>
      </c>
      <c r="I744" s="6" t="s">
        <v>191</v>
      </c>
      <c r="J744" s="6" t="n">
        <f aca="false">SUMIFS(Kits!$C$5:$C$163,Kits!$A$5:$A$163,$D744,Kits!$B$5:$B$163,$E744)</f>
        <v>4</v>
      </c>
      <c r="K744" s="6" t="n">
        <f aca="false">INDEX(Services!$F$5:$F$85,MATCH($A744,Services!$A$5:$A$85,0))</f>
        <v>2</v>
      </c>
      <c r="L744" s="6" t="n">
        <f aca="false">IF($H744="Auto-deduct",IF($G744="Countable",ROUNDUP($J744*IF($I744="Y",$K744,1),0),ROUND($J744*IF($I744="Y",$K744,1),1)),$J744)</f>
        <v>8</v>
      </c>
      <c r="M744" s="6" t="str">
        <f aca="false">INDEX(Items!$E$5:$E$62,MATCH($E744,Items!$A$5:$A$62,0))</f>
        <v>sheet</v>
      </c>
      <c r="N744" s="6" t="n">
        <f aca="false">ROUND($L744/INDEX(Items!$F$5:$F$62,MATCH($E744,Items!$A$5:$A$62,0)),4)</f>
        <v>0.04</v>
      </c>
      <c r="O744" s="6"/>
    </row>
    <row r="745" customFormat="false" ht="15" hidden="false" customHeight="false" outlineLevel="0" collapsed="false">
      <c r="A745" s="6" t="n">
        <v>70</v>
      </c>
      <c r="B745" s="6" t="s">
        <v>382</v>
      </c>
      <c r="C745" s="6" t="s">
        <v>373</v>
      </c>
      <c r="D745" s="6" t="s">
        <v>190</v>
      </c>
      <c r="E745" s="6" t="s">
        <v>86</v>
      </c>
      <c r="F745" s="6" t="str">
        <f aca="false">INDEX(Items!$B$5:$B$62,MATCH($E745,Items!$A$5:$A$62,0))</f>
        <v>DISPOSABLES &amp; CLINIC CONSUMABLES</v>
      </c>
      <c r="G745" s="6" t="str">
        <f aca="false">INDEX(Items!$C$5:$C$62,MATCH($E745,Items!$A$5:$A$62,0))</f>
        <v>Bulk</v>
      </c>
      <c r="H745" s="6" t="s">
        <v>161</v>
      </c>
      <c r="I745" s="6" t="s">
        <v>191</v>
      </c>
      <c r="J745" s="6" t="n">
        <f aca="false">SUMIFS(Kits!$C$5:$C$163,Kits!$A$5:$A$163,$D745,Kits!$B$5:$B$163,$E745)</f>
        <v>2</v>
      </c>
      <c r="K745" s="6" t="n">
        <f aca="false">INDEX(Services!$F$5:$F$85,MATCH($A745,Services!$A$5:$A$85,0))</f>
        <v>2</v>
      </c>
      <c r="L745" s="6" t="n">
        <f aca="false">IF($H745="Auto-deduct",IF($G745="Countable",ROUNDUP($J745*IF($I745="Y",$K745,1),0),ROUND($J745*IF($I745="Y",$K745,1),1)),$J745)</f>
        <v>4</v>
      </c>
      <c r="M745" s="6" t="str">
        <f aca="false">INDEX(Items!$E$5:$E$62,MATCH($E745,Items!$A$5:$A$62,0))</f>
        <v>pc</v>
      </c>
      <c r="N745" s="6" t="n">
        <f aca="false">ROUND($L745/INDEX(Items!$F$5:$F$62,MATCH($E745,Items!$A$5:$A$62,0)),4)</f>
        <v>0.05</v>
      </c>
      <c r="O745" s="6"/>
    </row>
    <row r="746" customFormat="false" ht="15" hidden="false" customHeight="false" outlineLevel="0" collapsed="false">
      <c r="A746" s="6" t="n">
        <v>70</v>
      </c>
      <c r="B746" s="6" t="s">
        <v>382</v>
      </c>
      <c r="C746" s="6" t="s">
        <v>373</v>
      </c>
      <c r="D746" s="6" t="s">
        <v>190</v>
      </c>
      <c r="E746" s="6" t="s">
        <v>110</v>
      </c>
      <c r="F746" s="6" t="str">
        <f aca="false">INDEX(Items!$B$5:$B$62,MATCH($E746,Items!$A$5:$A$62,0))</f>
        <v>FACIAL TREATMENT PRODUCTS (PROFESSIONAL USE)</v>
      </c>
      <c r="G746" s="6" t="str">
        <f aca="false">INDEX(Items!$C$5:$C$62,MATCH($E746,Items!$A$5:$A$62,0))</f>
        <v>Bulk</v>
      </c>
      <c r="H746" s="6" t="s">
        <v>161</v>
      </c>
      <c r="I746" s="6" t="s">
        <v>191</v>
      </c>
      <c r="J746" s="6" t="n">
        <f aca="false">SUMIFS(Kits!$C$5:$C$163,Kits!$A$5:$A$163,$D746,Kits!$B$5:$B$163,$E746)</f>
        <v>20</v>
      </c>
      <c r="K746" s="6" t="n">
        <f aca="false">INDEX(Services!$F$5:$F$85,MATCH($A746,Services!$A$5:$A$85,0))</f>
        <v>2</v>
      </c>
      <c r="L746" s="6" t="n">
        <f aca="false">IF($H746="Auto-deduct",IF($G746="Countable",ROUNDUP($J746*IF($I746="Y",$K746,1),0),ROUND($J746*IF($I746="Y",$K746,1),1)),$J746)</f>
        <v>40</v>
      </c>
      <c r="M746" s="6" t="str">
        <f aca="false">INDEX(Items!$E$5:$E$62,MATCH($E746,Items!$A$5:$A$62,0))</f>
        <v>g</v>
      </c>
      <c r="N746" s="6" t="n">
        <f aca="false">ROUND($L746/INDEX(Items!$F$5:$F$62,MATCH($E746,Items!$A$5:$A$62,0)),4)</f>
        <v>0.08</v>
      </c>
      <c r="O746" s="6"/>
    </row>
    <row r="747" customFormat="false" ht="15" hidden="false" customHeight="false" outlineLevel="0" collapsed="false">
      <c r="A747" s="6" t="n">
        <v>70</v>
      </c>
      <c r="B747" s="6" t="s">
        <v>382</v>
      </c>
      <c r="C747" s="6" t="s">
        <v>373</v>
      </c>
      <c r="D747" s="6" t="s">
        <v>190</v>
      </c>
      <c r="E747" s="6" t="s">
        <v>135</v>
      </c>
      <c r="F747" s="6" t="str">
        <f aca="false">INDEX(Items!$B$5:$B$62,MATCH($E747,Items!$A$5:$A$62,0))</f>
        <v>SKINCARE PRODUCTS (RETAIL / AFTERCARE)</v>
      </c>
      <c r="G747" s="6" t="str">
        <f aca="false">INDEX(Items!$C$5:$C$62,MATCH($E747,Items!$A$5:$A$62,0))</f>
        <v>Bulk</v>
      </c>
      <c r="H747" s="6" t="s">
        <v>161</v>
      </c>
      <c r="I747" s="6" t="s">
        <v>191</v>
      </c>
      <c r="J747" s="6" t="n">
        <f aca="false">SUMIFS(Kits!$C$5:$C$163,Kits!$A$5:$A$163,$D747,Kits!$B$5:$B$163,$E747)</f>
        <v>3</v>
      </c>
      <c r="K747" s="6" t="n">
        <f aca="false">INDEX(Services!$F$5:$F$85,MATCH($A747,Services!$A$5:$A$85,0))</f>
        <v>2</v>
      </c>
      <c r="L747" s="6" t="n">
        <f aca="false">IF($H747="Auto-deduct",IF($G747="Countable",ROUNDUP($J747*IF($I747="Y",$K747,1),0),ROUND($J747*IF($I747="Y",$K747,1),1)),$J747)</f>
        <v>6</v>
      </c>
      <c r="M747" s="6" t="str">
        <f aca="false">INDEX(Items!$E$5:$E$62,MATCH($E747,Items!$A$5:$A$62,0))</f>
        <v>g</v>
      </c>
      <c r="N747" s="6" t="n">
        <f aca="false">ROUND($L747/INDEX(Items!$F$5:$F$62,MATCH($E747,Items!$A$5:$A$62,0)),4)</f>
        <v>0.12</v>
      </c>
      <c r="O747" s="6"/>
    </row>
    <row r="748" customFormat="false" ht="15" hidden="false" customHeight="false" outlineLevel="0" collapsed="false">
      <c r="A748" s="6" t="n">
        <v>70</v>
      </c>
      <c r="B748" s="6" t="s">
        <v>382</v>
      </c>
      <c r="C748" s="6" t="s">
        <v>373</v>
      </c>
      <c r="D748" s="6" t="s">
        <v>190</v>
      </c>
      <c r="E748" s="6" t="s">
        <v>129</v>
      </c>
      <c r="F748" s="6" t="str">
        <f aca="false">INDEX(Items!$B$5:$B$62,MATCH($E748,Items!$A$5:$A$62,0))</f>
        <v>SKINCARE PRODUCTS (RETAIL / AFTERCARE)</v>
      </c>
      <c r="G748" s="6" t="str">
        <f aca="false">INDEX(Items!$C$5:$C$62,MATCH($E748,Items!$A$5:$A$62,0))</f>
        <v>Countable</v>
      </c>
      <c r="H748" s="6" t="s">
        <v>185</v>
      </c>
      <c r="I748" s="6" t="s">
        <v>160</v>
      </c>
      <c r="J748" s="6" t="n">
        <f aca="false">SUMIFS(Kits!$C$5:$C$163,Kits!$A$5:$A$163,$D748,Kits!$B$5:$B$163,$E748)</f>
        <v>1</v>
      </c>
      <c r="K748" s="6" t="n">
        <f aca="false">INDEX(Services!$F$5:$F$85,MATCH($A748,Services!$A$5:$A$85,0))</f>
        <v>2</v>
      </c>
      <c r="L748" s="6" t="n">
        <f aca="false">IF($H748="Auto-deduct",IF($G748="Countable",ROUNDUP($J748*IF($I748="Y",$K748,1),0),ROUND($J748*IF($I748="Y",$K748,1),1)),$J748)</f>
        <v>1</v>
      </c>
      <c r="M748" s="6" t="str">
        <f aca="false">INDEX(Items!$E$5:$E$62,MATCH($E748,Items!$A$5:$A$62,0))</f>
        <v>tube</v>
      </c>
      <c r="N748" s="6" t="n">
        <f aca="false">ROUND($L748/INDEX(Items!$F$5:$F$62,MATCH($E748,Items!$A$5:$A$62,0)),4)</f>
        <v>1</v>
      </c>
      <c r="O748" s="6"/>
    </row>
    <row r="749" customFormat="false" ht="15" hidden="false" customHeight="false" outlineLevel="0" collapsed="false">
      <c r="A749" s="6" t="n">
        <v>71</v>
      </c>
      <c r="B749" s="6" t="s">
        <v>286</v>
      </c>
      <c r="C749" s="6" t="s">
        <v>373</v>
      </c>
      <c r="D749" s="6" t="s">
        <v>159</v>
      </c>
      <c r="E749" s="6" t="s">
        <v>52</v>
      </c>
      <c r="F749" s="6" t="str">
        <f aca="false">INDEX(Items!$B$5:$B$62,MATCH($E749,Items!$A$5:$A$62,0))</f>
        <v>DISPOSABLES &amp; CLINIC CONSUMABLES</v>
      </c>
      <c r="G749" s="6" t="str">
        <f aca="false">INDEX(Items!$C$5:$C$62,MATCH($E749,Items!$A$5:$A$62,0))</f>
        <v>Countable</v>
      </c>
      <c r="H749" s="6" t="s">
        <v>161</v>
      </c>
      <c r="I749" s="6" t="s">
        <v>160</v>
      </c>
      <c r="J749" s="6" t="n">
        <f aca="false">SUMIFS(Kits!$C$5:$C$163,Kits!$A$5:$A$163,$D749,Kits!$B$5:$B$163,$E749)</f>
        <v>1</v>
      </c>
      <c r="K749" s="6" t="n">
        <f aca="false">INDEX(Services!$F$5:$F$85,MATCH($A749,Services!$A$5:$A$85,0))</f>
        <v>3</v>
      </c>
      <c r="L749" s="6" t="n">
        <f aca="false">IF($H749="Auto-deduct",IF($G749="Countable",ROUNDUP($J749*IF($I749="Y",$K749,1),0),ROUND($J749*IF($I749="Y",$K749,1),1)),$J749)</f>
        <v>1</v>
      </c>
      <c r="M749" s="6" t="str">
        <f aca="false">INDEX(Items!$E$5:$E$62,MATCH($E749,Items!$A$5:$A$62,0))</f>
        <v>pc</v>
      </c>
      <c r="N749" s="6" t="n">
        <f aca="false">ROUND($L749/INDEX(Items!$F$5:$F$62,MATCH($E749,Items!$A$5:$A$62,0)),4)</f>
        <v>1</v>
      </c>
      <c r="O749" s="6"/>
    </row>
    <row r="750" customFormat="false" ht="15" hidden="false" customHeight="false" outlineLevel="0" collapsed="false">
      <c r="A750" s="6" t="n">
        <v>71</v>
      </c>
      <c r="B750" s="6" t="s">
        <v>286</v>
      </c>
      <c r="C750" s="6" t="s">
        <v>373</v>
      </c>
      <c r="D750" s="6" t="s">
        <v>159</v>
      </c>
      <c r="E750" s="6" t="s">
        <v>53</v>
      </c>
      <c r="F750" s="6" t="str">
        <f aca="false">INDEX(Items!$B$5:$B$62,MATCH($E750,Items!$A$5:$A$62,0))</f>
        <v>DISPOSABLES &amp; CLINIC CONSUMABLES</v>
      </c>
      <c r="G750" s="6" t="str">
        <f aca="false">INDEX(Items!$C$5:$C$62,MATCH($E750,Items!$A$5:$A$62,0))</f>
        <v>Countable</v>
      </c>
      <c r="H750" s="6" t="s">
        <v>161</v>
      </c>
      <c r="I750" s="6" t="s">
        <v>160</v>
      </c>
      <c r="J750" s="6" t="n">
        <f aca="false">SUMIFS(Kits!$C$5:$C$163,Kits!$A$5:$A$163,$D750,Kits!$B$5:$B$163,$E750)</f>
        <v>1</v>
      </c>
      <c r="K750" s="6" t="n">
        <f aca="false">INDEX(Services!$F$5:$F$85,MATCH($A750,Services!$A$5:$A$85,0))</f>
        <v>3</v>
      </c>
      <c r="L750" s="6" t="n">
        <f aca="false">IF($H750="Auto-deduct",IF($G750="Countable",ROUNDUP($J750*IF($I750="Y",$K750,1),0),ROUND($J750*IF($I750="Y",$K750,1),1)),$J750)</f>
        <v>1</v>
      </c>
      <c r="M750" s="6" t="str">
        <f aca="false">INDEX(Items!$E$5:$E$62,MATCH($E750,Items!$A$5:$A$62,0))</f>
        <v>pair</v>
      </c>
      <c r="N750" s="6" t="n">
        <f aca="false">ROUND($L750/INDEX(Items!$F$5:$F$62,MATCH($E750,Items!$A$5:$A$62,0)),4)</f>
        <v>1</v>
      </c>
      <c r="O750" s="6"/>
    </row>
    <row r="751" customFormat="false" ht="15" hidden="false" customHeight="false" outlineLevel="0" collapsed="false">
      <c r="A751" s="6" t="n">
        <v>71</v>
      </c>
      <c r="B751" s="6" t="s">
        <v>286</v>
      </c>
      <c r="C751" s="6" t="s">
        <v>373</v>
      </c>
      <c r="D751" s="6" t="s">
        <v>159</v>
      </c>
      <c r="E751" s="6" t="s">
        <v>88</v>
      </c>
      <c r="F751" s="6" t="str">
        <f aca="false">INDEX(Items!$B$5:$B$62,MATCH($E751,Items!$A$5:$A$62,0))</f>
        <v>DISPOSABLES &amp; CLINIC CONSUMABLES</v>
      </c>
      <c r="G751" s="6" t="str">
        <f aca="false">INDEX(Items!$C$5:$C$62,MATCH($E751,Items!$A$5:$A$62,0))</f>
        <v>Bulk</v>
      </c>
      <c r="H751" s="6" t="s">
        <v>161</v>
      </c>
      <c r="I751" s="6" t="s">
        <v>160</v>
      </c>
      <c r="J751" s="6" t="n">
        <f aca="false">SUMIFS(Kits!$C$5:$C$163,Kits!$A$5:$A$163,$D751,Kits!$B$5:$B$163,$E751)</f>
        <v>5</v>
      </c>
      <c r="K751" s="6" t="n">
        <f aca="false">INDEX(Services!$F$5:$F$85,MATCH($A751,Services!$A$5:$A$85,0))</f>
        <v>3</v>
      </c>
      <c r="L751" s="6" t="n">
        <f aca="false">IF($H751="Auto-deduct",IF($G751="Countable",ROUNDUP($J751*IF($I751="Y",$K751,1),0),ROUND($J751*IF($I751="Y",$K751,1),1)),$J751)</f>
        <v>5</v>
      </c>
      <c r="M751" s="6" t="str">
        <f aca="false">INDEX(Items!$E$5:$E$62,MATCH($E751,Items!$A$5:$A$62,0))</f>
        <v>mL</v>
      </c>
      <c r="N751" s="6" t="n">
        <f aca="false">ROUND($L751/INDEX(Items!$F$5:$F$62,MATCH($E751,Items!$A$5:$A$62,0)),4)</f>
        <v>0.01</v>
      </c>
      <c r="O751" s="6"/>
    </row>
    <row r="752" customFormat="false" ht="15" hidden="false" customHeight="false" outlineLevel="0" collapsed="false">
      <c r="A752" s="6" t="n">
        <v>71</v>
      </c>
      <c r="B752" s="6" t="s">
        <v>286</v>
      </c>
      <c r="C752" s="6" t="s">
        <v>373</v>
      </c>
      <c r="D752" s="6" t="s">
        <v>190</v>
      </c>
      <c r="E752" s="6" t="s">
        <v>95</v>
      </c>
      <c r="F752" s="6" t="str">
        <f aca="false">INDEX(Items!$B$5:$B$62,MATCH($E752,Items!$A$5:$A$62,0))</f>
        <v>FACIAL / TREATMENT PREP PRODUCTS</v>
      </c>
      <c r="G752" s="6" t="str">
        <f aca="false">INDEX(Items!$C$5:$C$62,MATCH($E752,Items!$A$5:$A$62,0))</f>
        <v>Bulk</v>
      </c>
      <c r="H752" s="6" t="s">
        <v>161</v>
      </c>
      <c r="I752" s="6" t="s">
        <v>191</v>
      </c>
      <c r="J752" s="6" t="n">
        <f aca="false">SUMIFS(Kits!$C$5:$C$163,Kits!$A$5:$A$163,$D752,Kits!$B$5:$B$163,$E752)</f>
        <v>5</v>
      </c>
      <c r="K752" s="6" t="n">
        <f aca="false">INDEX(Services!$F$5:$F$85,MATCH($A752,Services!$A$5:$A$85,0))</f>
        <v>3</v>
      </c>
      <c r="L752" s="6" t="n">
        <f aca="false">IF($H752="Auto-deduct",IF($G752="Countable",ROUNDUP($J752*IF($I752="Y",$K752,1),0),ROUND($J752*IF($I752="Y",$K752,1),1)),$J752)</f>
        <v>15</v>
      </c>
      <c r="M752" s="6" t="str">
        <f aca="false">INDEX(Items!$E$5:$E$62,MATCH($E752,Items!$A$5:$A$62,0))</f>
        <v>mL</v>
      </c>
      <c r="N752" s="6" t="n">
        <f aca="false">ROUND($L752/INDEX(Items!$F$5:$F$62,MATCH($E752,Items!$A$5:$A$62,0)),4)</f>
        <v>0.03</v>
      </c>
      <c r="O752" s="6"/>
    </row>
    <row r="753" customFormat="false" ht="15" hidden="false" customHeight="false" outlineLevel="0" collapsed="false">
      <c r="A753" s="6" t="n">
        <v>71</v>
      </c>
      <c r="B753" s="6" t="s">
        <v>286</v>
      </c>
      <c r="C753" s="6" t="s">
        <v>373</v>
      </c>
      <c r="D753" s="6" t="s">
        <v>190</v>
      </c>
      <c r="E753" s="6" t="s">
        <v>69</v>
      </c>
      <c r="F753" s="6" t="str">
        <f aca="false">INDEX(Items!$B$5:$B$62,MATCH($E753,Items!$A$5:$A$62,0))</f>
        <v>DISPOSABLES &amp; CLINIC CONSUMABLES</v>
      </c>
      <c r="G753" s="6" t="str">
        <f aca="false">INDEX(Items!$C$5:$C$62,MATCH($E753,Items!$A$5:$A$62,0))</f>
        <v>Bulk</v>
      </c>
      <c r="H753" s="6" t="s">
        <v>161</v>
      </c>
      <c r="I753" s="6" t="s">
        <v>191</v>
      </c>
      <c r="J753" s="6" t="n">
        <f aca="false">SUMIFS(Kits!$C$5:$C$163,Kits!$A$5:$A$163,$D753,Kits!$B$5:$B$163,$E753)</f>
        <v>5</v>
      </c>
      <c r="K753" s="6" t="n">
        <f aca="false">INDEX(Services!$F$5:$F$85,MATCH($A753,Services!$A$5:$A$85,0))</f>
        <v>3</v>
      </c>
      <c r="L753" s="6" t="n">
        <f aca="false">IF($H753="Auto-deduct",IF($G753="Countable",ROUNDUP($J753*IF($I753="Y",$K753,1),0),ROUND($J753*IF($I753="Y",$K753,1),1)),$J753)</f>
        <v>15</v>
      </c>
      <c r="M753" s="6" t="str">
        <f aca="false">INDEX(Items!$E$5:$E$62,MATCH($E753,Items!$A$5:$A$62,0))</f>
        <v>g</v>
      </c>
      <c r="N753" s="6" t="n">
        <f aca="false">ROUND($L753/INDEX(Items!$F$5:$F$62,MATCH($E753,Items!$A$5:$A$62,0)),4)</f>
        <v>0.0375</v>
      </c>
      <c r="O753" s="6"/>
    </row>
    <row r="754" customFormat="false" ht="15" hidden="false" customHeight="false" outlineLevel="0" collapsed="false">
      <c r="A754" s="6" t="n">
        <v>71</v>
      </c>
      <c r="B754" s="6" t="s">
        <v>286</v>
      </c>
      <c r="C754" s="6" t="s">
        <v>373</v>
      </c>
      <c r="D754" s="6" t="s">
        <v>190</v>
      </c>
      <c r="E754" s="6" t="s">
        <v>72</v>
      </c>
      <c r="F754" s="6" t="str">
        <f aca="false">INDEX(Items!$B$5:$B$62,MATCH($E754,Items!$A$5:$A$62,0))</f>
        <v>DISPOSABLES &amp; CLINIC CONSUMABLES</v>
      </c>
      <c r="G754" s="6" t="str">
        <f aca="false">INDEX(Items!$C$5:$C$62,MATCH($E754,Items!$A$5:$A$62,0))</f>
        <v>Bulk</v>
      </c>
      <c r="H754" s="6" t="s">
        <v>161</v>
      </c>
      <c r="I754" s="6" t="s">
        <v>191</v>
      </c>
      <c r="J754" s="6" t="n">
        <f aca="false">SUMIFS(Kits!$C$5:$C$163,Kits!$A$5:$A$163,$D754,Kits!$B$5:$B$163,$E754)</f>
        <v>6</v>
      </c>
      <c r="K754" s="6" t="n">
        <f aca="false">INDEX(Services!$F$5:$F$85,MATCH($A754,Services!$A$5:$A$85,0))</f>
        <v>3</v>
      </c>
      <c r="L754" s="6" t="n">
        <f aca="false">IF($H754="Auto-deduct",IF($G754="Countable",ROUNDUP($J754*IF($I754="Y",$K754,1),0),ROUND($J754*IF($I754="Y",$K754,1),1)),$J754)</f>
        <v>18</v>
      </c>
      <c r="M754" s="6" t="str">
        <f aca="false">INDEX(Items!$E$5:$E$62,MATCH($E754,Items!$A$5:$A$62,0))</f>
        <v>pc</v>
      </c>
      <c r="N754" s="6" t="n">
        <f aca="false">ROUND($L754/INDEX(Items!$F$5:$F$62,MATCH($E754,Items!$A$5:$A$62,0)),4)</f>
        <v>0.18</v>
      </c>
      <c r="O754" s="6"/>
    </row>
    <row r="755" customFormat="false" ht="15" hidden="false" customHeight="false" outlineLevel="0" collapsed="false">
      <c r="A755" s="6" t="n">
        <v>71</v>
      </c>
      <c r="B755" s="6" t="s">
        <v>286</v>
      </c>
      <c r="C755" s="6" t="s">
        <v>373</v>
      </c>
      <c r="D755" s="6" t="s">
        <v>190</v>
      </c>
      <c r="E755" s="6" t="s">
        <v>81</v>
      </c>
      <c r="F755" s="6" t="str">
        <f aca="false">INDEX(Items!$B$5:$B$62,MATCH($E755,Items!$A$5:$A$62,0))</f>
        <v>DISPOSABLES &amp; CLINIC CONSUMABLES</v>
      </c>
      <c r="G755" s="6" t="str">
        <f aca="false">INDEX(Items!$C$5:$C$62,MATCH($E755,Items!$A$5:$A$62,0))</f>
        <v>Bulk</v>
      </c>
      <c r="H755" s="6" t="s">
        <v>161</v>
      </c>
      <c r="I755" s="6" t="s">
        <v>191</v>
      </c>
      <c r="J755" s="6" t="n">
        <f aca="false">SUMIFS(Kits!$C$5:$C$163,Kits!$A$5:$A$163,$D755,Kits!$B$5:$B$163,$E755)</f>
        <v>4</v>
      </c>
      <c r="K755" s="6" t="n">
        <f aca="false">INDEX(Services!$F$5:$F$85,MATCH($A755,Services!$A$5:$A$85,0))</f>
        <v>3</v>
      </c>
      <c r="L755" s="6" t="n">
        <f aca="false">IF($H755="Auto-deduct",IF($G755="Countable",ROUNDUP($J755*IF($I755="Y",$K755,1),0),ROUND($J755*IF($I755="Y",$K755,1),1)),$J755)</f>
        <v>12</v>
      </c>
      <c r="M755" s="6" t="str">
        <f aca="false">INDEX(Items!$E$5:$E$62,MATCH($E755,Items!$A$5:$A$62,0))</f>
        <v>pc</v>
      </c>
      <c r="N755" s="6" t="n">
        <f aca="false">ROUND($L755/INDEX(Items!$F$5:$F$62,MATCH($E755,Items!$A$5:$A$62,0)),4)</f>
        <v>0.12</v>
      </c>
      <c r="O755" s="6"/>
    </row>
    <row r="756" customFormat="false" ht="15" hidden="false" customHeight="false" outlineLevel="0" collapsed="false">
      <c r="A756" s="6" t="n">
        <v>71</v>
      </c>
      <c r="B756" s="6" t="s">
        <v>286</v>
      </c>
      <c r="C756" s="6" t="s">
        <v>373</v>
      </c>
      <c r="D756" s="6" t="s">
        <v>190</v>
      </c>
      <c r="E756" s="6" t="s">
        <v>58</v>
      </c>
      <c r="F756" s="6" t="str">
        <f aca="false">INDEX(Items!$B$5:$B$62,MATCH($E756,Items!$A$5:$A$62,0))</f>
        <v>DISPOSABLES &amp; CLINIC CONSUMABLES</v>
      </c>
      <c r="G756" s="6" t="str">
        <f aca="false">INDEX(Items!$C$5:$C$62,MATCH($E756,Items!$A$5:$A$62,0))</f>
        <v>Bulk</v>
      </c>
      <c r="H756" s="6" t="s">
        <v>161</v>
      </c>
      <c r="I756" s="6" t="s">
        <v>191</v>
      </c>
      <c r="J756" s="6" t="n">
        <f aca="false">SUMIFS(Kits!$C$5:$C$163,Kits!$A$5:$A$163,$D756,Kits!$B$5:$B$163,$E756)</f>
        <v>4</v>
      </c>
      <c r="K756" s="6" t="n">
        <f aca="false">INDEX(Services!$F$5:$F$85,MATCH($A756,Services!$A$5:$A$85,0))</f>
        <v>3</v>
      </c>
      <c r="L756" s="6" t="n">
        <f aca="false">IF($H756="Auto-deduct",IF($G756="Countable",ROUNDUP($J756*IF($I756="Y",$K756,1),0),ROUND($J756*IF($I756="Y",$K756,1),1)),$J756)</f>
        <v>12</v>
      </c>
      <c r="M756" s="6" t="str">
        <f aca="false">INDEX(Items!$E$5:$E$62,MATCH($E756,Items!$A$5:$A$62,0))</f>
        <v>sheet</v>
      </c>
      <c r="N756" s="6" t="n">
        <f aca="false">ROUND($L756/INDEX(Items!$F$5:$F$62,MATCH($E756,Items!$A$5:$A$62,0)),4)</f>
        <v>0.06</v>
      </c>
      <c r="O756" s="6"/>
    </row>
    <row r="757" customFormat="false" ht="15" hidden="false" customHeight="false" outlineLevel="0" collapsed="false">
      <c r="A757" s="6" t="n">
        <v>71</v>
      </c>
      <c r="B757" s="6" t="s">
        <v>286</v>
      </c>
      <c r="C757" s="6" t="s">
        <v>373</v>
      </c>
      <c r="D757" s="6" t="s">
        <v>190</v>
      </c>
      <c r="E757" s="6" t="s">
        <v>86</v>
      </c>
      <c r="F757" s="6" t="str">
        <f aca="false">INDEX(Items!$B$5:$B$62,MATCH($E757,Items!$A$5:$A$62,0))</f>
        <v>DISPOSABLES &amp; CLINIC CONSUMABLES</v>
      </c>
      <c r="G757" s="6" t="str">
        <f aca="false">INDEX(Items!$C$5:$C$62,MATCH($E757,Items!$A$5:$A$62,0))</f>
        <v>Bulk</v>
      </c>
      <c r="H757" s="6" t="s">
        <v>161</v>
      </c>
      <c r="I757" s="6" t="s">
        <v>191</v>
      </c>
      <c r="J757" s="6" t="n">
        <f aca="false">SUMIFS(Kits!$C$5:$C$163,Kits!$A$5:$A$163,$D757,Kits!$B$5:$B$163,$E757)</f>
        <v>2</v>
      </c>
      <c r="K757" s="6" t="n">
        <f aca="false">INDEX(Services!$F$5:$F$85,MATCH($A757,Services!$A$5:$A$85,0))</f>
        <v>3</v>
      </c>
      <c r="L757" s="6" t="n">
        <f aca="false">IF($H757="Auto-deduct",IF($G757="Countable",ROUNDUP($J757*IF($I757="Y",$K757,1),0),ROUND($J757*IF($I757="Y",$K757,1),1)),$J757)</f>
        <v>6</v>
      </c>
      <c r="M757" s="6" t="str">
        <f aca="false">INDEX(Items!$E$5:$E$62,MATCH($E757,Items!$A$5:$A$62,0))</f>
        <v>pc</v>
      </c>
      <c r="N757" s="6" t="n">
        <f aca="false">ROUND($L757/INDEX(Items!$F$5:$F$62,MATCH($E757,Items!$A$5:$A$62,0)),4)</f>
        <v>0.075</v>
      </c>
      <c r="O757" s="6"/>
    </row>
    <row r="758" customFormat="false" ht="15" hidden="false" customHeight="false" outlineLevel="0" collapsed="false">
      <c r="A758" s="6" t="n">
        <v>71</v>
      </c>
      <c r="B758" s="6" t="s">
        <v>286</v>
      </c>
      <c r="C758" s="6" t="s">
        <v>373</v>
      </c>
      <c r="D758" s="6" t="s">
        <v>190</v>
      </c>
      <c r="E758" s="6" t="s">
        <v>110</v>
      </c>
      <c r="F758" s="6" t="str">
        <f aca="false">INDEX(Items!$B$5:$B$62,MATCH($E758,Items!$A$5:$A$62,0))</f>
        <v>FACIAL TREATMENT PRODUCTS (PROFESSIONAL USE)</v>
      </c>
      <c r="G758" s="6" t="str">
        <f aca="false">INDEX(Items!$C$5:$C$62,MATCH($E758,Items!$A$5:$A$62,0))</f>
        <v>Bulk</v>
      </c>
      <c r="H758" s="6" t="s">
        <v>161</v>
      </c>
      <c r="I758" s="6" t="s">
        <v>191</v>
      </c>
      <c r="J758" s="6" t="n">
        <f aca="false">SUMIFS(Kits!$C$5:$C$163,Kits!$A$5:$A$163,$D758,Kits!$B$5:$B$163,$E758)</f>
        <v>20</v>
      </c>
      <c r="K758" s="6" t="n">
        <f aca="false">INDEX(Services!$F$5:$F$85,MATCH($A758,Services!$A$5:$A$85,0))</f>
        <v>3</v>
      </c>
      <c r="L758" s="6" t="n">
        <f aca="false">IF($H758="Auto-deduct",IF($G758="Countable",ROUNDUP($J758*IF($I758="Y",$K758,1),0),ROUND($J758*IF($I758="Y",$K758,1),1)),$J758)</f>
        <v>60</v>
      </c>
      <c r="M758" s="6" t="str">
        <f aca="false">INDEX(Items!$E$5:$E$62,MATCH($E758,Items!$A$5:$A$62,0))</f>
        <v>g</v>
      </c>
      <c r="N758" s="6" t="n">
        <f aca="false">ROUND($L758/INDEX(Items!$F$5:$F$62,MATCH($E758,Items!$A$5:$A$62,0)),4)</f>
        <v>0.12</v>
      </c>
      <c r="O758" s="6"/>
    </row>
    <row r="759" customFormat="false" ht="15" hidden="false" customHeight="false" outlineLevel="0" collapsed="false">
      <c r="A759" s="6" t="n">
        <v>71</v>
      </c>
      <c r="B759" s="6" t="s">
        <v>286</v>
      </c>
      <c r="C759" s="6" t="s">
        <v>373</v>
      </c>
      <c r="D759" s="6" t="s">
        <v>190</v>
      </c>
      <c r="E759" s="6" t="s">
        <v>135</v>
      </c>
      <c r="F759" s="6" t="str">
        <f aca="false">INDEX(Items!$B$5:$B$62,MATCH($E759,Items!$A$5:$A$62,0))</f>
        <v>SKINCARE PRODUCTS (RETAIL / AFTERCARE)</v>
      </c>
      <c r="G759" s="6" t="str">
        <f aca="false">INDEX(Items!$C$5:$C$62,MATCH($E759,Items!$A$5:$A$62,0))</f>
        <v>Bulk</v>
      </c>
      <c r="H759" s="6" t="s">
        <v>161</v>
      </c>
      <c r="I759" s="6" t="s">
        <v>191</v>
      </c>
      <c r="J759" s="6" t="n">
        <f aca="false">SUMIFS(Kits!$C$5:$C$163,Kits!$A$5:$A$163,$D759,Kits!$B$5:$B$163,$E759)</f>
        <v>3</v>
      </c>
      <c r="K759" s="6" t="n">
        <f aca="false">INDEX(Services!$F$5:$F$85,MATCH($A759,Services!$A$5:$A$85,0))</f>
        <v>3</v>
      </c>
      <c r="L759" s="6" t="n">
        <f aca="false">IF($H759="Auto-deduct",IF($G759="Countable",ROUNDUP($J759*IF($I759="Y",$K759,1),0),ROUND($J759*IF($I759="Y",$K759,1),1)),$J759)</f>
        <v>9</v>
      </c>
      <c r="M759" s="6" t="str">
        <f aca="false">INDEX(Items!$E$5:$E$62,MATCH($E759,Items!$A$5:$A$62,0))</f>
        <v>g</v>
      </c>
      <c r="N759" s="6" t="n">
        <f aca="false">ROUND($L759/INDEX(Items!$F$5:$F$62,MATCH($E759,Items!$A$5:$A$62,0)),4)</f>
        <v>0.18</v>
      </c>
      <c r="O759" s="6"/>
    </row>
    <row r="760" customFormat="false" ht="15" hidden="false" customHeight="false" outlineLevel="0" collapsed="false">
      <c r="A760" s="6" t="n">
        <v>71</v>
      </c>
      <c r="B760" s="6" t="s">
        <v>286</v>
      </c>
      <c r="C760" s="6" t="s">
        <v>373</v>
      </c>
      <c r="D760" s="6" t="s">
        <v>190</v>
      </c>
      <c r="E760" s="6" t="s">
        <v>129</v>
      </c>
      <c r="F760" s="6" t="str">
        <f aca="false">INDEX(Items!$B$5:$B$62,MATCH($E760,Items!$A$5:$A$62,0))</f>
        <v>SKINCARE PRODUCTS (RETAIL / AFTERCARE)</v>
      </c>
      <c r="G760" s="6" t="str">
        <f aca="false">INDEX(Items!$C$5:$C$62,MATCH($E760,Items!$A$5:$A$62,0))</f>
        <v>Countable</v>
      </c>
      <c r="H760" s="6" t="s">
        <v>185</v>
      </c>
      <c r="I760" s="6" t="s">
        <v>160</v>
      </c>
      <c r="J760" s="6" t="n">
        <f aca="false">SUMIFS(Kits!$C$5:$C$163,Kits!$A$5:$A$163,$D760,Kits!$B$5:$B$163,$E760)</f>
        <v>1</v>
      </c>
      <c r="K760" s="6" t="n">
        <f aca="false">INDEX(Services!$F$5:$F$85,MATCH($A760,Services!$A$5:$A$85,0))</f>
        <v>3</v>
      </c>
      <c r="L760" s="6" t="n">
        <f aca="false">IF($H760="Auto-deduct",IF($G760="Countable",ROUNDUP($J760*IF($I760="Y",$K760,1),0),ROUND($J760*IF($I760="Y",$K760,1),1)),$J760)</f>
        <v>1</v>
      </c>
      <c r="M760" s="6" t="str">
        <f aca="false">INDEX(Items!$E$5:$E$62,MATCH($E760,Items!$A$5:$A$62,0))</f>
        <v>tube</v>
      </c>
      <c r="N760" s="6" t="n">
        <f aca="false">ROUND($L760/INDEX(Items!$F$5:$F$62,MATCH($E760,Items!$A$5:$A$62,0)),4)</f>
        <v>1</v>
      </c>
      <c r="O760" s="6"/>
    </row>
    <row r="761" customFormat="false" ht="15" hidden="false" customHeight="false" outlineLevel="0" collapsed="false">
      <c r="A761" s="6" t="n">
        <v>72</v>
      </c>
      <c r="B761" s="6" t="s">
        <v>383</v>
      </c>
      <c r="C761" s="6" t="s">
        <v>373</v>
      </c>
      <c r="D761" s="6" t="s">
        <v>159</v>
      </c>
      <c r="E761" s="6" t="s">
        <v>52</v>
      </c>
      <c r="F761" s="6" t="str">
        <f aca="false">INDEX(Items!$B$5:$B$62,MATCH($E761,Items!$A$5:$A$62,0))</f>
        <v>DISPOSABLES &amp; CLINIC CONSUMABLES</v>
      </c>
      <c r="G761" s="6" t="str">
        <f aca="false">INDEX(Items!$C$5:$C$62,MATCH($E761,Items!$A$5:$A$62,0))</f>
        <v>Countable</v>
      </c>
      <c r="H761" s="6" t="s">
        <v>161</v>
      </c>
      <c r="I761" s="6" t="s">
        <v>160</v>
      </c>
      <c r="J761" s="6" t="n">
        <f aca="false">SUMIFS(Kits!$C$5:$C$163,Kits!$A$5:$A$163,$D761,Kits!$B$5:$B$163,$E761)</f>
        <v>1</v>
      </c>
      <c r="K761" s="6" t="n">
        <f aca="false">INDEX(Services!$F$5:$F$85,MATCH($A761,Services!$A$5:$A$85,0))</f>
        <v>8</v>
      </c>
      <c r="L761" s="6" t="n">
        <f aca="false">IF($H761="Auto-deduct",IF($G761="Countable",ROUNDUP($J761*IF($I761="Y",$K761,1),0),ROUND($J761*IF($I761="Y",$K761,1),1)),$J761)</f>
        <v>1</v>
      </c>
      <c r="M761" s="6" t="str">
        <f aca="false">INDEX(Items!$E$5:$E$62,MATCH($E761,Items!$A$5:$A$62,0))</f>
        <v>pc</v>
      </c>
      <c r="N761" s="6" t="n">
        <f aca="false">ROUND($L761/INDEX(Items!$F$5:$F$62,MATCH($E761,Items!$A$5:$A$62,0)),4)</f>
        <v>1</v>
      </c>
      <c r="O761" s="6"/>
    </row>
    <row r="762" customFormat="false" ht="15" hidden="false" customHeight="false" outlineLevel="0" collapsed="false">
      <c r="A762" s="6" t="n">
        <v>72</v>
      </c>
      <c r="B762" s="6" t="s">
        <v>383</v>
      </c>
      <c r="C762" s="6" t="s">
        <v>373</v>
      </c>
      <c r="D762" s="6" t="s">
        <v>159</v>
      </c>
      <c r="E762" s="6" t="s">
        <v>53</v>
      </c>
      <c r="F762" s="6" t="str">
        <f aca="false">INDEX(Items!$B$5:$B$62,MATCH($E762,Items!$A$5:$A$62,0))</f>
        <v>DISPOSABLES &amp; CLINIC CONSUMABLES</v>
      </c>
      <c r="G762" s="6" t="str">
        <f aca="false">INDEX(Items!$C$5:$C$62,MATCH($E762,Items!$A$5:$A$62,0))</f>
        <v>Countable</v>
      </c>
      <c r="H762" s="6" t="s">
        <v>161</v>
      </c>
      <c r="I762" s="6" t="s">
        <v>160</v>
      </c>
      <c r="J762" s="6" t="n">
        <f aca="false">SUMIFS(Kits!$C$5:$C$163,Kits!$A$5:$A$163,$D762,Kits!$B$5:$B$163,$E762)</f>
        <v>1</v>
      </c>
      <c r="K762" s="6" t="n">
        <f aca="false">INDEX(Services!$F$5:$F$85,MATCH($A762,Services!$A$5:$A$85,0))</f>
        <v>8</v>
      </c>
      <c r="L762" s="6" t="n">
        <f aca="false">IF($H762="Auto-deduct",IF($G762="Countable",ROUNDUP($J762*IF($I762="Y",$K762,1),0),ROUND($J762*IF($I762="Y",$K762,1),1)),$J762)</f>
        <v>1</v>
      </c>
      <c r="M762" s="6" t="str">
        <f aca="false">INDEX(Items!$E$5:$E$62,MATCH($E762,Items!$A$5:$A$62,0))</f>
        <v>pair</v>
      </c>
      <c r="N762" s="6" t="n">
        <f aca="false">ROUND($L762/INDEX(Items!$F$5:$F$62,MATCH($E762,Items!$A$5:$A$62,0)),4)</f>
        <v>1</v>
      </c>
      <c r="O762" s="6"/>
    </row>
    <row r="763" customFormat="false" ht="15" hidden="false" customHeight="false" outlineLevel="0" collapsed="false">
      <c r="A763" s="6" t="n">
        <v>72</v>
      </c>
      <c r="B763" s="6" t="s">
        <v>383</v>
      </c>
      <c r="C763" s="6" t="s">
        <v>373</v>
      </c>
      <c r="D763" s="6" t="s">
        <v>159</v>
      </c>
      <c r="E763" s="6" t="s">
        <v>88</v>
      </c>
      <c r="F763" s="6" t="str">
        <f aca="false">INDEX(Items!$B$5:$B$62,MATCH($E763,Items!$A$5:$A$62,0))</f>
        <v>DISPOSABLES &amp; CLINIC CONSUMABLES</v>
      </c>
      <c r="G763" s="6" t="str">
        <f aca="false">INDEX(Items!$C$5:$C$62,MATCH($E763,Items!$A$5:$A$62,0))</f>
        <v>Bulk</v>
      </c>
      <c r="H763" s="6" t="s">
        <v>161</v>
      </c>
      <c r="I763" s="6" t="s">
        <v>160</v>
      </c>
      <c r="J763" s="6" t="n">
        <f aca="false">SUMIFS(Kits!$C$5:$C$163,Kits!$A$5:$A$163,$D763,Kits!$B$5:$B$163,$E763)</f>
        <v>5</v>
      </c>
      <c r="K763" s="6" t="n">
        <f aca="false">INDEX(Services!$F$5:$F$85,MATCH($A763,Services!$A$5:$A$85,0))</f>
        <v>8</v>
      </c>
      <c r="L763" s="6" t="n">
        <f aca="false">IF($H763="Auto-deduct",IF($G763="Countable",ROUNDUP($J763*IF($I763="Y",$K763,1),0),ROUND($J763*IF($I763="Y",$K763,1),1)),$J763)</f>
        <v>5</v>
      </c>
      <c r="M763" s="6" t="str">
        <f aca="false">INDEX(Items!$E$5:$E$62,MATCH($E763,Items!$A$5:$A$62,0))</f>
        <v>mL</v>
      </c>
      <c r="N763" s="6" t="n">
        <f aca="false">ROUND($L763/INDEX(Items!$F$5:$F$62,MATCH($E763,Items!$A$5:$A$62,0)),4)</f>
        <v>0.01</v>
      </c>
      <c r="O763" s="6"/>
    </row>
    <row r="764" customFormat="false" ht="15" hidden="false" customHeight="false" outlineLevel="0" collapsed="false">
      <c r="A764" s="6" t="n">
        <v>72</v>
      </c>
      <c r="B764" s="6" t="s">
        <v>383</v>
      </c>
      <c r="C764" s="6" t="s">
        <v>373</v>
      </c>
      <c r="D764" s="6" t="s">
        <v>190</v>
      </c>
      <c r="E764" s="6" t="s">
        <v>95</v>
      </c>
      <c r="F764" s="6" t="str">
        <f aca="false">INDEX(Items!$B$5:$B$62,MATCH($E764,Items!$A$5:$A$62,0))</f>
        <v>FACIAL / TREATMENT PREP PRODUCTS</v>
      </c>
      <c r="G764" s="6" t="str">
        <f aca="false">INDEX(Items!$C$5:$C$62,MATCH($E764,Items!$A$5:$A$62,0))</f>
        <v>Bulk</v>
      </c>
      <c r="H764" s="6" t="s">
        <v>161</v>
      </c>
      <c r="I764" s="6" t="s">
        <v>191</v>
      </c>
      <c r="J764" s="6" t="n">
        <f aca="false">SUMIFS(Kits!$C$5:$C$163,Kits!$A$5:$A$163,$D764,Kits!$B$5:$B$163,$E764)</f>
        <v>5</v>
      </c>
      <c r="K764" s="6" t="n">
        <f aca="false">INDEX(Services!$F$5:$F$85,MATCH($A764,Services!$A$5:$A$85,0))</f>
        <v>8</v>
      </c>
      <c r="L764" s="6" t="n">
        <f aca="false">IF($H764="Auto-deduct",IF($G764="Countable",ROUNDUP($J764*IF($I764="Y",$K764,1),0),ROUND($J764*IF($I764="Y",$K764,1),1)),$J764)</f>
        <v>40</v>
      </c>
      <c r="M764" s="6" t="str">
        <f aca="false">INDEX(Items!$E$5:$E$62,MATCH($E764,Items!$A$5:$A$62,0))</f>
        <v>mL</v>
      </c>
      <c r="N764" s="6" t="n">
        <f aca="false">ROUND($L764/INDEX(Items!$F$5:$F$62,MATCH($E764,Items!$A$5:$A$62,0)),4)</f>
        <v>0.08</v>
      </c>
      <c r="O764" s="6"/>
    </row>
    <row r="765" customFormat="false" ht="15" hidden="false" customHeight="false" outlineLevel="0" collapsed="false">
      <c r="A765" s="6" t="n">
        <v>72</v>
      </c>
      <c r="B765" s="6" t="s">
        <v>383</v>
      </c>
      <c r="C765" s="6" t="s">
        <v>373</v>
      </c>
      <c r="D765" s="6" t="s">
        <v>190</v>
      </c>
      <c r="E765" s="6" t="s">
        <v>69</v>
      </c>
      <c r="F765" s="6" t="str">
        <f aca="false">INDEX(Items!$B$5:$B$62,MATCH($E765,Items!$A$5:$A$62,0))</f>
        <v>DISPOSABLES &amp; CLINIC CONSUMABLES</v>
      </c>
      <c r="G765" s="6" t="str">
        <f aca="false">INDEX(Items!$C$5:$C$62,MATCH($E765,Items!$A$5:$A$62,0))</f>
        <v>Bulk</v>
      </c>
      <c r="H765" s="6" t="s">
        <v>161</v>
      </c>
      <c r="I765" s="6" t="s">
        <v>191</v>
      </c>
      <c r="J765" s="6" t="n">
        <f aca="false">SUMIFS(Kits!$C$5:$C$163,Kits!$A$5:$A$163,$D765,Kits!$B$5:$B$163,$E765)</f>
        <v>5</v>
      </c>
      <c r="K765" s="6" t="n">
        <f aca="false">INDEX(Services!$F$5:$F$85,MATCH($A765,Services!$A$5:$A$85,0))</f>
        <v>8</v>
      </c>
      <c r="L765" s="6" t="n">
        <f aca="false">IF($H765="Auto-deduct",IF($G765="Countable",ROUNDUP($J765*IF($I765="Y",$K765,1),0),ROUND($J765*IF($I765="Y",$K765,1),1)),$J765)</f>
        <v>40</v>
      </c>
      <c r="M765" s="6" t="str">
        <f aca="false">INDEX(Items!$E$5:$E$62,MATCH($E765,Items!$A$5:$A$62,0))</f>
        <v>g</v>
      </c>
      <c r="N765" s="6" t="n">
        <f aca="false">ROUND($L765/INDEX(Items!$F$5:$F$62,MATCH($E765,Items!$A$5:$A$62,0)),4)</f>
        <v>0.1</v>
      </c>
      <c r="O765" s="6"/>
    </row>
    <row r="766" customFormat="false" ht="15" hidden="false" customHeight="false" outlineLevel="0" collapsed="false">
      <c r="A766" s="6" t="n">
        <v>72</v>
      </c>
      <c r="B766" s="6" t="s">
        <v>383</v>
      </c>
      <c r="C766" s="6" t="s">
        <v>373</v>
      </c>
      <c r="D766" s="6" t="s">
        <v>190</v>
      </c>
      <c r="E766" s="6" t="s">
        <v>72</v>
      </c>
      <c r="F766" s="6" t="str">
        <f aca="false">INDEX(Items!$B$5:$B$62,MATCH($E766,Items!$A$5:$A$62,0))</f>
        <v>DISPOSABLES &amp; CLINIC CONSUMABLES</v>
      </c>
      <c r="G766" s="6" t="str">
        <f aca="false">INDEX(Items!$C$5:$C$62,MATCH($E766,Items!$A$5:$A$62,0))</f>
        <v>Bulk</v>
      </c>
      <c r="H766" s="6" t="s">
        <v>161</v>
      </c>
      <c r="I766" s="6" t="s">
        <v>191</v>
      </c>
      <c r="J766" s="6" t="n">
        <f aca="false">SUMIFS(Kits!$C$5:$C$163,Kits!$A$5:$A$163,$D766,Kits!$B$5:$B$163,$E766)</f>
        <v>6</v>
      </c>
      <c r="K766" s="6" t="n">
        <f aca="false">INDEX(Services!$F$5:$F$85,MATCH($A766,Services!$A$5:$A$85,0))</f>
        <v>8</v>
      </c>
      <c r="L766" s="6" t="n">
        <f aca="false">IF($H766="Auto-deduct",IF($G766="Countable",ROUNDUP($J766*IF($I766="Y",$K766,1),0),ROUND($J766*IF($I766="Y",$K766,1),1)),$J766)</f>
        <v>48</v>
      </c>
      <c r="M766" s="6" t="str">
        <f aca="false">INDEX(Items!$E$5:$E$62,MATCH($E766,Items!$A$5:$A$62,0))</f>
        <v>pc</v>
      </c>
      <c r="N766" s="6" t="n">
        <f aca="false">ROUND($L766/INDEX(Items!$F$5:$F$62,MATCH($E766,Items!$A$5:$A$62,0)),4)</f>
        <v>0.48</v>
      </c>
      <c r="O766" s="6"/>
    </row>
    <row r="767" customFormat="false" ht="15" hidden="false" customHeight="false" outlineLevel="0" collapsed="false">
      <c r="A767" s="6" t="n">
        <v>72</v>
      </c>
      <c r="B767" s="6" t="s">
        <v>383</v>
      </c>
      <c r="C767" s="6" t="s">
        <v>373</v>
      </c>
      <c r="D767" s="6" t="s">
        <v>190</v>
      </c>
      <c r="E767" s="6" t="s">
        <v>81</v>
      </c>
      <c r="F767" s="6" t="str">
        <f aca="false">INDEX(Items!$B$5:$B$62,MATCH($E767,Items!$A$5:$A$62,0))</f>
        <v>DISPOSABLES &amp; CLINIC CONSUMABLES</v>
      </c>
      <c r="G767" s="6" t="str">
        <f aca="false">INDEX(Items!$C$5:$C$62,MATCH($E767,Items!$A$5:$A$62,0))</f>
        <v>Bulk</v>
      </c>
      <c r="H767" s="6" t="s">
        <v>161</v>
      </c>
      <c r="I767" s="6" t="s">
        <v>191</v>
      </c>
      <c r="J767" s="6" t="n">
        <f aca="false">SUMIFS(Kits!$C$5:$C$163,Kits!$A$5:$A$163,$D767,Kits!$B$5:$B$163,$E767)</f>
        <v>4</v>
      </c>
      <c r="K767" s="6" t="n">
        <f aca="false">INDEX(Services!$F$5:$F$85,MATCH($A767,Services!$A$5:$A$85,0))</f>
        <v>8</v>
      </c>
      <c r="L767" s="6" t="n">
        <f aca="false">IF($H767="Auto-deduct",IF($G767="Countable",ROUNDUP($J767*IF($I767="Y",$K767,1),0),ROUND($J767*IF($I767="Y",$K767,1),1)),$J767)</f>
        <v>32</v>
      </c>
      <c r="M767" s="6" t="str">
        <f aca="false">INDEX(Items!$E$5:$E$62,MATCH($E767,Items!$A$5:$A$62,0))</f>
        <v>pc</v>
      </c>
      <c r="N767" s="6" t="n">
        <f aca="false">ROUND($L767/INDEX(Items!$F$5:$F$62,MATCH($E767,Items!$A$5:$A$62,0)),4)</f>
        <v>0.32</v>
      </c>
      <c r="O767" s="6"/>
    </row>
    <row r="768" customFormat="false" ht="15" hidden="false" customHeight="false" outlineLevel="0" collapsed="false">
      <c r="A768" s="6" t="n">
        <v>72</v>
      </c>
      <c r="B768" s="6" t="s">
        <v>383</v>
      </c>
      <c r="C768" s="6" t="s">
        <v>373</v>
      </c>
      <c r="D768" s="6" t="s">
        <v>190</v>
      </c>
      <c r="E768" s="6" t="s">
        <v>58</v>
      </c>
      <c r="F768" s="6" t="str">
        <f aca="false">INDEX(Items!$B$5:$B$62,MATCH($E768,Items!$A$5:$A$62,0))</f>
        <v>DISPOSABLES &amp; CLINIC CONSUMABLES</v>
      </c>
      <c r="G768" s="6" t="str">
        <f aca="false">INDEX(Items!$C$5:$C$62,MATCH($E768,Items!$A$5:$A$62,0))</f>
        <v>Bulk</v>
      </c>
      <c r="H768" s="6" t="s">
        <v>161</v>
      </c>
      <c r="I768" s="6" t="s">
        <v>191</v>
      </c>
      <c r="J768" s="6" t="n">
        <f aca="false">SUMIFS(Kits!$C$5:$C$163,Kits!$A$5:$A$163,$D768,Kits!$B$5:$B$163,$E768)</f>
        <v>4</v>
      </c>
      <c r="K768" s="6" t="n">
        <f aca="false">INDEX(Services!$F$5:$F$85,MATCH($A768,Services!$A$5:$A$85,0))</f>
        <v>8</v>
      </c>
      <c r="L768" s="6" t="n">
        <f aca="false">IF($H768="Auto-deduct",IF($G768="Countable",ROUNDUP($J768*IF($I768="Y",$K768,1),0),ROUND($J768*IF($I768="Y",$K768,1),1)),$J768)</f>
        <v>32</v>
      </c>
      <c r="M768" s="6" t="str">
        <f aca="false">INDEX(Items!$E$5:$E$62,MATCH($E768,Items!$A$5:$A$62,0))</f>
        <v>sheet</v>
      </c>
      <c r="N768" s="6" t="n">
        <f aca="false">ROUND($L768/INDEX(Items!$F$5:$F$62,MATCH($E768,Items!$A$5:$A$62,0)),4)</f>
        <v>0.16</v>
      </c>
      <c r="O768" s="6"/>
    </row>
    <row r="769" customFormat="false" ht="15" hidden="false" customHeight="false" outlineLevel="0" collapsed="false">
      <c r="A769" s="6" t="n">
        <v>72</v>
      </c>
      <c r="B769" s="6" t="s">
        <v>383</v>
      </c>
      <c r="C769" s="6" t="s">
        <v>373</v>
      </c>
      <c r="D769" s="6" t="s">
        <v>190</v>
      </c>
      <c r="E769" s="6" t="s">
        <v>86</v>
      </c>
      <c r="F769" s="6" t="str">
        <f aca="false">INDEX(Items!$B$5:$B$62,MATCH($E769,Items!$A$5:$A$62,0))</f>
        <v>DISPOSABLES &amp; CLINIC CONSUMABLES</v>
      </c>
      <c r="G769" s="6" t="str">
        <f aca="false">INDEX(Items!$C$5:$C$62,MATCH($E769,Items!$A$5:$A$62,0))</f>
        <v>Bulk</v>
      </c>
      <c r="H769" s="6" t="s">
        <v>161</v>
      </c>
      <c r="I769" s="6" t="s">
        <v>191</v>
      </c>
      <c r="J769" s="6" t="n">
        <f aca="false">SUMIFS(Kits!$C$5:$C$163,Kits!$A$5:$A$163,$D769,Kits!$B$5:$B$163,$E769)</f>
        <v>2</v>
      </c>
      <c r="K769" s="6" t="n">
        <f aca="false">INDEX(Services!$F$5:$F$85,MATCH($A769,Services!$A$5:$A$85,0))</f>
        <v>8</v>
      </c>
      <c r="L769" s="6" t="n">
        <f aca="false">IF($H769="Auto-deduct",IF($G769="Countable",ROUNDUP($J769*IF($I769="Y",$K769,1),0),ROUND($J769*IF($I769="Y",$K769,1),1)),$J769)</f>
        <v>16</v>
      </c>
      <c r="M769" s="6" t="str">
        <f aca="false">INDEX(Items!$E$5:$E$62,MATCH($E769,Items!$A$5:$A$62,0))</f>
        <v>pc</v>
      </c>
      <c r="N769" s="6" t="n">
        <f aca="false">ROUND($L769/INDEX(Items!$F$5:$F$62,MATCH($E769,Items!$A$5:$A$62,0)),4)</f>
        <v>0.2</v>
      </c>
      <c r="O769" s="6"/>
    </row>
    <row r="770" customFormat="false" ht="15" hidden="false" customHeight="false" outlineLevel="0" collapsed="false">
      <c r="A770" s="6" t="n">
        <v>72</v>
      </c>
      <c r="B770" s="6" t="s">
        <v>383</v>
      </c>
      <c r="C770" s="6" t="s">
        <v>373</v>
      </c>
      <c r="D770" s="6" t="s">
        <v>190</v>
      </c>
      <c r="E770" s="6" t="s">
        <v>110</v>
      </c>
      <c r="F770" s="6" t="str">
        <f aca="false">INDEX(Items!$B$5:$B$62,MATCH($E770,Items!$A$5:$A$62,0))</f>
        <v>FACIAL TREATMENT PRODUCTS (PROFESSIONAL USE)</v>
      </c>
      <c r="G770" s="6" t="str">
        <f aca="false">INDEX(Items!$C$5:$C$62,MATCH($E770,Items!$A$5:$A$62,0))</f>
        <v>Bulk</v>
      </c>
      <c r="H770" s="6" t="s">
        <v>161</v>
      </c>
      <c r="I770" s="6" t="s">
        <v>191</v>
      </c>
      <c r="J770" s="6" t="n">
        <f aca="false">SUMIFS(Kits!$C$5:$C$163,Kits!$A$5:$A$163,$D770,Kits!$B$5:$B$163,$E770)</f>
        <v>20</v>
      </c>
      <c r="K770" s="6" t="n">
        <f aca="false">INDEX(Services!$F$5:$F$85,MATCH($A770,Services!$A$5:$A$85,0))</f>
        <v>8</v>
      </c>
      <c r="L770" s="6" t="n">
        <f aca="false">IF($H770="Auto-deduct",IF($G770="Countable",ROUNDUP($J770*IF($I770="Y",$K770,1),0),ROUND($J770*IF($I770="Y",$K770,1),1)),$J770)</f>
        <v>160</v>
      </c>
      <c r="M770" s="6" t="str">
        <f aca="false">INDEX(Items!$E$5:$E$62,MATCH($E770,Items!$A$5:$A$62,0))</f>
        <v>g</v>
      </c>
      <c r="N770" s="6" t="n">
        <f aca="false">ROUND($L770/INDEX(Items!$F$5:$F$62,MATCH($E770,Items!$A$5:$A$62,0)),4)</f>
        <v>0.32</v>
      </c>
      <c r="O770" s="6"/>
    </row>
    <row r="771" customFormat="false" ht="15" hidden="false" customHeight="false" outlineLevel="0" collapsed="false">
      <c r="A771" s="6" t="n">
        <v>72</v>
      </c>
      <c r="B771" s="6" t="s">
        <v>383</v>
      </c>
      <c r="C771" s="6" t="s">
        <v>373</v>
      </c>
      <c r="D771" s="6" t="s">
        <v>190</v>
      </c>
      <c r="E771" s="6" t="s">
        <v>135</v>
      </c>
      <c r="F771" s="6" t="str">
        <f aca="false">INDEX(Items!$B$5:$B$62,MATCH($E771,Items!$A$5:$A$62,0))</f>
        <v>SKINCARE PRODUCTS (RETAIL / AFTERCARE)</v>
      </c>
      <c r="G771" s="6" t="str">
        <f aca="false">INDEX(Items!$C$5:$C$62,MATCH($E771,Items!$A$5:$A$62,0))</f>
        <v>Bulk</v>
      </c>
      <c r="H771" s="6" t="s">
        <v>161</v>
      </c>
      <c r="I771" s="6" t="s">
        <v>191</v>
      </c>
      <c r="J771" s="6" t="n">
        <f aca="false">SUMIFS(Kits!$C$5:$C$163,Kits!$A$5:$A$163,$D771,Kits!$B$5:$B$163,$E771)</f>
        <v>3</v>
      </c>
      <c r="K771" s="6" t="n">
        <f aca="false">INDEX(Services!$F$5:$F$85,MATCH($A771,Services!$A$5:$A$85,0))</f>
        <v>8</v>
      </c>
      <c r="L771" s="6" t="n">
        <f aca="false">IF($H771="Auto-deduct",IF($G771="Countable",ROUNDUP($J771*IF($I771="Y",$K771,1),0),ROUND($J771*IF($I771="Y",$K771,1),1)),$J771)</f>
        <v>24</v>
      </c>
      <c r="M771" s="6" t="str">
        <f aca="false">INDEX(Items!$E$5:$E$62,MATCH($E771,Items!$A$5:$A$62,0))</f>
        <v>g</v>
      </c>
      <c r="N771" s="6" t="n">
        <f aca="false">ROUND($L771/INDEX(Items!$F$5:$F$62,MATCH($E771,Items!$A$5:$A$62,0)),4)</f>
        <v>0.48</v>
      </c>
      <c r="O771" s="6"/>
    </row>
    <row r="772" customFormat="false" ht="15" hidden="false" customHeight="false" outlineLevel="0" collapsed="false">
      <c r="A772" s="6" t="n">
        <v>72</v>
      </c>
      <c r="B772" s="6" t="s">
        <v>383</v>
      </c>
      <c r="C772" s="6" t="s">
        <v>373</v>
      </c>
      <c r="D772" s="6" t="s">
        <v>190</v>
      </c>
      <c r="E772" s="6" t="s">
        <v>129</v>
      </c>
      <c r="F772" s="6" t="str">
        <f aca="false">INDEX(Items!$B$5:$B$62,MATCH($E772,Items!$A$5:$A$62,0))</f>
        <v>SKINCARE PRODUCTS (RETAIL / AFTERCARE)</v>
      </c>
      <c r="G772" s="6" t="str">
        <f aca="false">INDEX(Items!$C$5:$C$62,MATCH($E772,Items!$A$5:$A$62,0))</f>
        <v>Countable</v>
      </c>
      <c r="H772" s="6" t="s">
        <v>185</v>
      </c>
      <c r="I772" s="6" t="s">
        <v>160</v>
      </c>
      <c r="J772" s="6" t="n">
        <f aca="false">SUMIFS(Kits!$C$5:$C$163,Kits!$A$5:$A$163,$D772,Kits!$B$5:$B$163,$E772)</f>
        <v>1</v>
      </c>
      <c r="K772" s="6" t="n">
        <f aca="false">INDEX(Services!$F$5:$F$85,MATCH($A772,Services!$A$5:$A$85,0))</f>
        <v>8</v>
      </c>
      <c r="L772" s="6" t="n">
        <f aca="false">IF($H772="Auto-deduct",IF($G772="Countable",ROUNDUP($J772*IF($I772="Y",$K772,1),0),ROUND($J772*IF($I772="Y",$K772,1),1)),$J772)</f>
        <v>1</v>
      </c>
      <c r="M772" s="6" t="str">
        <f aca="false">INDEX(Items!$E$5:$E$62,MATCH($E772,Items!$A$5:$A$62,0))</f>
        <v>tube</v>
      </c>
      <c r="N772" s="6" t="n">
        <f aca="false">ROUND($L772/INDEX(Items!$F$5:$F$62,MATCH($E772,Items!$A$5:$A$62,0)),4)</f>
        <v>1</v>
      </c>
      <c r="O772" s="6"/>
    </row>
    <row r="773" customFormat="false" ht="15" hidden="false" customHeight="false" outlineLevel="0" collapsed="false">
      <c r="A773" s="6" t="n">
        <v>73</v>
      </c>
      <c r="B773" s="6" t="s">
        <v>385</v>
      </c>
      <c r="C773" s="6" t="s">
        <v>384</v>
      </c>
      <c r="D773" s="6" t="s">
        <v>159</v>
      </c>
      <c r="E773" s="6" t="s">
        <v>52</v>
      </c>
      <c r="F773" s="6" t="str">
        <f aca="false">INDEX(Items!$B$5:$B$62,MATCH($E773,Items!$A$5:$A$62,0))</f>
        <v>DISPOSABLES &amp; CLINIC CONSUMABLES</v>
      </c>
      <c r="G773" s="6" t="str">
        <f aca="false">INDEX(Items!$C$5:$C$62,MATCH($E773,Items!$A$5:$A$62,0))</f>
        <v>Countable</v>
      </c>
      <c r="H773" s="6" t="s">
        <v>161</v>
      </c>
      <c r="I773" s="6" t="s">
        <v>160</v>
      </c>
      <c r="J773" s="6" t="n">
        <f aca="false">SUMIFS(Kits!$C$5:$C$163,Kits!$A$5:$A$163,$D773,Kits!$B$5:$B$163,$E773)</f>
        <v>1</v>
      </c>
      <c r="K773" s="6" t="n">
        <f aca="false">INDEX(Services!$F$5:$F$85,MATCH($A773,Services!$A$5:$A$85,0))</f>
        <v>1</v>
      </c>
      <c r="L773" s="6" t="n">
        <f aca="false">IF($H773="Auto-deduct",IF($G773="Countable",ROUNDUP($J773*IF($I773="Y",$K773,1),0),ROUND($J773*IF($I773="Y",$K773,1),1)),$J773)</f>
        <v>1</v>
      </c>
      <c r="M773" s="6" t="str">
        <f aca="false">INDEX(Items!$E$5:$E$62,MATCH($E773,Items!$A$5:$A$62,0))</f>
        <v>pc</v>
      </c>
      <c r="N773" s="6" t="n">
        <f aca="false">ROUND($L773/INDEX(Items!$F$5:$F$62,MATCH($E773,Items!$A$5:$A$62,0)),4)</f>
        <v>1</v>
      </c>
      <c r="O773" s="6"/>
    </row>
    <row r="774" customFormat="false" ht="15" hidden="false" customHeight="false" outlineLevel="0" collapsed="false">
      <c r="A774" s="6" t="n">
        <v>73</v>
      </c>
      <c r="B774" s="6" t="s">
        <v>385</v>
      </c>
      <c r="C774" s="6" t="s">
        <v>384</v>
      </c>
      <c r="D774" s="6" t="s">
        <v>159</v>
      </c>
      <c r="E774" s="6" t="s">
        <v>53</v>
      </c>
      <c r="F774" s="6" t="str">
        <f aca="false">INDEX(Items!$B$5:$B$62,MATCH($E774,Items!$A$5:$A$62,0))</f>
        <v>DISPOSABLES &amp; CLINIC CONSUMABLES</v>
      </c>
      <c r="G774" s="6" t="str">
        <f aca="false">INDEX(Items!$C$5:$C$62,MATCH($E774,Items!$A$5:$A$62,0))</f>
        <v>Countable</v>
      </c>
      <c r="H774" s="6" t="s">
        <v>161</v>
      </c>
      <c r="I774" s="6" t="s">
        <v>160</v>
      </c>
      <c r="J774" s="6" t="n">
        <f aca="false">SUMIFS(Kits!$C$5:$C$163,Kits!$A$5:$A$163,$D774,Kits!$B$5:$B$163,$E774)</f>
        <v>1</v>
      </c>
      <c r="K774" s="6" t="n">
        <f aca="false">INDEX(Services!$F$5:$F$85,MATCH($A774,Services!$A$5:$A$85,0))</f>
        <v>1</v>
      </c>
      <c r="L774" s="6" t="n">
        <f aca="false">IF($H774="Auto-deduct",IF($G774="Countable",ROUNDUP($J774*IF($I774="Y",$K774,1),0),ROUND($J774*IF($I774="Y",$K774,1),1)),$J774)</f>
        <v>1</v>
      </c>
      <c r="M774" s="6" t="str">
        <f aca="false">INDEX(Items!$E$5:$E$62,MATCH($E774,Items!$A$5:$A$62,0))</f>
        <v>pair</v>
      </c>
      <c r="N774" s="6" t="n">
        <f aca="false">ROUND($L774/INDEX(Items!$F$5:$F$62,MATCH($E774,Items!$A$5:$A$62,0)),4)</f>
        <v>1</v>
      </c>
      <c r="O774" s="6"/>
    </row>
    <row r="775" customFormat="false" ht="15" hidden="false" customHeight="false" outlineLevel="0" collapsed="false">
      <c r="A775" s="6" t="n">
        <v>73</v>
      </c>
      <c r="B775" s="6" t="s">
        <v>385</v>
      </c>
      <c r="C775" s="6" t="s">
        <v>384</v>
      </c>
      <c r="D775" s="6" t="s">
        <v>159</v>
      </c>
      <c r="E775" s="6" t="s">
        <v>88</v>
      </c>
      <c r="F775" s="6" t="str">
        <f aca="false">INDEX(Items!$B$5:$B$62,MATCH($E775,Items!$A$5:$A$62,0))</f>
        <v>DISPOSABLES &amp; CLINIC CONSUMABLES</v>
      </c>
      <c r="G775" s="6" t="str">
        <f aca="false">INDEX(Items!$C$5:$C$62,MATCH($E775,Items!$A$5:$A$62,0))</f>
        <v>Bulk</v>
      </c>
      <c r="H775" s="6" t="s">
        <v>161</v>
      </c>
      <c r="I775" s="6" t="s">
        <v>160</v>
      </c>
      <c r="J775" s="6" t="n">
        <f aca="false">SUMIFS(Kits!$C$5:$C$163,Kits!$A$5:$A$163,$D775,Kits!$B$5:$B$163,$E775)</f>
        <v>5</v>
      </c>
      <c r="K775" s="6" t="n">
        <f aca="false">INDEX(Services!$F$5:$F$85,MATCH($A775,Services!$A$5:$A$85,0))</f>
        <v>1</v>
      </c>
      <c r="L775" s="6" t="n">
        <f aca="false">IF($H775="Auto-deduct",IF($G775="Countable",ROUNDUP($J775*IF($I775="Y",$K775,1),0),ROUND($J775*IF($I775="Y",$K775,1),1)),$J775)</f>
        <v>5</v>
      </c>
      <c r="M775" s="6" t="str">
        <f aca="false">INDEX(Items!$E$5:$E$62,MATCH($E775,Items!$A$5:$A$62,0))</f>
        <v>mL</v>
      </c>
      <c r="N775" s="6" t="n">
        <f aca="false">ROUND($L775/INDEX(Items!$F$5:$F$62,MATCH($E775,Items!$A$5:$A$62,0)),4)</f>
        <v>0.01</v>
      </c>
      <c r="O775" s="6"/>
    </row>
    <row r="776" customFormat="false" ht="15" hidden="false" customHeight="false" outlineLevel="0" collapsed="false">
      <c r="A776" s="6" t="n">
        <v>73</v>
      </c>
      <c r="B776" s="6" t="s">
        <v>385</v>
      </c>
      <c r="C776" s="6" t="s">
        <v>384</v>
      </c>
      <c r="D776" s="6" t="s">
        <v>243</v>
      </c>
      <c r="E776" s="6" t="s">
        <v>86</v>
      </c>
      <c r="F776" s="6" t="str">
        <f aca="false">INDEX(Items!$B$5:$B$62,MATCH($E776,Items!$A$5:$A$62,0))</f>
        <v>DISPOSABLES &amp; CLINIC CONSUMABLES</v>
      </c>
      <c r="G776" s="6" t="str">
        <f aca="false">INDEX(Items!$C$5:$C$62,MATCH($E776,Items!$A$5:$A$62,0))</f>
        <v>Bulk</v>
      </c>
      <c r="H776" s="6" t="s">
        <v>161</v>
      </c>
      <c r="I776" s="6" t="s">
        <v>191</v>
      </c>
      <c r="J776" s="6" t="n">
        <f aca="false">SUMIFS(Kits!$C$5:$C$163,Kits!$A$5:$A$163,$D776,Kits!$B$5:$B$163,$E776)</f>
        <v>3</v>
      </c>
      <c r="K776" s="6" t="n">
        <f aca="false">INDEX(Services!$F$5:$F$85,MATCH($A776,Services!$A$5:$A$85,0))</f>
        <v>1</v>
      </c>
      <c r="L776" s="6" t="n">
        <f aca="false">IF($H776="Auto-deduct",IF($G776="Countable",ROUNDUP($J776*IF($I776="Y",$K776,1),0),ROUND($J776*IF($I776="Y",$K776,1),1)),$J776)</f>
        <v>3</v>
      </c>
      <c r="M776" s="6" t="str">
        <f aca="false">INDEX(Items!$E$5:$E$62,MATCH($E776,Items!$A$5:$A$62,0))</f>
        <v>pc</v>
      </c>
      <c r="N776" s="6" t="n">
        <f aca="false">ROUND($L776/INDEX(Items!$F$5:$F$62,MATCH($E776,Items!$A$5:$A$62,0)),4)</f>
        <v>0.0375</v>
      </c>
      <c r="O776" s="6"/>
    </row>
    <row r="777" customFormat="false" ht="15" hidden="false" customHeight="false" outlineLevel="0" collapsed="false">
      <c r="A777" s="6" t="n">
        <v>73</v>
      </c>
      <c r="B777" s="6" t="s">
        <v>385</v>
      </c>
      <c r="C777" s="6" t="s">
        <v>384</v>
      </c>
      <c r="D777" s="6" t="s">
        <v>243</v>
      </c>
      <c r="E777" s="6" t="s">
        <v>88</v>
      </c>
      <c r="F777" s="6" t="str">
        <f aca="false">INDEX(Items!$B$5:$B$62,MATCH($E777,Items!$A$5:$A$62,0))</f>
        <v>DISPOSABLES &amp; CLINIC CONSUMABLES</v>
      </c>
      <c r="G777" s="6" t="str">
        <f aca="false">INDEX(Items!$C$5:$C$62,MATCH($E777,Items!$A$5:$A$62,0))</f>
        <v>Bulk</v>
      </c>
      <c r="H777" s="6" t="s">
        <v>161</v>
      </c>
      <c r="I777" s="6" t="s">
        <v>191</v>
      </c>
      <c r="J777" s="6" t="n">
        <f aca="false">SUMIFS(Kits!$C$5:$C$163,Kits!$A$5:$A$163,$D777,Kits!$B$5:$B$163,$E777)</f>
        <v>10</v>
      </c>
      <c r="K777" s="6" t="n">
        <f aca="false">INDEX(Services!$F$5:$F$85,MATCH($A777,Services!$A$5:$A$85,0))</f>
        <v>1</v>
      </c>
      <c r="L777" s="6" t="n">
        <f aca="false">IF($H777="Auto-deduct",IF($G777="Countable",ROUNDUP($J777*IF($I777="Y",$K777,1),0),ROUND($J777*IF($I777="Y",$K777,1),1)),$J777)</f>
        <v>10</v>
      </c>
      <c r="M777" s="6" t="str">
        <f aca="false">INDEX(Items!$E$5:$E$62,MATCH($E777,Items!$A$5:$A$62,0))</f>
        <v>mL</v>
      </c>
      <c r="N777" s="6" t="n">
        <f aca="false">ROUND($L777/INDEX(Items!$F$5:$F$62,MATCH($E777,Items!$A$5:$A$62,0)),4)</f>
        <v>0.02</v>
      </c>
      <c r="O777" s="6"/>
    </row>
    <row r="778" customFormat="false" ht="15" hidden="false" customHeight="false" outlineLevel="0" collapsed="false">
      <c r="A778" s="6" t="n">
        <v>73</v>
      </c>
      <c r="B778" s="6" t="s">
        <v>385</v>
      </c>
      <c r="C778" s="6" t="s">
        <v>384</v>
      </c>
      <c r="D778" s="6" t="s">
        <v>245</v>
      </c>
      <c r="E778" s="6" t="s">
        <v>112</v>
      </c>
      <c r="F778" s="6" t="str">
        <f aca="false">INDEX(Items!$B$5:$B$62,MATCH($E778,Items!$A$5:$A$62,0))</f>
        <v>FACIAL TREATMENT PRODUCTS (PROFESSIONAL USE)</v>
      </c>
      <c r="G778" s="6" t="str">
        <f aca="false">INDEX(Items!$C$5:$C$62,MATCH($E778,Items!$A$5:$A$62,0))</f>
        <v>Bulk</v>
      </c>
      <c r="H778" s="6" t="s">
        <v>161</v>
      </c>
      <c r="I778" s="6" t="s">
        <v>191</v>
      </c>
      <c r="J778" s="6" t="n">
        <f aca="false">SUMIFS(Kits!$C$5:$C$163,Kits!$A$5:$A$163,$D778,Kits!$B$5:$B$163,$E778)</f>
        <v>20</v>
      </c>
      <c r="K778" s="6" t="n">
        <f aca="false">INDEX(Services!$F$5:$F$85,MATCH($A778,Services!$A$5:$A$85,0))</f>
        <v>1</v>
      </c>
      <c r="L778" s="6" t="n">
        <f aca="false">IF($H778="Auto-deduct",IF($G778="Countable",ROUNDUP($J778*IF($I778="Y",$K778,1),0),ROUND($J778*IF($I778="Y",$K778,1),1)),$J778)</f>
        <v>20</v>
      </c>
      <c r="M778" s="6" t="str">
        <f aca="false">INDEX(Items!$E$5:$E$62,MATCH($E778,Items!$A$5:$A$62,0))</f>
        <v>g</v>
      </c>
      <c r="N778" s="6" t="n">
        <f aca="false">ROUND($L778/INDEX(Items!$F$5:$F$62,MATCH($E778,Items!$A$5:$A$62,0)),4)</f>
        <v>0.04</v>
      </c>
      <c r="O778" s="6"/>
    </row>
    <row r="779" customFormat="false" ht="15" hidden="false" customHeight="false" outlineLevel="0" collapsed="false">
      <c r="A779" s="6" t="n">
        <v>73</v>
      </c>
      <c r="B779" s="6" t="s">
        <v>385</v>
      </c>
      <c r="C779" s="6" t="s">
        <v>384</v>
      </c>
      <c r="D779" s="6" t="s">
        <v>245</v>
      </c>
      <c r="E779" s="6" t="s">
        <v>67</v>
      </c>
      <c r="F779" s="6" t="str">
        <f aca="false">INDEX(Items!$B$5:$B$62,MATCH($E779,Items!$A$5:$A$62,0))</f>
        <v>DISPOSABLES &amp; CLINIC CONSUMABLES</v>
      </c>
      <c r="G779" s="6" t="str">
        <f aca="false">INDEX(Items!$C$5:$C$62,MATCH($E779,Items!$A$5:$A$62,0))</f>
        <v>Bulk</v>
      </c>
      <c r="H779" s="6" t="s">
        <v>161</v>
      </c>
      <c r="I779" s="6" t="s">
        <v>191</v>
      </c>
      <c r="J779" s="6" t="n">
        <f aca="false">SUMIFS(Kits!$C$5:$C$163,Kits!$A$5:$A$163,$D779,Kits!$B$5:$B$163,$E779)</f>
        <v>10</v>
      </c>
      <c r="K779" s="6" t="n">
        <f aca="false">INDEX(Services!$F$5:$F$85,MATCH($A779,Services!$A$5:$A$85,0))</f>
        <v>1</v>
      </c>
      <c r="L779" s="6" t="n">
        <f aca="false">IF($H779="Auto-deduct",IF($G779="Countable",ROUNDUP($J779*IF($I779="Y",$K779,1),0),ROUND($J779*IF($I779="Y",$K779,1),1)),$J779)</f>
        <v>10</v>
      </c>
      <c r="M779" s="6" t="str">
        <f aca="false">INDEX(Items!$E$5:$E$62,MATCH($E779,Items!$A$5:$A$62,0))</f>
        <v>sheet</v>
      </c>
      <c r="N779" s="6" t="n">
        <f aca="false">ROUND($L779/INDEX(Items!$F$5:$F$62,MATCH($E779,Items!$A$5:$A$62,0)),4)</f>
        <v>0.1</v>
      </c>
      <c r="O779" s="6"/>
    </row>
    <row r="780" customFormat="false" ht="15" hidden="false" customHeight="false" outlineLevel="0" collapsed="false">
      <c r="A780" s="6" t="n">
        <v>73</v>
      </c>
      <c r="B780" s="6" t="s">
        <v>385</v>
      </c>
      <c r="C780" s="6" t="s">
        <v>384</v>
      </c>
      <c r="D780" s="6" t="s">
        <v>245</v>
      </c>
      <c r="E780" s="6" t="s">
        <v>86</v>
      </c>
      <c r="F780" s="6" t="str">
        <f aca="false">INDEX(Items!$B$5:$B$62,MATCH($E780,Items!$A$5:$A$62,0))</f>
        <v>DISPOSABLES &amp; CLINIC CONSUMABLES</v>
      </c>
      <c r="G780" s="6" t="str">
        <f aca="false">INDEX(Items!$C$5:$C$62,MATCH($E780,Items!$A$5:$A$62,0))</f>
        <v>Bulk</v>
      </c>
      <c r="H780" s="6" t="s">
        <v>161</v>
      </c>
      <c r="I780" s="6" t="s">
        <v>160</v>
      </c>
      <c r="J780" s="6" t="n">
        <f aca="false">SUMIFS(Kits!$C$5:$C$163,Kits!$A$5:$A$163,$D780,Kits!$B$5:$B$163,$E780)</f>
        <v>3</v>
      </c>
      <c r="K780" s="6" t="n">
        <f aca="false">INDEX(Services!$F$5:$F$85,MATCH($A780,Services!$A$5:$A$85,0))</f>
        <v>1</v>
      </c>
      <c r="L780" s="6" t="n">
        <f aca="false">IF($H780="Auto-deduct",IF($G780="Countable",ROUNDUP($J780*IF($I780="Y",$K780,1),0),ROUND($J780*IF($I780="Y",$K780,1),1)),$J780)</f>
        <v>3</v>
      </c>
      <c r="M780" s="6" t="str">
        <f aca="false">INDEX(Items!$E$5:$E$62,MATCH($E780,Items!$A$5:$A$62,0))</f>
        <v>pc</v>
      </c>
      <c r="N780" s="6" t="n">
        <f aca="false">ROUND($L780/INDEX(Items!$F$5:$F$62,MATCH($E780,Items!$A$5:$A$62,0)),4)</f>
        <v>0.0375</v>
      </c>
      <c r="O780" s="6"/>
    </row>
    <row r="781" customFormat="false" ht="15" hidden="false" customHeight="false" outlineLevel="0" collapsed="false">
      <c r="A781" s="6" t="n">
        <v>73</v>
      </c>
      <c r="B781" s="6" t="s">
        <v>385</v>
      </c>
      <c r="C781" s="6" t="s">
        <v>384</v>
      </c>
      <c r="D781" s="6" t="s">
        <v>245</v>
      </c>
      <c r="E781" s="6" t="s">
        <v>58</v>
      </c>
      <c r="F781" s="6" t="str">
        <f aca="false">INDEX(Items!$B$5:$B$62,MATCH($E781,Items!$A$5:$A$62,0))</f>
        <v>DISPOSABLES &amp; CLINIC CONSUMABLES</v>
      </c>
      <c r="G781" s="6" t="str">
        <f aca="false">INDEX(Items!$C$5:$C$62,MATCH($E781,Items!$A$5:$A$62,0))</f>
        <v>Bulk</v>
      </c>
      <c r="H781" s="6" t="s">
        <v>161</v>
      </c>
      <c r="I781" s="6" t="s">
        <v>160</v>
      </c>
      <c r="J781" s="6" t="n">
        <f aca="false">SUMIFS(Kits!$C$5:$C$163,Kits!$A$5:$A$163,$D781,Kits!$B$5:$B$163,$E781)</f>
        <v>4</v>
      </c>
      <c r="K781" s="6" t="n">
        <f aca="false">INDEX(Services!$F$5:$F$85,MATCH($A781,Services!$A$5:$A$85,0))</f>
        <v>1</v>
      </c>
      <c r="L781" s="6" t="n">
        <f aca="false">IF($H781="Auto-deduct",IF($G781="Countable",ROUNDUP($J781*IF($I781="Y",$K781,1),0),ROUND($J781*IF($I781="Y",$K781,1),1)),$J781)</f>
        <v>4</v>
      </c>
      <c r="M781" s="6" t="str">
        <f aca="false">INDEX(Items!$E$5:$E$62,MATCH($E781,Items!$A$5:$A$62,0))</f>
        <v>sheet</v>
      </c>
      <c r="N781" s="6" t="n">
        <f aca="false">ROUND($L781/INDEX(Items!$F$5:$F$62,MATCH($E781,Items!$A$5:$A$62,0)),4)</f>
        <v>0.02</v>
      </c>
      <c r="O781" s="6"/>
    </row>
    <row r="782" customFormat="false" ht="15" hidden="false" customHeight="false" outlineLevel="0" collapsed="false">
      <c r="A782" s="6" t="n">
        <v>74</v>
      </c>
      <c r="B782" s="6" t="s">
        <v>387</v>
      </c>
      <c r="C782" s="6" t="s">
        <v>384</v>
      </c>
      <c r="D782" s="6" t="s">
        <v>159</v>
      </c>
      <c r="E782" s="6" t="s">
        <v>52</v>
      </c>
      <c r="F782" s="6" t="str">
        <f aca="false">INDEX(Items!$B$5:$B$62,MATCH($E782,Items!$A$5:$A$62,0))</f>
        <v>DISPOSABLES &amp; CLINIC CONSUMABLES</v>
      </c>
      <c r="G782" s="6" t="str">
        <f aca="false">INDEX(Items!$C$5:$C$62,MATCH($E782,Items!$A$5:$A$62,0))</f>
        <v>Countable</v>
      </c>
      <c r="H782" s="6" t="s">
        <v>161</v>
      </c>
      <c r="I782" s="6" t="s">
        <v>160</v>
      </c>
      <c r="J782" s="6" t="n">
        <f aca="false">SUMIFS(Kits!$C$5:$C$163,Kits!$A$5:$A$163,$D782,Kits!$B$5:$B$163,$E782)</f>
        <v>1</v>
      </c>
      <c r="K782" s="6" t="n">
        <f aca="false">INDEX(Services!$F$5:$F$85,MATCH($A782,Services!$A$5:$A$85,0))</f>
        <v>1</v>
      </c>
      <c r="L782" s="6" t="n">
        <f aca="false">IF($H782="Auto-deduct",IF($G782="Countable",ROUNDUP($J782*IF($I782="Y",$K782,1),0),ROUND($J782*IF($I782="Y",$K782,1),1)),$J782)</f>
        <v>1</v>
      </c>
      <c r="M782" s="6" t="str">
        <f aca="false">INDEX(Items!$E$5:$E$62,MATCH($E782,Items!$A$5:$A$62,0))</f>
        <v>pc</v>
      </c>
      <c r="N782" s="6" t="n">
        <f aca="false">ROUND($L782/INDEX(Items!$F$5:$F$62,MATCH($E782,Items!$A$5:$A$62,0)),4)</f>
        <v>1</v>
      </c>
      <c r="O782" s="6"/>
    </row>
    <row r="783" customFormat="false" ht="15" hidden="false" customHeight="false" outlineLevel="0" collapsed="false">
      <c r="A783" s="6" t="n">
        <v>74</v>
      </c>
      <c r="B783" s="6" t="s">
        <v>387</v>
      </c>
      <c r="C783" s="6" t="s">
        <v>384</v>
      </c>
      <c r="D783" s="6" t="s">
        <v>159</v>
      </c>
      <c r="E783" s="6" t="s">
        <v>53</v>
      </c>
      <c r="F783" s="6" t="str">
        <f aca="false">INDEX(Items!$B$5:$B$62,MATCH($E783,Items!$A$5:$A$62,0))</f>
        <v>DISPOSABLES &amp; CLINIC CONSUMABLES</v>
      </c>
      <c r="G783" s="6" t="str">
        <f aca="false">INDEX(Items!$C$5:$C$62,MATCH($E783,Items!$A$5:$A$62,0))</f>
        <v>Countable</v>
      </c>
      <c r="H783" s="6" t="s">
        <v>161</v>
      </c>
      <c r="I783" s="6" t="s">
        <v>160</v>
      </c>
      <c r="J783" s="6" t="n">
        <f aca="false">SUMIFS(Kits!$C$5:$C$163,Kits!$A$5:$A$163,$D783,Kits!$B$5:$B$163,$E783)</f>
        <v>1</v>
      </c>
      <c r="K783" s="6" t="n">
        <f aca="false">INDEX(Services!$F$5:$F$85,MATCH($A783,Services!$A$5:$A$85,0))</f>
        <v>1</v>
      </c>
      <c r="L783" s="6" t="n">
        <f aca="false">IF($H783="Auto-deduct",IF($G783="Countable",ROUNDUP($J783*IF($I783="Y",$K783,1),0),ROUND($J783*IF($I783="Y",$K783,1),1)),$J783)</f>
        <v>1</v>
      </c>
      <c r="M783" s="6" t="str">
        <f aca="false">INDEX(Items!$E$5:$E$62,MATCH($E783,Items!$A$5:$A$62,0))</f>
        <v>pair</v>
      </c>
      <c r="N783" s="6" t="n">
        <f aca="false">ROUND($L783/INDEX(Items!$F$5:$F$62,MATCH($E783,Items!$A$5:$A$62,0)),4)</f>
        <v>1</v>
      </c>
      <c r="O783" s="6"/>
    </row>
    <row r="784" customFormat="false" ht="15" hidden="false" customHeight="false" outlineLevel="0" collapsed="false">
      <c r="A784" s="6" t="n">
        <v>74</v>
      </c>
      <c r="B784" s="6" t="s">
        <v>387</v>
      </c>
      <c r="C784" s="6" t="s">
        <v>384</v>
      </c>
      <c r="D784" s="6" t="s">
        <v>159</v>
      </c>
      <c r="E784" s="6" t="s">
        <v>88</v>
      </c>
      <c r="F784" s="6" t="str">
        <f aca="false">INDEX(Items!$B$5:$B$62,MATCH($E784,Items!$A$5:$A$62,0))</f>
        <v>DISPOSABLES &amp; CLINIC CONSUMABLES</v>
      </c>
      <c r="G784" s="6" t="str">
        <f aca="false">INDEX(Items!$C$5:$C$62,MATCH($E784,Items!$A$5:$A$62,0))</f>
        <v>Bulk</v>
      </c>
      <c r="H784" s="6" t="s">
        <v>161</v>
      </c>
      <c r="I784" s="6" t="s">
        <v>160</v>
      </c>
      <c r="J784" s="6" t="n">
        <f aca="false">SUMIFS(Kits!$C$5:$C$163,Kits!$A$5:$A$163,$D784,Kits!$B$5:$B$163,$E784)</f>
        <v>5</v>
      </c>
      <c r="K784" s="6" t="n">
        <f aca="false">INDEX(Services!$F$5:$F$85,MATCH($A784,Services!$A$5:$A$85,0))</f>
        <v>1</v>
      </c>
      <c r="L784" s="6" t="n">
        <f aca="false">IF($H784="Auto-deduct",IF($G784="Countable",ROUNDUP($J784*IF($I784="Y",$K784,1),0),ROUND($J784*IF($I784="Y",$K784,1),1)),$J784)</f>
        <v>5</v>
      </c>
      <c r="M784" s="6" t="str">
        <f aca="false">INDEX(Items!$E$5:$E$62,MATCH($E784,Items!$A$5:$A$62,0))</f>
        <v>mL</v>
      </c>
      <c r="N784" s="6" t="n">
        <f aca="false">ROUND($L784/INDEX(Items!$F$5:$F$62,MATCH($E784,Items!$A$5:$A$62,0)),4)</f>
        <v>0.01</v>
      </c>
      <c r="O784" s="6"/>
    </row>
    <row r="785" customFormat="false" ht="15" hidden="false" customHeight="false" outlineLevel="0" collapsed="false">
      <c r="A785" s="6" t="n">
        <v>74</v>
      </c>
      <c r="B785" s="6" t="s">
        <v>387</v>
      </c>
      <c r="C785" s="6" t="s">
        <v>384</v>
      </c>
      <c r="D785" s="6" t="s">
        <v>243</v>
      </c>
      <c r="E785" s="6" t="s">
        <v>86</v>
      </c>
      <c r="F785" s="6" t="str">
        <f aca="false">INDEX(Items!$B$5:$B$62,MATCH($E785,Items!$A$5:$A$62,0))</f>
        <v>DISPOSABLES &amp; CLINIC CONSUMABLES</v>
      </c>
      <c r="G785" s="6" t="str">
        <f aca="false">INDEX(Items!$C$5:$C$62,MATCH($E785,Items!$A$5:$A$62,0))</f>
        <v>Bulk</v>
      </c>
      <c r="H785" s="6" t="s">
        <v>161</v>
      </c>
      <c r="I785" s="6" t="s">
        <v>191</v>
      </c>
      <c r="J785" s="6" t="n">
        <f aca="false">SUMIFS(Kits!$C$5:$C$163,Kits!$A$5:$A$163,$D785,Kits!$B$5:$B$163,$E785)</f>
        <v>3</v>
      </c>
      <c r="K785" s="6" t="n">
        <f aca="false">INDEX(Services!$F$5:$F$85,MATCH($A785,Services!$A$5:$A$85,0))</f>
        <v>1</v>
      </c>
      <c r="L785" s="6" t="n">
        <f aca="false">IF($H785="Auto-deduct",IF($G785="Countable",ROUNDUP($J785*IF($I785="Y",$K785,1),0),ROUND($J785*IF($I785="Y",$K785,1),1)),$J785)</f>
        <v>3</v>
      </c>
      <c r="M785" s="6" t="str">
        <f aca="false">INDEX(Items!$E$5:$E$62,MATCH($E785,Items!$A$5:$A$62,0))</f>
        <v>pc</v>
      </c>
      <c r="N785" s="6" t="n">
        <f aca="false">ROUND($L785/INDEX(Items!$F$5:$F$62,MATCH($E785,Items!$A$5:$A$62,0)),4)</f>
        <v>0.0375</v>
      </c>
      <c r="O785" s="6"/>
    </row>
    <row r="786" customFormat="false" ht="15" hidden="false" customHeight="false" outlineLevel="0" collapsed="false">
      <c r="A786" s="6" t="n">
        <v>74</v>
      </c>
      <c r="B786" s="6" t="s">
        <v>387</v>
      </c>
      <c r="C786" s="6" t="s">
        <v>384</v>
      </c>
      <c r="D786" s="6" t="s">
        <v>243</v>
      </c>
      <c r="E786" s="6" t="s">
        <v>88</v>
      </c>
      <c r="F786" s="6" t="str">
        <f aca="false">INDEX(Items!$B$5:$B$62,MATCH($E786,Items!$A$5:$A$62,0))</f>
        <v>DISPOSABLES &amp; CLINIC CONSUMABLES</v>
      </c>
      <c r="G786" s="6" t="str">
        <f aca="false">INDEX(Items!$C$5:$C$62,MATCH($E786,Items!$A$5:$A$62,0))</f>
        <v>Bulk</v>
      </c>
      <c r="H786" s="6" t="s">
        <v>161</v>
      </c>
      <c r="I786" s="6" t="s">
        <v>191</v>
      </c>
      <c r="J786" s="6" t="n">
        <f aca="false">SUMIFS(Kits!$C$5:$C$163,Kits!$A$5:$A$163,$D786,Kits!$B$5:$B$163,$E786)</f>
        <v>10</v>
      </c>
      <c r="K786" s="6" t="n">
        <f aca="false">INDEX(Services!$F$5:$F$85,MATCH($A786,Services!$A$5:$A$85,0))</f>
        <v>1</v>
      </c>
      <c r="L786" s="6" t="n">
        <f aca="false">IF($H786="Auto-deduct",IF($G786="Countable",ROUNDUP($J786*IF($I786="Y",$K786,1),0),ROUND($J786*IF($I786="Y",$K786,1),1)),$J786)</f>
        <v>10</v>
      </c>
      <c r="M786" s="6" t="str">
        <f aca="false">INDEX(Items!$E$5:$E$62,MATCH($E786,Items!$A$5:$A$62,0))</f>
        <v>mL</v>
      </c>
      <c r="N786" s="6" t="n">
        <f aca="false">ROUND($L786/INDEX(Items!$F$5:$F$62,MATCH($E786,Items!$A$5:$A$62,0)),4)</f>
        <v>0.02</v>
      </c>
      <c r="O786" s="6"/>
    </row>
    <row r="787" customFormat="false" ht="15" hidden="false" customHeight="false" outlineLevel="0" collapsed="false">
      <c r="A787" s="6" t="n">
        <v>74</v>
      </c>
      <c r="B787" s="6" t="s">
        <v>387</v>
      </c>
      <c r="C787" s="6" t="s">
        <v>384</v>
      </c>
      <c r="D787" s="6" t="s">
        <v>247</v>
      </c>
      <c r="E787" s="6" t="s">
        <v>114</v>
      </c>
      <c r="F787" s="6" t="str">
        <f aca="false">INDEX(Items!$B$5:$B$62,MATCH($E787,Items!$A$5:$A$62,0))</f>
        <v>FACIAL TREATMENT PRODUCTS (PROFESSIONAL USE)</v>
      </c>
      <c r="G787" s="6" t="str">
        <f aca="false">INDEX(Items!$C$5:$C$62,MATCH($E787,Items!$A$5:$A$62,0))</f>
        <v>Bulk</v>
      </c>
      <c r="H787" s="6" t="s">
        <v>161</v>
      </c>
      <c r="I787" s="6" t="s">
        <v>191</v>
      </c>
      <c r="J787" s="6" t="n">
        <f aca="false">SUMIFS(Kits!$C$5:$C$163,Kits!$A$5:$A$163,$D787,Kits!$B$5:$B$163,$E787)</f>
        <v>30</v>
      </c>
      <c r="K787" s="6" t="n">
        <f aca="false">INDEX(Services!$F$5:$F$85,MATCH($A787,Services!$A$5:$A$85,0))</f>
        <v>1</v>
      </c>
      <c r="L787" s="6" t="n">
        <f aca="false">IF($H787="Auto-deduct",IF($G787="Countable",ROUNDUP($J787*IF($I787="Y",$K787,1),0),ROUND($J787*IF($I787="Y",$K787,1),1)),$J787)</f>
        <v>30</v>
      </c>
      <c r="M787" s="6" t="str">
        <f aca="false">INDEX(Items!$E$5:$E$62,MATCH($E787,Items!$A$5:$A$62,0))</f>
        <v>mL</v>
      </c>
      <c r="N787" s="6" t="n">
        <f aca="false">ROUND($L787/INDEX(Items!$F$5:$F$62,MATCH($E787,Items!$A$5:$A$62,0)),4)</f>
        <v>0.03</v>
      </c>
      <c r="O787" s="6"/>
    </row>
    <row r="788" customFormat="false" ht="15" hidden="false" customHeight="false" outlineLevel="0" collapsed="false">
      <c r="A788" s="6" t="n">
        <v>74</v>
      </c>
      <c r="B788" s="6" t="s">
        <v>387</v>
      </c>
      <c r="C788" s="6" t="s">
        <v>384</v>
      </c>
      <c r="D788" s="6" t="s">
        <v>247</v>
      </c>
      <c r="E788" s="6" t="s">
        <v>67</v>
      </c>
      <c r="F788" s="6" t="str">
        <f aca="false">INDEX(Items!$B$5:$B$62,MATCH($E788,Items!$A$5:$A$62,0))</f>
        <v>DISPOSABLES &amp; CLINIC CONSUMABLES</v>
      </c>
      <c r="G788" s="6" t="str">
        <f aca="false">INDEX(Items!$C$5:$C$62,MATCH($E788,Items!$A$5:$A$62,0))</f>
        <v>Bulk</v>
      </c>
      <c r="H788" s="6" t="s">
        <v>161</v>
      </c>
      <c r="I788" s="6" t="s">
        <v>191</v>
      </c>
      <c r="J788" s="6" t="n">
        <f aca="false">SUMIFS(Kits!$C$5:$C$163,Kits!$A$5:$A$163,$D788,Kits!$B$5:$B$163,$E788)</f>
        <v>10</v>
      </c>
      <c r="K788" s="6" t="n">
        <f aca="false">INDEX(Services!$F$5:$F$85,MATCH($A788,Services!$A$5:$A$85,0))</f>
        <v>1</v>
      </c>
      <c r="L788" s="6" t="n">
        <f aca="false">IF($H788="Auto-deduct",IF($G788="Countable",ROUNDUP($J788*IF($I788="Y",$K788,1),0),ROUND($J788*IF($I788="Y",$K788,1),1)),$J788)</f>
        <v>10</v>
      </c>
      <c r="M788" s="6" t="str">
        <f aca="false">INDEX(Items!$E$5:$E$62,MATCH($E788,Items!$A$5:$A$62,0))</f>
        <v>sheet</v>
      </c>
      <c r="N788" s="6" t="n">
        <f aca="false">ROUND($L788/INDEX(Items!$F$5:$F$62,MATCH($E788,Items!$A$5:$A$62,0)),4)</f>
        <v>0.1</v>
      </c>
      <c r="O788" s="6"/>
    </row>
    <row r="789" customFormat="false" ht="15" hidden="false" customHeight="false" outlineLevel="0" collapsed="false">
      <c r="A789" s="6" t="n">
        <v>74</v>
      </c>
      <c r="B789" s="6" t="s">
        <v>387</v>
      </c>
      <c r="C789" s="6" t="s">
        <v>384</v>
      </c>
      <c r="D789" s="6" t="s">
        <v>247</v>
      </c>
      <c r="E789" s="6" t="s">
        <v>86</v>
      </c>
      <c r="F789" s="6" t="str">
        <f aca="false">INDEX(Items!$B$5:$B$62,MATCH($E789,Items!$A$5:$A$62,0))</f>
        <v>DISPOSABLES &amp; CLINIC CONSUMABLES</v>
      </c>
      <c r="G789" s="6" t="str">
        <f aca="false">INDEX(Items!$C$5:$C$62,MATCH($E789,Items!$A$5:$A$62,0))</f>
        <v>Bulk</v>
      </c>
      <c r="H789" s="6" t="s">
        <v>161</v>
      </c>
      <c r="I789" s="6" t="s">
        <v>160</v>
      </c>
      <c r="J789" s="6" t="n">
        <f aca="false">SUMIFS(Kits!$C$5:$C$163,Kits!$A$5:$A$163,$D789,Kits!$B$5:$B$163,$E789)</f>
        <v>3</v>
      </c>
      <c r="K789" s="6" t="n">
        <f aca="false">INDEX(Services!$F$5:$F$85,MATCH($A789,Services!$A$5:$A$85,0))</f>
        <v>1</v>
      </c>
      <c r="L789" s="6" t="n">
        <f aca="false">IF($H789="Auto-deduct",IF($G789="Countable",ROUNDUP($J789*IF($I789="Y",$K789,1),0),ROUND($J789*IF($I789="Y",$K789,1),1)),$J789)</f>
        <v>3</v>
      </c>
      <c r="M789" s="6" t="str">
        <f aca="false">INDEX(Items!$E$5:$E$62,MATCH($E789,Items!$A$5:$A$62,0))</f>
        <v>pc</v>
      </c>
      <c r="N789" s="6" t="n">
        <f aca="false">ROUND($L789/INDEX(Items!$F$5:$F$62,MATCH($E789,Items!$A$5:$A$62,0)),4)</f>
        <v>0.0375</v>
      </c>
      <c r="O789" s="6"/>
    </row>
    <row r="790" customFormat="false" ht="15" hidden="false" customHeight="false" outlineLevel="0" collapsed="false">
      <c r="A790" s="6" t="n">
        <v>74</v>
      </c>
      <c r="B790" s="6" t="s">
        <v>387</v>
      </c>
      <c r="C790" s="6" t="s">
        <v>384</v>
      </c>
      <c r="D790" s="6" t="s">
        <v>247</v>
      </c>
      <c r="E790" s="6" t="s">
        <v>58</v>
      </c>
      <c r="F790" s="6" t="str">
        <f aca="false">INDEX(Items!$B$5:$B$62,MATCH($E790,Items!$A$5:$A$62,0))</f>
        <v>DISPOSABLES &amp; CLINIC CONSUMABLES</v>
      </c>
      <c r="G790" s="6" t="str">
        <f aca="false">INDEX(Items!$C$5:$C$62,MATCH($E790,Items!$A$5:$A$62,0))</f>
        <v>Bulk</v>
      </c>
      <c r="H790" s="6" t="s">
        <v>161</v>
      </c>
      <c r="I790" s="6" t="s">
        <v>160</v>
      </c>
      <c r="J790" s="6" t="n">
        <f aca="false">SUMIFS(Kits!$C$5:$C$163,Kits!$A$5:$A$163,$D790,Kits!$B$5:$B$163,$E790)</f>
        <v>4</v>
      </c>
      <c r="K790" s="6" t="n">
        <f aca="false">INDEX(Services!$F$5:$F$85,MATCH($A790,Services!$A$5:$A$85,0))</f>
        <v>1</v>
      </c>
      <c r="L790" s="6" t="n">
        <f aca="false">IF($H790="Auto-deduct",IF($G790="Countable",ROUNDUP($J790*IF($I790="Y",$K790,1),0),ROUND($J790*IF($I790="Y",$K790,1),1)),$J790)</f>
        <v>4</v>
      </c>
      <c r="M790" s="6" t="str">
        <f aca="false">INDEX(Items!$E$5:$E$62,MATCH($E790,Items!$A$5:$A$62,0))</f>
        <v>sheet</v>
      </c>
      <c r="N790" s="6" t="n">
        <f aca="false">ROUND($L790/INDEX(Items!$F$5:$F$62,MATCH($E790,Items!$A$5:$A$62,0)),4)</f>
        <v>0.02</v>
      </c>
      <c r="O790" s="6"/>
    </row>
    <row r="791" customFormat="false" ht="15" hidden="false" customHeight="false" outlineLevel="0" collapsed="false">
      <c r="A791" s="6" t="n">
        <v>75</v>
      </c>
      <c r="B791" s="6" t="s">
        <v>389</v>
      </c>
      <c r="C791" s="6" t="s">
        <v>384</v>
      </c>
      <c r="D791" s="6" t="s">
        <v>159</v>
      </c>
      <c r="E791" s="6" t="s">
        <v>52</v>
      </c>
      <c r="F791" s="6" t="str">
        <f aca="false">INDEX(Items!$B$5:$B$62,MATCH($E791,Items!$A$5:$A$62,0))</f>
        <v>DISPOSABLES &amp; CLINIC CONSUMABLES</v>
      </c>
      <c r="G791" s="6" t="str">
        <f aca="false">INDEX(Items!$C$5:$C$62,MATCH($E791,Items!$A$5:$A$62,0))</f>
        <v>Countable</v>
      </c>
      <c r="H791" s="6" t="s">
        <v>161</v>
      </c>
      <c r="I791" s="6" t="s">
        <v>160</v>
      </c>
      <c r="J791" s="6" t="n">
        <f aca="false">SUMIFS(Kits!$C$5:$C$163,Kits!$A$5:$A$163,$D791,Kits!$B$5:$B$163,$E791)</f>
        <v>1</v>
      </c>
      <c r="K791" s="6" t="n">
        <f aca="false">INDEX(Services!$F$5:$F$85,MATCH($A791,Services!$A$5:$A$85,0))</f>
        <v>1</v>
      </c>
      <c r="L791" s="6" t="n">
        <f aca="false">IF($H791="Auto-deduct",IF($G791="Countable",ROUNDUP($J791*IF($I791="Y",$K791,1),0),ROUND($J791*IF($I791="Y",$K791,1),1)),$J791)</f>
        <v>1</v>
      </c>
      <c r="M791" s="6" t="str">
        <f aca="false">INDEX(Items!$E$5:$E$62,MATCH($E791,Items!$A$5:$A$62,0))</f>
        <v>pc</v>
      </c>
      <c r="N791" s="6" t="n">
        <f aca="false">ROUND($L791/INDEX(Items!$F$5:$F$62,MATCH($E791,Items!$A$5:$A$62,0)),4)</f>
        <v>1</v>
      </c>
      <c r="O791" s="6"/>
    </row>
    <row r="792" customFormat="false" ht="15" hidden="false" customHeight="false" outlineLevel="0" collapsed="false">
      <c r="A792" s="6" t="n">
        <v>75</v>
      </c>
      <c r="B792" s="6" t="s">
        <v>389</v>
      </c>
      <c r="C792" s="6" t="s">
        <v>384</v>
      </c>
      <c r="D792" s="6" t="s">
        <v>159</v>
      </c>
      <c r="E792" s="6" t="s">
        <v>53</v>
      </c>
      <c r="F792" s="6" t="str">
        <f aca="false">INDEX(Items!$B$5:$B$62,MATCH($E792,Items!$A$5:$A$62,0))</f>
        <v>DISPOSABLES &amp; CLINIC CONSUMABLES</v>
      </c>
      <c r="G792" s="6" t="str">
        <f aca="false">INDEX(Items!$C$5:$C$62,MATCH($E792,Items!$A$5:$A$62,0))</f>
        <v>Countable</v>
      </c>
      <c r="H792" s="6" t="s">
        <v>161</v>
      </c>
      <c r="I792" s="6" t="s">
        <v>160</v>
      </c>
      <c r="J792" s="6" t="n">
        <f aca="false">SUMIFS(Kits!$C$5:$C$163,Kits!$A$5:$A$163,$D792,Kits!$B$5:$B$163,$E792)</f>
        <v>1</v>
      </c>
      <c r="K792" s="6" t="n">
        <f aca="false">INDEX(Services!$F$5:$F$85,MATCH($A792,Services!$A$5:$A$85,0))</f>
        <v>1</v>
      </c>
      <c r="L792" s="6" t="n">
        <f aca="false">IF($H792="Auto-deduct",IF($G792="Countable",ROUNDUP($J792*IF($I792="Y",$K792,1),0),ROUND($J792*IF($I792="Y",$K792,1),1)),$J792)</f>
        <v>1</v>
      </c>
      <c r="M792" s="6" t="str">
        <f aca="false">INDEX(Items!$E$5:$E$62,MATCH($E792,Items!$A$5:$A$62,0))</f>
        <v>pair</v>
      </c>
      <c r="N792" s="6" t="n">
        <f aca="false">ROUND($L792/INDEX(Items!$F$5:$F$62,MATCH($E792,Items!$A$5:$A$62,0)),4)</f>
        <v>1</v>
      </c>
      <c r="O792" s="6"/>
    </row>
    <row r="793" customFormat="false" ht="15" hidden="false" customHeight="false" outlineLevel="0" collapsed="false">
      <c r="A793" s="6" t="n">
        <v>75</v>
      </c>
      <c r="B793" s="6" t="s">
        <v>389</v>
      </c>
      <c r="C793" s="6" t="s">
        <v>384</v>
      </c>
      <c r="D793" s="6" t="s">
        <v>159</v>
      </c>
      <c r="E793" s="6" t="s">
        <v>88</v>
      </c>
      <c r="F793" s="6" t="str">
        <f aca="false">INDEX(Items!$B$5:$B$62,MATCH($E793,Items!$A$5:$A$62,0))</f>
        <v>DISPOSABLES &amp; CLINIC CONSUMABLES</v>
      </c>
      <c r="G793" s="6" t="str">
        <f aca="false">INDEX(Items!$C$5:$C$62,MATCH($E793,Items!$A$5:$A$62,0))</f>
        <v>Bulk</v>
      </c>
      <c r="H793" s="6" t="s">
        <v>161</v>
      </c>
      <c r="I793" s="6" t="s">
        <v>160</v>
      </c>
      <c r="J793" s="6" t="n">
        <f aca="false">SUMIFS(Kits!$C$5:$C$163,Kits!$A$5:$A$163,$D793,Kits!$B$5:$B$163,$E793)</f>
        <v>5</v>
      </c>
      <c r="K793" s="6" t="n">
        <f aca="false">INDEX(Services!$F$5:$F$85,MATCH($A793,Services!$A$5:$A$85,0))</f>
        <v>1</v>
      </c>
      <c r="L793" s="6" t="n">
        <f aca="false">IF($H793="Auto-deduct",IF($G793="Countable",ROUNDUP($J793*IF($I793="Y",$K793,1),0),ROUND($J793*IF($I793="Y",$K793,1),1)),$J793)</f>
        <v>5</v>
      </c>
      <c r="M793" s="6" t="str">
        <f aca="false">INDEX(Items!$E$5:$E$62,MATCH($E793,Items!$A$5:$A$62,0))</f>
        <v>mL</v>
      </c>
      <c r="N793" s="6" t="n">
        <f aca="false">ROUND($L793/INDEX(Items!$F$5:$F$62,MATCH($E793,Items!$A$5:$A$62,0)),4)</f>
        <v>0.01</v>
      </c>
      <c r="O793" s="6"/>
    </row>
    <row r="794" customFormat="false" ht="15" hidden="false" customHeight="false" outlineLevel="0" collapsed="false">
      <c r="A794" s="6" t="n">
        <v>75</v>
      </c>
      <c r="B794" s="6" t="s">
        <v>389</v>
      </c>
      <c r="C794" s="6" t="s">
        <v>384</v>
      </c>
      <c r="D794" s="6" t="s">
        <v>243</v>
      </c>
      <c r="E794" s="6" t="s">
        <v>86</v>
      </c>
      <c r="F794" s="6" t="str">
        <f aca="false">INDEX(Items!$B$5:$B$62,MATCH($E794,Items!$A$5:$A$62,0))</f>
        <v>DISPOSABLES &amp; CLINIC CONSUMABLES</v>
      </c>
      <c r="G794" s="6" t="str">
        <f aca="false">INDEX(Items!$C$5:$C$62,MATCH($E794,Items!$A$5:$A$62,0))</f>
        <v>Bulk</v>
      </c>
      <c r="H794" s="6" t="s">
        <v>161</v>
      </c>
      <c r="I794" s="6" t="s">
        <v>191</v>
      </c>
      <c r="J794" s="6" t="n">
        <f aca="false">SUMIFS(Kits!$C$5:$C$163,Kits!$A$5:$A$163,$D794,Kits!$B$5:$B$163,$E794)</f>
        <v>3</v>
      </c>
      <c r="K794" s="6" t="n">
        <f aca="false">INDEX(Services!$F$5:$F$85,MATCH($A794,Services!$A$5:$A$85,0))</f>
        <v>1</v>
      </c>
      <c r="L794" s="6" t="n">
        <f aca="false">IF($H794="Auto-deduct",IF($G794="Countable",ROUNDUP($J794*IF($I794="Y",$K794,1),0),ROUND($J794*IF($I794="Y",$K794,1),1)),$J794)</f>
        <v>3</v>
      </c>
      <c r="M794" s="6" t="str">
        <f aca="false">INDEX(Items!$E$5:$E$62,MATCH($E794,Items!$A$5:$A$62,0))</f>
        <v>pc</v>
      </c>
      <c r="N794" s="6" t="n">
        <f aca="false">ROUND($L794/INDEX(Items!$F$5:$F$62,MATCH($E794,Items!$A$5:$A$62,0)),4)</f>
        <v>0.0375</v>
      </c>
      <c r="O794" s="6"/>
    </row>
    <row r="795" customFormat="false" ht="15" hidden="false" customHeight="false" outlineLevel="0" collapsed="false">
      <c r="A795" s="6" t="n">
        <v>75</v>
      </c>
      <c r="B795" s="6" t="s">
        <v>389</v>
      </c>
      <c r="C795" s="6" t="s">
        <v>384</v>
      </c>
      <c r="D795" s="6" t="s">
        <v>243</v>
      </c>
      <c r="E795" s="6" t="s">
        <v>88</v>
      </c>
      <c r="F795" s="6" t="str">
        <f aca="false">INDEX(Items!$B$5:$B$62,MATCH($E795,Items!$A$5:$A$62,0))</f>
        <v>DISPOSABLES &amp; CLINIC CONSUMABLES</v>
      </c>
      <c r="G795" s="6" t="str">
        <f aca="false">INDEX(Items!$C$5:$C$62,MATCH($E795,Items!$A$5:$A$62,0))</f>
        <v>Bulk</v>
      </c>
      <c r="H795" s="6" t="s">
        <v>161</v>
      </c>
      <c r="I795" s="6" t="s">
        <v>191</v>
      </c>
      <c r="J795" s="6" t="n">
        <f aca="false">SUMIFS(Kits!$C$5:$C$163,Kits!$A$5:$A$163,$D795,Kits!$B$5:$B$163,$E795)</f>
        <v>10</v>
      </c>
      <c r="K795" s="6" t="n">
        <f aca="false">INDEX(Services!$F$5:$F$85,MATCH($A795,Services!$A$5:$A$85,0))</f>
        <v>1</v>
      </c>
      <c r="L795" s="6" t="n">
        <f aca="false">IF($H795="Auto-deduct",IF($G795="Countable",ROUNDUP($J795*IF($I795="Y",$K795,1),0),ROUND($J795*IF($I795="Y",$K795,1),1)),$J795)</f>
        <v>10</v>
      </c>
      <c r="M795" s="6" t="str">
        <f aca="false">INDEX(Items!$E$5:$E$62,MATCH($E795,Items!$A$5:$A$62,0))</f>
        <v>mL</v>
      </c>
      <c r="N795" s="6" t="n">
        <f aca="false">ROUND($L795/INDEX(Items!$F$5:$F$62,MATCH($E795,Items!$A$5:$A$62,0)),4)</f>
        <v>0.02</v>
      </c>
      <c r="O795" s="6"/>
    </row>
    <row r="796" customFormat="false" ht="15" hidden="false" customHeight="false" outlineLevel="0" collapsed="false">
      <c r="A796" s="6" t="n">
        <v>75</v>
      </c>
      <c r="B796" s="6" t="s">
        <v>389</v>
      </c>
      <c r="C796" s="6" t="s">
        <v>384</v>
      </c>
      <c r="D796" s="6" t="s">
        <v>249</v>
      </c>
      <c r="E796" s="6" t="s">
        <v>112</v>
      </c>
      <c r="F796" s="6" t="str">
        <f aca="false">INDEX(Items!$B$5:$B$62,MATCH($E796,Items!$A$5:$A$62,0))</f>
        <v>FACIAL TREATMENT PRODUCTS (PROFESSIONAL USE)</v>
      </c>
      <c r="G796" s="6" t="str">
        <f aca="false">INDEX(Items!$C$5:$C$62,MATCH($E796,Items!$A$5:$A$62,0))</f>
        <v>Bulk</v>
      </c>
      <c r="H796" s="6" t="s">
        <v>161</v>
      </c>
      <c r="I796" s="6" t="s">
        <v>191</v>
      </c>
      <c r="J796" s="6" t="n">
        <f aca="false">SUMIFS(Kits!$C$5:$C$163,Kits!$A$5:$A$163,$D796,Kits!$B$5:$B$163,$E796)</f>
        <v>20</v>
      </c>
      <c r="K796" s="6" t="n">
        <f aca="false">INDEX(Services!$F$5:$F$85,MATCH($A796,Services!$A$5:$A$85,0))</f>
        <v>1</v>
      </c>
      <c r="L796" s="6" t="n">
        <f aca="false">IF($H796="Auto-deduct",IF($G796="Countable",ROUNDUP($J796*IF($I796="Y",$K796,1),0),ROUND($J796*IF($I796="Y",$K796,1),1)),$J796)</f>
        <v>20</v>
      </c>
      <c r="M796" s="6" t="str">
        <f aca="false">INDEX(Items!$E$5:$E$62,MATCH($E796,Items!$A$5:$A$62,0))</f>
        <v>g</v>
      </c>
      <c r="N796" s="6" t="n">
        <f aca="false">ROUND($L796/INDEX(Items!$F$5:$F$62,MATCH($E796,Items!$A$5:$A$62,0)),4)</f>
        <v>0.04</v>
      </c>
      <c r="O796" s="6"/>
    </row>
    <row r="797" customFormat="false" ht="15" hidden="false" customHeight="false" outlineLevel="0" collapsed="false">
      <c r="A797" s="6" t="n">
        <v>75</v>
      </c>
      <c r="B797" s="6" t="s">
        <v>389</v>
      </c>
      <c r="C797" s="6" t="s">
        <v>384</v>
      </c>
      <c r="D797" s="6" t="s">
        <v>249</v>
      </c>
      <c r="E797" s="6" t="s">
        <v>114</v>
      </c>
      <c r="F797" s="6" t="str">
        <f aca="false">INDEX(Items!$B$5:$B$62,MATCH($E797,Items!$A$5:$A$62,0))</f>
        <v>FACIAL TREATMENT PRODUCTS (PROFESSIONAL USE)</v>
      </c>
      <c r="G797" s="6" t="str">
        <f aca="false">INDEX(Items!$C$5:$C$62,MATCH($E797,Items!$A$5:$A$62,0))</f>
        <v>Bulk</v>
      </c>
      <c r="H797" s="6" t="s">
        <v>161</v>
      </c>
      <c r="I797" s="6" t="s">
        <v>191</v>
      </c>
      <c r="J797" s="6" t="n">
        <f aca="false">SUMIFS(Kits!$C$5:$C$163,Kits!$A$5:$A$163,$D797,Kits!$B$5:$B$163,$E797)</f>
        <v>30</v>
      </c>
      <c r="K797" s="6" t="n">
        <f aca="false">INDEX(Services!$F$5:$F$85,MATCH($A797,Services!$A$5:$A$85,0))</f>
        <v>1</v>
      </c>
      <c r="L797" s="6" t="n">
        <f aca="false">IF($H797="Auto-deduct",IF($G797="Countable",ROUNDUP($J797*IF($I797="Y",$K797,1),0),ROUND($J797*IF($I797="Y",$K797,1),1)),$J797)</f>
        <v>30</v>
      </c>
      <c r="M797" s="6" t="str">
        <f aca="false">INDEX(Items!$E$5:$E$62,MATCH($E797,Items!$A$5:$A$62,0))</f>
        <v>mL</v>
      </c>
      <c r="N797" s="6" t="n">
        <f aca="false">ROUND($L797/INDEX(Items!$F$5:$F$62,MATCH($E797,Items!$A$5:$A$62,0)),4)</f>
        <v>0.03</v>
      </c>
      <c r="O797" s="6"/>
    </row>
    <row r="798" customFormat="false" ht="15" hidden="false" customHeight="false" outlineLevel="0" collapsed="false">
      <c r="A798" s="6" t="n">
        <v>75</v>
      </c>
      <c r="B798" s="6" t="s">
        <v>389</v>
      </c>
      <c r="C798" s="6" t="s">
        <v>384</v>
      </c>
      <c r="D798" s="6" t="s">
        <v>249</v>
      </c>
      <c r="E798" s="6" t="s">
        <v>67</v>
      </c>
      <c r="F798" s="6" t="str">
        <f aca="false">INDEX(Items!$B$5:$B$62,MATCH($E798,Items!$A$5:$A$62,0))</f>
        <v>DISPOSABLES &amp; CLINIC CONSUMABLES</v>
      </c>
      <c r="G798" s="6" t="str">
        <f aca="false">INDEX(Items!$C$5:$C$62,MATCH($E798,Items!$A$5:$A$62,0))</f>
        <v>Bulk</v>
      </c>
      <c r="H798" s="6" t="s">
        <v>161</v>
      </c>
      <c r="I798" s="6" t="s">
        <v>191</v>
      </c>
      <c r="J798" s="6" t="n">
        <f aca="false">SUMIFS(Kits!$C$5:$C$163,Kits!$A$5:$A$163,$D798,Kits!$B$5:$B$163,$E798)</f>
        <v>12</v>
      </c>
      <c r="K798" s="6" t="n">
        <f aca="false">INDEX(Services!$F$5:$F$85,MATCH($A798,Services!$A$5:$A$85,0))</f>
        <v>1</v>
      </c>
      <c r="L798" s="6" t="n">
        <f aca="false">IF($H798="Auto-deduct",IF($G798="Countable",ROUNDUP($J798*IF($I798="Y",$K798,1),0),ROUND($J798*IF($I798="Y",$K798,1),1)),$J798)</f>
        <v>12</v>
      </c>
      <c r="M798" s="6" t="str">
        <f aca="false">INDEX(Items!$E$5:$E$62,MATCH($E798,Items!$A$5:$A$62,0))</f>
        <v>sheet</v>
      </c>
      <c r="N798" s="6" t="n">
        <f aca="false">ROUND($L798/INDEX(Items!$F$5:$F$62,MATCH($E798,Items!$A$5:$A$62,0)),4)</f>
        <v>0.12</v>
      </c>
      <c r="O798" s="6"/>
    </row>
    <row r="799" customFormat="false" ht="15" hidden="false" customHeight="false" outlineLevel="0" collapsed="false">
      <c r="A799" s="6" t="n">
        <v>75</v>
      </c>
      <c r="B799" s="6" t="s">
        <v>389</v>
      </c>
      <c r="C799" s="6" t="s">
        <v>384</v>
      </c>
      <c r="D799" s="6" t="s">
        <v>249</v>
      </c>
      <c r="E799" s="6" t="s">
        <v>86</v>
      </c>
      <c r="F799" s="6" t="str">
        <f aca="false">INDEX(Items!$B$5:$B$62,MATCH($E799,Items!$A$5:$A$62,0))</f>
        <v>DISPOSABLES &amp; CLINIC CONSUMABLES</v>
      </c>
      <c r="G799" s="6" t="str">
        <f aca="false">INDEX(Items!$C$5:$C$62,MATCH($E799,Items!$A$5:$A$62,0))</f>
        <v>Bulk</v>
      </c>
      <c r="H799" s="6" t="s">
        <v>161</v>
      </c>
      <c r="I799" s="6" t="s">
        <v>160</v>
      </c>
      <c r="J799" s="6" t="n">
        <f aca="false">SUMIFS(Kits!$C$5:$C$163,Kits!$A$5:$A$163,$D799,Kits!$B$5:$B$163,$E799)</f>
        <v>3</v>
      </c>
      <c r="K799" s="6" t="n">
        <f aca="false">INDEX(Services!$F$5:$F$85,MATCH($A799,Services!$A$5:$A$85,0))</f>
        <v>1</v>
      </c>
      <c r="L799" s="6" t="n">
        <f aca="false">IF($H799="Auto-deduct",IF($G799="Countable",ROUNDUP($J799*IF($I799="Y",$K799,1),0),ROUND($J799*IF($I799="Y",$K799,1),1)),$J799)</f>
        <v>3</v>
      </c>
      <c r="M799" s="6" t="str">
        <f aca="false">INDEX(Items!$E$5:$E$62,MATCH($E799,Items!$A$5:$A$62,0))</f>
        <v>pc</v>
      </c>
      <c r="N799" s="6" t="n">
        <f aca="false">ROUND($L799/INDEX(Items!$F$5:$F$62,MATCH($E799,Items!$A$5:$A$62,0)),4)</f>
        <v>0.0375</v>
      </c>
      <c r="O799" s="6"/>
    </row>
    <row r="800" customFormat="false" ht="15" hidden="false" customHeight="false" outlineLevel="0" collapsed="false">
      <c r="A800" s="6" t="n">
        <v>75</v>
      </c>
      <c r="B800" s="6" t="s">
        <v>389</v>
      </c>
      <c r="C800" s="6" t="s">
        <v>384</v>
      </c>
      <c r="D800" s="6" t="s">
        <v>249</v>
      </c>
      <c r="E800" s="6" t="s">
        <v>58</v>
      </c>
      <c r="F800" s="6" t="str">
        <f aca="false">INDEX(Items!$B$5:$B$62,MATCH($E800,Items!$A$5:$A$62,0))</f>
        <v>DISPOSABLES &amp; CLINIC CONSUMABLES</v>
      </c>
      <c r="G800" s="6" t="str">
        <f aca="false">INDEX(Items!$C$5:$C$62,MATCH($E800,Items!$A$5:$A$62,0))</f>
        <v>Bulk</v>
      </c>
      <c r="H800" s="6" t="s">
        <v>161</v>
      </c>
      <c r="I800" s="6" t="s">
        <v>160</v>
      </c>
      <c r="J800" s="6" t="n">
        <f aca="false">SUMIFS(Kits!$C$5:$C$163,Kits!$A$5:$A$163,$D800,Kits!$B$5:$B$163,$E800)</f>
        <v>4</v>
      </c>
      <c r="K800" s="6" t="n">
        <f aca="false">INDEX(Services!$F$5:$F$85,MATCH($A800,Services!$A$5:$A$85,0))</f>
        <v>1</v>
      </c>
      <c r="L800" s="6" t="n">
        <f aca="false">IF($H800="Auto-deduct",IF($G800="Countable",ROUNDUP($J800*IF($I800="Y",$K800,1),0),ROUND($J800*IF($I800="Y",$K800,1),1)),$J800)</f>
        <v>4</v>
      </c>
      <c r="M800" s="6" t="str">
        <f aca="false">INDEX(Items!$E$5:$E$62,MATCH($E800,Items!$A$5:$A$62,0))</f>
        <v>sheet</v>
      </c>
      <c r="N800" s="6" t="n">
        <f aca="false">ROUND($L800/INDEX(Items!$F$5:$F$62,MATCH($E800,Items!$A$5:$A$62,0)),4)</f>
        <v>0.02</v>
      </c>
      <c r="O800" s="6"/>
    </row>
    <row r="801" customFormat="false" ht="15" hidden="false" customHeight="false" outlineLevel="0" collapsed="false">
      <c r="A801" s="6" t="n">
        <v>76</v>
      </c>
      <c r="B801" s="6" t="s">
        <v>391</v>
      </c>
      <c r="C801" s="6" t="s">
        <v>384</v>
      </c>
      <c r="D801" s="6" t="s">
        <v>159</v>
      </c>
      <c r="E801" s="6" t="s">
        <v>52</v>
      </c>
      <c r="F801" s="6" t="str">
        <f aca="false">INDEX(Items!$B$5:$B$62,MATCH($E801,Items!$A$5:$A$62,0))</f>
        <v>DISPOSABLES &amp; CLINIC CONSUMABLES</v>
      </c>
      <c r="G801" s="6" t="str">
        <f aca="false">INDEX(Items!$C$5:$C$62,MATCH($E801,Items!$A$5:$A$62,0))</f>
        <v>Countable</v>
      </c>
      <c r="H801" s="6" t="s">
        <v>161</v>
      </c>
      <c r="I801" s="6" t="s">
        <v>160</v>
      </c>
      <c r="J801" s="6" t="n">
        <f aca="false">SUMIFS(Kits!$C$5:$C$163,Kits!$A$5:$A$163,$D801,Kits!$B$5:$B$163,$E801)</f>
        <v>1</v>
      </c>
      <c r="K801" s="6" t="n">
        <f aca="false">INDEX(Services!$F$5:$F$85,MATCH($A801,Services!$A$5:$A$85,0))</f>
        <v>0.65</v>
      </c>
      <c r="L801" s="6" t="n">
        <f aca="false">IF($H801="Auto-deduct",IF($G801="Countable",ROUNDUP($J801*IF($I801="Y",$K801,1),0),ROUND($J801*IF($I801="Y",$K801,1),1)),$J801)</f>
        <v>1</v>
      </c>
      <c r="M801" s="6" t="str">
        <f aca="false">INDEX(Items!$E$5:$E$62,MATCH($E801,Items!$A$5:$A$62,0))</f>
        <v>pc</v>
      </c>
      <c r="N801" s="6" t="n">
        <f aca="false">ROUND($L801/INDEX(Items!$F$5:$F$62,MATCH($E801,Items!$A$5:$A$62,0)),4)</f>
        <v>1</v>
      </c>
      <c r="O801" s="6"/>
    </row>
    <row r="802" customFormat="false" ht="15" hidden="false" customHeight="false" outlineLevel="0" collapsed="false">
      <c r="A802" s="6" t="n">
        <v>76</v>
      </c>
      <c r="B802" s="6" t="s">
        <v>391</v>
      </c>
      <c r="C802" s="6" t="s">
        <v>384</v>
      </c>
      <c r="D802" s="6" t="s">
        <v>159</v>
      </c>
      <c r="E802" s="6" t="s">
        <v>53</v>
      </c>
      <c r="F802" s="6" t="str">
        <f aca="false">INDEX(Items!$B$5:$B$62,MATCH($E802,Items!$A$5:$A$62,0))</f>
        <v>DISPOSABLES &amp; CLINIC CONSUMABLES</v>
      </c>
      <c r="G802" s="6" t="str">
        <f aca="false">INDEX(Items!$C$5:$C$62,MATCH($E802,Items!$A$5:$A$62,0))</f>
        <v>Countable</v>
      </c>
      <c r="H802" s="6" t="s">
        <v>161</v>
      </c>
      <c r="I802" s="6" t="s">
        <v>160</v>
      </c>
      <c r="J802" s="6" t="n">
        <f aca="false">SUMIFS(Kits!$C$5:$C$163,Kits!$A$5:$A$163,$D802,Kits!$B$5:$B$163,$E802)</f>
        <v>1</v>
      </c>
      <c r="K802" s="6" t="n">
        <f aca="false">INDEX(Services!$F$5:$F$85,MATCH($A802,Services!$A$5:$A$85,0))</f>
        <v>0.65</v>
      </c>
      <c r="L802" s="6" t="n">
        <f aca="false">IF($H802="Auto-deduct",IF($G802="Countable",ROUNDUP($J802*IF($I802="Y",$K802,1),0),ROUND($J802*IF($I802="Y",$K802,1),1)),$J802)</f>
        <v>1</v>
      </c>
      <c r="M802" s="6" t="str">
        <f aca="false">INDEX(Items!$E$5:$E$62,MATCH($E802,Items!$A$5:$A$62,0))</f>
        <v>pair</v>
      </c>
      <c r="N802" s="6" t="n">
        <f aca="false">ROUND($L802/INDEX(Items!$F$5:$F$62,MATCH($E802,Items!$A$5:$A$62,0)),4)</f>
        <v>1</v>
      </c>
      <c r="O802" s="6"/>
    </row>
    <row r="803" customFormat="false" ht="15" hidden="false" customHeight="false" outlineLevel="0" collapsed="false">
      <c r="A803" s="6" t="n">
        <v>76</v>
      </c>
      <c r="B803" s="6" t="s">
        <v>391</v>
      </c>
      <c r="C803" s="6" t="s">
        <v>384</v>
      </c>
      <c r="D803" s="6" t="s">
        <v>159</v>
      </c>
      <c r="E803" s="6" t="s">
        <v>88</v>
      </c>
      <c r="F803" s="6" t="str">
        <f aca="false">INDEX(Items!$B$5:$B$62,MATCH($E803,Items!$A$5:$A$62,0))</f>
        <v>DISPOSABLES &amp; CLINIC CONSUMABLES</v>
      </c>
      <c r="G803" s="6" t="str">
        <f aca="false">INDEX(Items!$C$5:$C$62,MATCH($E803,Items!$A$5:$A$62,0))</f>
        <v>Bulk</v>
      </c>
      <c r="H803" s="6" t="s">
        <v>161</v>
      </c>
      <c r="I803" s="6" t="s">
        <v>160</v>
      </c>
      <c r="J803" s="6" t="n">
        <f aca="false">SUMIFS(Kits!$C$5:$C$163,Kits!$A$5:$A$163,$D803,Kits!$B$5:$B$163,$E803)</f>
        <v>5</v>
      </c>
      <c r="K803" s="6" t="n">
        <f aca="false">INDEX(Services!$F$5:$F$85,MATCH($A803,Services!$A$5:$A$85,0))</f>
        <v>0.65</v>
      </c>
      <c r="L803" s="6" t="n">
        <f aca="false">IF($H803="Auto-deduct",IF($G803="Countable",ROUNDUP($J803*IF($I803="Y",$K803,1),0),ROUND($J803*IF($I803="Y",$K803,1),1)),$J803)</f>
        <v>5</v>
      </c>
      <c r="M803" s="6" t="str">
        <f aca="false">INDEX(Items!$E$5:$E$62,MATCH($E803,Items!$A$5:$A$62,0))</f>
        <v>mL</v>
      </c>
      <c r="N803" s="6" t="n">
        <f aca="false">ROUND($L803/INDEX(Items!$F$5:$F$62,MATCH($E803,Items!$A$5:$A$62,0)),4)</f>
        <v>0.01</v>
      </c>
      <c r="O803" s="6"/>
    </row>
    <row r="804" customFormat="false" ht="15" hidden="false" customHeight="false" outlineLevel="0" collapsed="false">
      <c r="A804" s="6" t="n">
        <v>76</v>
      </c>
      <c r="B804" s="6" t="s">
        <v>391</v>
      </c>
      <c r="C804" s="6" t="s">
        <v>384</v>
      </c>
      <c r="D804" s="6" t="s">
        <v>243</v>
      </c>
      <c r="E804" s="6" t="s">
        <v>86</v>
      </c>
      <c r="F804" s="6" t="str">
        <f aca="false">INDEX(Items!$B$5:$B$62,MATCH($E804,Items!$A$5:$A$62,0))</f>
        <v>DISPOSABLES &amp; CLINIC CONSUMABLES</v>
      </c>
      <c r="G804" s="6" t="str">
        <f aca="false">INDEX(Items!$C$5:$C$62,MATCH($E804,Items!$A$5:$A$62,0))</f>
        <v>Bulk</v>
      </c>
      <c r="H804" s="6" t="s">
        <v>161</v>
      </c>
      <c r="I804" s="6" t="s">
        <v>191</v>
      </c>
      <c r="J804" s="6" t="n">
        <f aca="false">SUMIFS(Kits!$C$5:$C$163,Kits!$A$5:$A$163,$D804,Kits!$B$5:$B$163,$E804)</f>
        <v>3</v>
      </c>
      <c r="K804" s="6" t="n">
        <f aca="false">INDEX(Services!$F$5:$F$85,MATCH($A804,Services!$A$5:$A$85,0))</f>
        <v>0.65</v>
      </c>
      <c r="L804" s="6" t="n">
        <f aca="false">IF($H804="Auto-deduct",IF($G804="Countable",ROUNDUP($J804*IF($I804="Y",$K804,1),0),ROUND($J804*IF($I804="Y",$K804,1),1)),$J804)</f>
        <v>2</v>
      </c>
      <c r="M804" s="6" t="str">
        <f aca="false">INDEX(Items!$E$5:$E$62,MATCH($E804,Items!$A$5:$A$62,0))</f>
        <v>pc</v>
      </c>
      <c r="N804" s="6" t="n">
        <f aca="false">ROUND($L804/INDEX(Items!$F$5:$F$62,MATCH($E804,Items!$A$5:$A$62,0)),4)</f>
        <v>0.025</v>
      </c>
      <c r="O804" s="6"/>
    </row>
    <row r="805" customFormat="false" ht="15" hidden="false" customHeight="false" outlineLevel="0" collapsed="false">
      <c r="A805" s="6" t="n">
        <v>76</v>
      </c>
      <c r="B805" s="6" t="s">
        <v>391</v>
      </c>
      <c r="C805" s="6" t="s">
        <v>384</v>
      </c>
      <c r="D805" s="6" t="s">
        <v>243</v>
      </c>
      <c r="E805" s="6" t="s">
        <v>88</v>
      </c>
      <c r="F805" s="6" t="str">
        <f aca="false">INDEX(Items!$B$5:$B$62,MATCH($E805,Items!$A$5:$A$62,0))</f>
        <v>DISPOSABLES &amp; CLINIC CONSUMABLES</v>
      </c>
      <c r="G805" s="6" t="str">
        <f aca="false">INDEX(Items!$C$5:$C$62,MATCH($E805,Items!$A$5:$A$62,0))</f>
        <v>Bulk</v>
      </c>
      <c r="H805" s="6" t="s">
        <v>161</v>
      </c>
      <c r="I805" s="6" t="s">
        <v>191</v>
      </c>
      <c r="J805" s="6" t="n">
        <f aca="false">SUMIFS(Kits!$C$5:$C$163,Kits!$A$5:$A$163,$D805,Kits!$B$5:$B$163,$E805)</f>
        <v>10</v>
      </c>
      <c r="K805" s="6" t="n">
        <f aca="false">INDEX(Services!$F$5:$F$85,MATCH($A805,Services!$A$5:$A$85,0))</f>
        <v>0.65</v>
      </c>
      <c r="L805" s="6" t="n">
        <f aca="false">IF($H805="Auto-deduct",IF($G805="Countable",ROUNDUP($J805*IF($I805="Y",$K805,1),0),ROUND($J805*IF($I805="Y",$K805,1),1)),$J805)</f>
        <v>6.5</v>
      </c>
      <c r="M805" s="6" t="str">
        <f aca="false">INDEX(Items!$E$5:$E$62,MATCH($E805,Items!$A$5:$A$62,0))</f>
        <v>mL</v>
      </c>
      <c r="N805" s="6" t="n">
        <f aca="false">ROUND($L805/INDEX(Items!$F$5:$F$62,MATCH($E805,Items!$A$5:$A$62,0)),4)</f>
        <v>0.013</v>
      </c>
      <c r="O805" s="6"/>
    </row>
    <row r="806" customFormat="false" ht="15" hidden="false" customHeight="false" outlineLevel="0" collapsed="false">
      <c r="A806" s="6" t="n">
        <v>76</v>
      </c>
      <c r="B806" s="6" t="s">
        <v>391</v>
      </c>
      <c r="C806" s="6" t="s">
        <v>384</v>
      </c>
      <c r="D806" s="6" t="s">
        <v>245</v>
      </c>
      <c r="E806" s="6" t="s">
        <v>112</v>
      </c>
      <c r="F806" s="6" t="str">
        <f aca="false">INDEX(Items!$B$5:$B$62,MATCH($E806,Items!$A$5:$A$62,0))</f>
        <v>FACIAL TREATMENT PRODUCTS (PROFESSIONAL USE)</v>
      </c>
      <c r="G806" s="6" t="str">
        <f aca="false">INDEX(Items!$C$5:$C$62,MATCH($E806,Items!$A$5:$A$62,0))</f>
        <v>Bulk</v>
      </c>
      <c r="H806" s="6" t="s">
        <v>161</v>
      </c>
      <c r="I806" s="6" t="s">
        <v>191</v>
      </c>
      <c r="J806" s="6" t="n">
        <f aca="false">SUMIFS(Kits!$C$5:$C$163,Kits!$A$5:$A$163,$D806,Kits!$B$5:$B$163,$E806)</f>
        <v>20</v>
      </c>
      <c r="K806" s="6" t="n">
        <f aca="false">INDEX(Services!$F$5:$F$85,MATCH($A806,Services!$A$5:$A$85,0))</f>
        <v>0.65</v>
      </c>
      <c r="L806" s="6" t="n">
        <f aca="false">IF($H806="Auto-deduct",IF($G806="Countable",ROUNDUP($J806*IF($I806="Y",$K806,1),0),ROUND($J806*IF($I806="Y",$K806,1),1)),$J806)</f>
        <v>13</v>
      </c>
      <c r="M806" s="6" t="str">
        <f aca="false">INDEX(Items!$E$5:$E$62,MATCH($E806,Items!$A$5:$A$62,0))</f>
        <v>g</v>
      </c>
      <c r="N806" s="6" t="n">
        <f aca="false">ROUND($L806/INDEX(Items!$F$5:$F$62,MATCH($E806,Items!$A$5:$A$62,0)),4)</f>
        <v>0.026</v>
      </c>
      <c r="O806" s="6"/>
    </row>
    <row r="807" customFormat="false" ht="15" hidden="false" customHeight="false" outlineLevel="0" collapsed="false">
      <c r="A807" s="6" t="n">
        <v>76</v>
      </c>
      <c r="B807" s="6" t="s">
        <v>391</v>
      </c>
      <c r="C807" s="6" t="s">
        <v>384</v>
      </c>
      <c r="D807" s="6" t="s">
        <v>245</v>
      </c>
      <c r="E807" s="6" t="s">
        <v>67</v>
      </c>
      <c r="F807" s="6" t="str">
        <f aca="false">INDEX(Items!$B$5:$B$62,MATCH($E807,Items!$A$5:$A$62,0))</f>
        <v>DISPOSABLES &amp; CLINIC CONSUMABLES</v>
      </c>
      <c r="G807" s="6" t="str">
        <f aca="false">INDEX(Items!$C$5:$C$62,MATCH($E807,Items!$A$5:$A$62,0))</f>
        <v>Bulk</v>
      </c>
      <c r="H807" s="6" t="s">
        <v>161</v>
      </c>
      <c r="I807" s="6" t="s">
        <v>191</v>
      </c>
      <c r="J807" s="6" t="n">
        <f aca="false">SUMIFS(Kits!$C$5:$C$163,Kits!$A$5:$A$163,$D807,Kits!$B$5:$B$163,$E807)</f>
        <v>10</v>
      </c>
      <c r="K807" s="6" t="n">
        <f aca="false">INDEX(Services!$F$5:$F$85,MATCH($A807,Services!$A$5:$A$85,0))</f>
        <v>0.65</v>
      </c>
      <c r="L807" s="6" t="n">
        <f aca="false">IF($H807="Auto-deduct",IF($G807="Countable",ROUNDUP($J807*IF($I807="Y",$K807,1),0),ROUND($J807*IF($I807="Y",$K807,1),1)),$J807)</f>
        <v>6.5</v>
      </c>
      <c r="M807" s="6" t="str">
        <f aca="false">INDEX(Items!$E$5:$E$62,MATCH($E807,Items!$A$5:$A$62,0))</f>
        <v>sheet</v>
      </c>
      <c r="N807" s="6" t="n">
        <f aca="false">ROUND($L807/INDEX(Items!$F$5:$F$62,MATCH($E807,Items!$A$5:$A$62,0)),4)</f>
        <v>0.065</v>
      </c>
      <c r="O807" s="6"/>
    </row>
    <row r="808" customFormat="false" ht="15" hidden="false" customHeight="false" outlineLevel="0" collapsed="false">
      <c r="A808" s="6" t="n">
        <v>76</v>
      </c>
      <c r="B808" s="6" t="s">
        <v>391</v>
      </c>
      <c r="C808" s="6" t="s">
        <v>384</v>
      </c>
      <c r="D808" s="6" t="s">
        <v>245</v>
      </c>
      <c r="E808" s="6" t="s">
        <v>86</v>
      </c>
      <c r="F808" s="6" t="str">
        <f aca="false">INDEX(Items!$B$5:$B$62,MATCH($E808,Items!$A$5:$A$62,0))</f>
        <v>DISPOSABLES &amp; CLINIC CONSUMABLES</v>
      </c>
      <c r="G808" s="6" t="str">
        <f aca="false">INDEX(Items!$C$5:$C$62,MATCH($E808,Items!$A$5:$A$62,0))</f>
        <v>Bulk</v>
      </c>
      <c r="H808" s="6" t="s">
        <v>161</v>
      </c>
      <c r="I808" s="6" t="s">
        <v>160</v>
      </c>
      <c r="J808" s="6" t="n">
        <f aca="false">SUMIFS(Kits!$C$5:$C$163,Kits!$A$5:$A$163,$D808,Kits!$B$5:$B$163,$E808)</f>
        <v>3</v>
      </c>
      <c r="K808" s="6" t="n">
        <f aca="false">INDEX(Services!$F$5:$F$85,MATCH($A808,Services!$A$5:$A$85,0))</f>
        <v>0.65</v>
      </c>
      <c r="L808" s="6" t="n">
        <f aca="false">IF($H808="Auto-deduct",IF($G808="Countable",ROUNDUP($J808*IF($I808="Y",$K808,1),0),ROUND($J808*IF($I808="Y",$K808,1),1)),$J808)</f>
        <v>3</v>
      </c>
      <c r="M808" s="6" t="str">
        <f aca="false">INDEX(Items!$E$5:$E$62,MATCH($E808,Items!$A$5:$A$62,0))</f>
        <v>pc</v>
      </c>
      <c r="N808" s="6" t="n">
        <f aca="false">ROUND($L808/INDEX(Items!$F$5:$F$62,MATCH($E808,Items!$A$5:$A$62,0)),4)</f>
        <v>0.0375</v>
      </c>
      <c r="O808" s="6"/>
    </row>
    <row r="809" customFormat="false" ht="15" hidden="false" customHeight="false" outlineLevel="0" collapsed="false">
      <c r="A809" s="6" t="n">
        <v>76</v>
      </c>
      <c r="B809" s="6" t="s">
        <v>391</v>
      </c>
      <c r="C809" s="6" t="s">
        <v>384</v>
      </c>
      <c r="D809" s="6" t="s">
        <v>245</v>
      </c>
      <c r="E809" s="6" t="s">
        <v>58</v>
      </c>
      <c r="F809" s="6" t="str">
        <f aca="false">INDEX(Items!$B$5:$B$62,MATCH($E809,Items!$A$5:$A$62,0))</f>
        <v>DISPOSABLES &amp; CLINIC CONSUMABLES</v>
      </c>
      <c r="G809" s="6" t="str">
        <f aca="false">INDEX(Items!$C$5:$C$62,MATCH($E809,Items!$A$5:$A$62,0))</f>
        <v>Bulk</v>
      </c>
      <c r="H809" s="6" t="s">
        <v>161</v>
      </c>
      <c r="I809" s="6" t="s">
        <v>160</v>
      </c>
      <c r="J809" s="6" t="n">
        <f aca="false">SUMIFS(Kits!$C$5:$C$163,Kits!$A$5:$A$163,$D809,Kits!$B$5:$B$163,$E809)</f>
        <v>4</v>
      </c>
      <c r="K809" s="6" t="n">
        <f aca="false">INDEX(Services!$F$5:$F$85,MATCH($A809,Services!$A$5:$A$85,0))</f>
        <v>0.65</v>
      </c>
      <c r="L809" s="6" t="n">
        <f aca="false">IF($H809="Auto-deduct",IF($G809="Countable",ROUNDUP($J809*IF($I809="Y",$K809,1),0),ROUND($J809*IF($I809="Y",$K809,1),1)),$J809)</f>
        <v>4</v>
      </c>
      <c r="M809" s="6" t="str">
        <f aca="false">INDEX(Items!$E$5:$E$62,MATCH($E809,Items!$A$5:$A$62,0))</f>
        <v>sheet</v>
      </c>
      <c r="N809" s="6" t="n">
        <f aca="false">ROUND($L809/INDEX(Items!$F$5:$F$62,MATCH($E809,Items!$A$5:$A$62,0)),4)</f>
        <v>0.02</v>
      </c>
      <c r="O809" s="6"/>
    </row>
    <row r="810" customFormat="false" ht="15" hidden="false" customHeight="false" outlineLevel="0" collapsed="false">
      <c r="A810" s="6" t="n">
        <v>77</v>
      </c>
      <c r="B810" s="6" t="s">
        <v>392</v>
      </c>
      <c r="C810" s="6" t="s">
        <v>384</v>
      </c>
      <c r="D810" s="6" t="s">
        <v>159</v>
      </c>
      <c r="E810" s="6" t="s">
        <v>52</v>
      </c>
      <c r="F810" s="6" t="str">
        <f aca="false">INDEX(Items!$B$5:$B$62,MATCH($E810,Items!$A$5:$A$62,0))</f>
        <v>DISPOSABLES &amp; CLINIC CONSUMABLES</v>
      </c>
      <c r="G810" s="6" t="str">
        <f aca="false">INDEX(Items!$C$5:$C$62,MATCH($E810,Items!$A$5:$A$62,0))</f>
        <v>Countable</v>
      </c>
      <c r="H810" s="6" t="s">
        <v>161</v>
      </c>
      <c r="I810" s="6" t="s">
        <v>160</v>
      </c>
      <c r="J810" s="6" t="n">
        <f aca="false">SUMIFS(Kits!$C$5:$C$163,Kits!$A$5:$A$163,$D810,Kits!$B$5:$B$163,$E810)</f>
        <v>1</v>
      </c>
      <c r="K810" s="6" t="n">
        <f aca="false">INDEX(Services!$F$5:$F$85,MATCH($A810,Services!$A$5:$A$85,0))</f>
        <v>0.65</v>
      </c>
      <c r="L810" s="6" t="n">
        <f aca="false">IF($H810="Auto-deduct",IF($G810="Countable",ROUNDUP($J810*IF($I810="Y",$K810,1),0),ROUND($J810*IF($I810="Y",$K810,1),1)),$J810)</f>
        <v>1</v>
      </c>
      <c r="M810" s="6" t="str">
        <f aca="false">INDEX(Items!$E$5:$E$62,MATCH($E810,Items!$A$5:$A$62,0))</f>
        <v>pc</v>
      </c>
      <c r="N810" s="6" t="n">
        <f aca="false">ROUND($L810/INDEX(Items!$F$5:$F$62,MATCH($E810,Items!$A$5:$A$62,0)),4)</f>
        <v>1</v>
      </c>
      <c r="O810" s="6"/>
    </row>
    <row r="811" customFormat="false" ht="15" hidden="false" customHeight="false" outlineLevel="0" collapsed="false">
      <c r="A811" s="6" t="n">
        <v>77</v>
      </c>
      <c r="B811" s="6" t="s">
        <v>392</v>
      </c>
      <c r="C811" s="6" t="s">
        <v>384</v>
      </c>
      <c r="D811" s="6" t="s">
        <v>159</v>
      </c>
      <c r="E811" s="6" t="s">
        <v>53</v>
      </c>
      <c r="F811" s="6" t="str">
        <f aca="false">INDEX(Items!$B$5:$B$62,MATCH($E811,Items!$A$5:$A$62,0))</f>
        <v>DISPOSABLES &amp; CLINIC CONSUMABLES</v>
      </c>
      <c r="G811" s="6" t="str">
        <f aca="false">INDEX(Items!$C$5:$C$62,MATCH($E811,Items!$A$5:$A$62,0))</f>
        <v>Countable</v>
      </c>
      <c r="H811" s="6" t="s">
        <v>161</v>
      </c>
      <c r="I811" s="6" t="s">
        <v>160</v>
      </c>
      <c r="J811" s="6" t="n">
        <f aca="false">SUMIFS(Kits!$C$5:$C$163,Kits!$A$5:$A$163,$D811,Kits!$B$5:$B$163,$E811)</f>
        <v>1</v>
      </c>
      <c r="K811" s="6" t="n">
        <f aca="false">INDEX(Services!$F$5:$F$85,MATCH($A811,Services!$A$5:$A$85,0))</f>
        <v>0.65</v>
      </c>
      <c r="L811" s="6" t="n">
        <f aca="false">IF($H811="Auto-deduct",IF($G811="Countable",ROUNDUP($J811*IF($I811="Y",$K811,1),0),ROUND($J811*IF($I811="Y",$K811,1),1)),$J811)</f>
        <v>1</v>
      </c>
      <c r="M811" s="6" t="str">
        <f aca="false">INDEX(Items!$E$5:$E$62,MATCH($E811,Items!$A$5:$A$62,0))</f>
        <v>pair</v>
      </c>
      <c r="N811" s="6" t="n">
        <f aca="false">ROUND($L811/INDEX(Items!$F$5:$F$62,MATCH($E811,Items!$A$5:$A$62,0)),4)</f>
        <v>1</v>
      </c>
      <c r="O811" s="6"/>
    </row>
    <row r="812" customFormat="false" ht="15" hidden="false" customHeight="false" outlineLevel="0" collapsed="false">
      <c r="A812" s="6" t="n">
        <v>77</v>
      </c>
      <c r="B812" s="6" t="s">
        <v>392</v>
      </c>
      <c r="C812" s="6" t="s">
        <v>384</v>
      </c>
      <c r="D812" s="6" t="s">
        <v>159</v>
      </c>
      <c r="E812" s="6" t="s">
        <v>88</v>
      </c>
      <c r="F812" s="6" t="str">
        <f aca="false">INDEX(Items!$B$5:$B$62,MATCH($E812,Items!$A$5:$A$62,0))</f>
        <v>DISPOSABLES &amp; CLINIC CONSUMABLES</v>
      </c>
      <c r="G812" s="6" t="str">
        <f aca="false">INDEX(Items!$C$5:$C$62,MATCH($E812,Items!$A$5:$A$62,0))</f>
        <v>Bulk</v>
      </c>
      <c r="H812" s="6" t="s">
        <v>161</v>
      </c>
      <c r="I812" s="6" t="s">
        <v>160</v>
      </c>
      <c r="J812" s="6" t="n">
        <f aca="false">SUMIFS(Kits!$C$5:$C$163,Kits!$A$5:$A$163,$D812,Kits!$B$5:$B$163,$E812)</f>
        <v>5</v>
      </c>
      <c r="K812" s="6" t="n">
        <f aca="false">INDEX(Services!$F$5:$F$85,MATCH($A812,Services!$A$5:$A$85,0))</f>
        <v>0.65</v>
      </c>
      <c r="L812" s="6" t="n">
        <f aca="false">IF($H812="Auto-deduct",IF($G812="Countable",ROUNDUP($J812*IF($I812="Y",$K812,1),0),ROUND($J812*IF($I812="Y",$K812,1),1)),$J812)</f>
        <v>5</v>
      </c>
      <c r="M812" s="6" t="str">
        <f aca="false">INDEX(Items!$E$5:$E$62,MATCH($E812,Items!$A$5:$A$62,0))</f>
        <v>mL</v>
      </c>
      <c r="N812" s="6" t="n">
        <f aca="false">ROUND($L812/INDEX(Items!$F$5:$F$62,MATCH($E812,Items!$A$5:$A$62,0)),4)</f>
        <v>0.01</v>
      </c>
      <c r="O812" s="6"/>
    </row>
    <row r="813" customFormat="false" ht="15" hidden="false" customHeight="false" outlineLevel="0" collapsed="false">
      <c r="A813" s="6" t="n">
        <v>77</v>
      </c>
      <c r="B813" s="6" t="s">
        <v>392</v>
      </c>
      <c r="C813" s="6" t="s">
        <v>384</v>
      </c>
      <c r="D813" s="6" t="s">
        <v>243</v>
      </c>
      <c r="E813" s="6" t="s">
        <v>86</v>
      </c>
      <c r="F813" s="6" t="str">
        <f aca="false">INDEX(Items!$B$5:$B$62,MATCH($E813,Items!$A$5:$A$62,0))</f>
        <v>DISPOSABLES &amp; CLINIC CONSUMABLES</v>
      </c>
      <c r="G813" s="6" t="str">
        <f aca="false">INDEX(Items!$C$5:$C$62,MATCH($E813,Items!$A$5:$A$62,0))</f>
        <v>Bulk</v>
      </c>
      <c r="H813" s="6" t="s">
        <v>161</v>
      </c>
      <c r="I813" s="6" t="s">
        <v>191</v>
      </c>
      <c r="J813" s="6" t="n">
        <f aca="false">SUMIFS(Kits!$C$5:$C$163,Kits!$A$5:$A$163,$D813,Kits!$B$5:$B$163,$E813)</f>
        <v>3</v>
      </c>
      <c r="K813" s="6" t="n">
        <f aca="false">INDEX(Services!$F$5:$F$85,MATCH($A813,Services!$A$5:$A$85,0))</f>
        <v>0.65</v>
      </c>
      <c r="L813" s="6" t="n">
        <f aca="false">IF($H813="Auto-deduct",IF($G813="Countable",ROUNDUP($J813*IF($I813="Y",$K813,1),0),ROUND($J813*IF($I813="Y",$K813,1),1)),$J813)</f>
        <v>2</v>
      </c>
      <c r="M813" s="6" t="str">
        <f aca="false">INDEX(Items!$E$5:$E$62,MATCH($E813,Items!$A$5:$A$62,0))</f>
        <v>pc</v>
      </c>
      <c r="N813" s="6" t="n">
        <f aca="false">ROUND($L813/INDEX(Items!$F$5:$F$62,MATCH($E813,Items!$A$5:$A$62,0)),4)</f>
        <v>0.025</v>
      </c>
      <c r="O813" s="6"/>
    </row>
    <row r="814" customFormat="false" ht="15" hidden="false" customHeight="false" outlineLevel="0" collapsed="false">
      <c r="A814" s="6" t="n">
        <v>77</v>
      </c>
      <c r="B814" s="6" t="s">
        <v>392</v>
      </c>
      <c r="C814" s="6" t="s">
        <v>384</v>
      </c>
      <c r="D814" s="6" t="s">
        <v>243</v>
      </c>
      <c r="E814" s="6" t="s">
        <v>88</v>
      </c>
      <c r="F814" s="6" t="str">
        <f aca="false">INDEX(Items!$B$5:$B$62,MATCH($E814,Items!$A$5:$A$62,0))</f>
        <v>DISPOSABLES &amp; CLINIC CONSUMABLES</v>
      </c>
      <c r="G814" s="6" t="str">
        <f aca="false">INDEX(Items!$C$5:$C$62,MATCH($E814,Items!$A$5:$A$62,0))</f>
        <v>Bulk</v>
      </c>
      <c r="H814" s="6" t="s">
        <v>161</v>
      </c>
      <c r="I814" s="6" t="s">
        <v>191</v>
      </c>
      <c r="J814" s="6" t="n">
        <f aca="false">SUMIFS(Kits!$C$5:$C$163,Kits!$A$5:$A$163,$D814,Kits!$B$5:$B$163,$E814)</f>
        <v>10</v>
      </c>
      <c r="K814" s="6" t="n">
        <f aca="false">INDEX(Services!$F$5:$F$85,MATCH($A814,Services!$A$5:$A$85,0))</f>
        <v>0.65</v>
      </c>
      <c r="L814" s="6" t="n">
        <f aca="false">IF($H814="Auto-deduct",IF($G814="Countable",ROUNDUP($J814*IF($I814="Y",$K814,1),0),ROUND($J814*IF($I814="Y",$K814,1),1)),$J814)</f>
        <v>6.5</v>
      </c>
      <c r="M814" s="6" t="str">
        <f aca="false">INDEX(Items!$E$5:$E$62,MATCH($E814,Items!$A$5:$A$62,0))</f>
        <v>mL</v>
      </c>
      <c r="N814" s="6" t="n">
        <f aca="false">ROUND($L814/INDEX(Items!$F$5:$F$62,MATCH($E814,Items!$A$5:$A$62,0)),4)</f>
        <v>0.013</v>
      </c>
      <c r="O814" s="6"/>
    </row>
    <row r="815" customFormat="false" ht="15" hidden="false" customHeight="false" outlineLevel="0" collapsed="false">
      <c r="A815" s="6" t="n">
        <v>77</v>
      </c>
      <c r="B815" s="6" t="s">
        <v>392</v>
      </c>
      <c r="C815" s="6" t="s">
        <v>384</v>
      </c>
      <c r="D815" s="6" t="s">
        <v>247</v>
      </c>
      <c r="E815" s="6" t="s">
        <v>114</v>
      </c>
      <c r="F815" s="6" t="str">
        <f aca="false">INDEX(Items!$B$5:$B$62,MATCH($E815,Items!$A$5:$A$62,0))</f>
        <v>FACIAL TREATMENT PRODUCTS (PROFESSIONAL USE)</v>
      </c>
      <c r="G815" s="6" t="str">
        <f aca="false">INDEX(Items!$C$5:$C$62,MATCH($E815,Items!$A$5:$A$62,0))</f>
        <v>Bulk</v>
      </c>
      <c r="H815" s="6" t="s">
        <v>161</v>
      </c>
      <c r="I815" s="6" t="s">
        <v>191</v>
      </c>
      <c r="J815" s="6" t="n">
        <f aca="false">SUMIFS(Kits!$C$5:$C$163,Kits!$A$5:$A$163,$D815,Kits!$B$5:$B$163,$E815)</f>
        <v>30</v>
      </c>
      <c r="K815" s="6" t="n">
        <f aca="false">INDEX(Services!$F$5:$F$85,MATCH($A815,Services!$A$5:$A$85,0))</f>
        <v>0.65</v>
      </c>
      <c r="L815" s="6" t="n">
        <f aca="false">IF($H815="Auto-deduct",IF($G815="Countable",ROUNDUP($J815*IF($I815="Y",$K815,1),0),ROUND($J815*IF($I815="Y",$K815,1),1)),$J815)</f>
        <v>19.5</v>
      </c>
      <c r="M815" s="6" t="str">
        <f aca="false">INDEX(Items!$E$5:$E$62,MATCH($E815,Items!$A$5:$A$62,0))</f>
        <v>mL</v>
      </c>
      <c r="N815" s="6" t="n">
        <f aca="false">ROUND($L815/INDEX(Items!$F$5:$F$62,MATCH($E815,Items!$A$5:$A$62,0)),4)</f>
        <v>0.0195</v>
      </c>
      <c r="O815" s="6"/>
    </row>
    <row r="816" customFormat="false" ht="15" hidden="false" customHeight="false" outlineLevel="0" collapsed="false">
      <c r="A816" s="6" t="n">
        <v>77</v>
      </c>
      <c r="B816" s="6" t="s">
        <v>392</v>
      </c>
      <c r="C816" s="6" t="s">
        <v>384</v>
      </c>
      <c r="D816" s="6" t="s">
        <v>247</v>
      </c>
      <c r="E816" s="6" t="s">
        <v>67</v>
      </c>
      <c r="F816" s="6" t="str">
        <f aca="false">INDEX(Items!$B$5:$B$62,MATCH($E816,Items!$A$5:$A$62,0))</f>
        <v>DISPOSABLES &amp; CLINIC CONSUMABLES</v>
      </c>
      <c r="G816" s="6" t="str">
        <f aca="false">INDEX(Items!$C$5:$C$62,MATCH($E816,Items!$A$5:$A$62,0))</f>
        <v>Bulk</v>
      </c>
      <c r="H816" s="6" t="s">
        <v>161</v>
      </c>
      <c r="I816" s="6" t="s">
        <v>191</v>
      </c>
      <c r="J816" s="6" t="n">
        <f aca="false">SUMIFS(Kits!$C$5:$C$163,Kits!$A$5:$A$163,$D816,Kits!$B$5:$B$163,$E816)</f>
        <v>10</v>
      </c>
      <c r="K816" s="6" t="n">
        <f aca="false">INDEX(Services!$F$5:$F$85,MATCH($A816,Services!$A$5:$A$85,0))</f>
        <v>0.65</v>
      </c>
      <c r="L816" s="6" t="n">
        <f aca="false">IF($H816="Auto-deduct",IF($G816="Countable",ROUNDUP($J816*IF($I816="Y",$K816,1),0),ROUND($J816*IF($I816="Y",$K816,1),1)),$J816)</f>
        <v>6.5</v>
      </c>
      <c r="M816" s="6" t="str">
        <f aca="false">INDEX(Items!$E$5:$E$62,MATCH($E816,Items!$A$5:$A$62,0))</f>
        <v>sheet</v>
      </c>
      <c r="N816" s="6" t="n">
        <f aca="false">ROUND($L816/INDEX(Items!$F$5:$F$62,MATCH($E816,Items!$A$5:$A$62,0)),4)</f>
        <v>0.065</v>
      </c>
      <c r="O816" s="6"/>
    </row>
    <row r="817" customFormat="false" ht="15" hidden="false" customHeight="false" outlineLevel="0" collapsed="false">
      <c r="A817" s="6" t="n">
        <v>77</v>
      </c>
      <c r="B817" s="6" t="s">
        <v>392</v>
      </c>
      <c r="C817" s="6" t="s">
        <v>384</v>
      </c>
      <c r="D817" s="6" t="s">
        <v>247</v>
      </c>
      <c r="E817" s="6" t="s">
        <v>86</v>
      </c>
      <c r="F817" s="6" t="str">
        <f aca="false">INDEX(Items!$B$5:$B$62,MATCH($E817,Items!$A$5:$A$62,0))</f>
        <v>DISPOSABLES &amp; CLINIC CONSUMABLES</v>
      </c>
      <c r="G817" s="6" t="str">
        <f aca="false">INDEX(Items!$C$5:$C$62,MATCH($E817,Items!$A$5:$A$62,0))</f>
        <v>Bulk</v>
      </c>
      <c r="H817" s="6" t="s">
        <v>161</v>
      </c>
      <c r="I817" s="6" t="s">
        <v>160</v>
      </c>
      <c r="J817" s="6" t="n">
        <f aca="false">SUMIFS(Kits!$C$5:$C$163,Kits!$A$5:$A$163,$D817,Kits!$B$5:$B$163,$E817)</f>
        <v>3</v>
      </c>
      <c r="K817" s="6" t="n">
        <f aca="false">INDEX(Services!$F$5:$F$85,MATCH($A817,Services!$A$5:$A$85,0))</f>
        <v>0.65</v>
      </c>
      <c r="L817" s="6" t="n">
        <f aca="false">IF($H817="Auto-deduct",IF($G817="Countable",ROUNDUP($J817*IF($I817="Y",$K817,1),0),ROUND($J817*IF($I817="Y",$K817,1),1)),$J817)</f>
        <v>3</v>
      </c>
      <c r="M817" s="6" t="str">
        <f aca="false">INDEX(Items!$E$5:$E$62,MATCH($E817,Items!$A$5:$A$62,0))</f>
        <v>pc</v>
      </c>
      <c r="N817" s="6" t="n">
        <f aca="false">ROUND($L817/INDEX(Items!$F$5:$F$62,MATCH($E817,Items!$A$5:$A$62,0)),4)</f>
        <v>0.0375</v>
      </c>
      <c r="O817" s="6"/>
    </row>
    <row r="818" customFormat="false" ht="15" hidden="false" customHeight="false" outlineLevel="0" collapsed="false">
      <c r="A818" s="6" t="n">
        <v>77</v>
      </c>
      <c r="B818" s="6" t="s">
        <v>392</v>
      </c>
      <c r="C818" s="6" t="s">
        <v>384</v>
      </c>
      <c r="D818" s="6" t="s">
        <v>247</v>
      </c>
      <c r="E818" s="6" t="s">
        <v>58</v>
      </c>
      <c r="F818" s="6" t="str">
        <f aca="false">INDEX(Items!$B$5:$B$62,MATCH($E818,Items!$A$5:$A$62,0))</f>
        <v>DISPOSABLES &amp; CLINIC CONSUMABLES</v>
      </c>
      <c r="G818" s="6" t="str">
        <f aca="false">INDEX(Items!$C$5:$C$62,MATCH($E818,Items!$A$5:$A$62,0))</f>
        <v>Bulk</v>
      </c>
      <c r="H818" s="6" t="s">
        <v>161</v>
      </c>
      <c r="I818" s="6" t="s">
        <v>160</v>
      </c>
      <c r="J818" s="6" t="n">
        <f aca="false">SUMIFS(Kits!$C$5:$C$163,Kits!$A$5:$A$163,$D818,Kits!$B$5:$B$163,$E818)</f>
        <v>4</v>
      </c>
      <c r="K818" s="6" t="n">
        <f aca="false">INDEX(Services!$F$5:$F$85,MATCH($A818,Services!$A$5:$A$85,0))</f>
        <v>0.65</v>
      </c>
      <c r="L818" s="6" t="n">
        <f aca="false">IF($H818="Auto-deduct",IF($G818="Countable",ROUNDUP($J818*IF($I818="Y",$K818,1),0),ROUND($J818*IF($I818="Y",$K818,1),1)),$J818)</f>
        <v>4</v>
      </c>
      <c r="M818" s="6" t="str">
        <f aca="false">INDEX(Items!$E$5:$E$62,MATCH($E818,Items!$A$5:$A$62,0))</f>
        <v>sheet</v>
      </c>
      <c r="N818" s="6" t="n">
        <f aca="false">ROUND($L818/INDEX(Items!$F$5:$F$62,MATCH($E818,Items!$A$5:$A$62,0)),4)</f>
        <v>0.02</v>
      </c>
      <c r="O818" s="6"/>
    </row>
    <row r="819" customFormat="false" ht="15" hidden="false" customHeight="false" outlineLevel="0" collapsed="false">
      <c r="A819" s="6" t="n">
        <v>78</v>
      </c>
      <c r="B819" s="6" t="s">
        <v>393</v>
      </c>
      <c r="C819" s="6" t="s">
        <v>384</v>
      </c>
      <c r="D819" s="6" t="s">
        <v>159</v>
      </c>
      <c r="E819" s="6" t="s">
        <v>52</v>
      </c>
      <c r="F819" s="6" t="str">
        <f aca="false">INDEX(Items!$B$5:$B$62,MATCH($E819,Items!$A$5:$A$62,0))</f>
        <v>DISPOSABLES &amp; CLINIC CONSUMABLES</v>
      </c>
      <c r="G819" s="6" t="str">
        <f aca="false">INDEX(Items!$C$5:$C$62,MATCH($E819,Items!$A$5:$A$62,0))</f>
        <v>Countable</v>
      </c>
      <c r="H819" s="6" t="s">
        <v>161</v>
      </c>
      <c r="I819" s="6" t="s">
        <v>160</v>
      </c>
      <c r="J819" s="6" t="n">
        <f aca="false">SUMIFS(Kits!$C$5:$C$163,Kits!$A$5:$A$163,$D819,Kits!$B$5:$B$163,$E819)</f>
        <v>1</v>
      </c>
      <c r="K819" s="6" t="n">
        <f aca="false">INDEX(Services!$F$5:$F$85,MATCH($A819,Services!$A$5:$A$85,0))</f>
        <v>0.65</v>
      </c>
      <c r="L819" s="6" t="n">
        <f aca="false">IF($H819="Auto-deduct",IF($G819="Countable",ROUNDUP($J819*IF($I819="Y",$K819,1),0),ROUND($J819*IF($I819="Y",$K819,1),1)),$J819)</f>
        <v>1</v>
      </c>
      <c r="M819" s="6" t="str">
        <f aca="false">INDEX(Items!$E$5:$E$62,MATCH($E819,Items!$A$5:$A$62,0))</f>
        <v>pc</v>
      </c>
      <c r="N819" s="6" t="n">
        <f aca="false">ROUND($L819/INDEX(Items!$F$5:$F$62,MATCH($E819,Items!$A$5:$A$62,0)),4)</f>
        <v>1</v>
      </c>
      <c r="O819" s="6"/>
    </row>
    <row r="820" customFormat="false" ht="15" hidden="false" customHeight="false" outlineLevel="0" collapsed="false">
      <c r="A820" s="6" t="n">
        <v>78</v>
      </c>
      <c r="B820" s="6" t="s">
        <v>393</v>
      </c>
      <c r="C820" s="6" t="s">
        <v>384</v>
      </c>
      <c r="D820" s="6" t="s">
        <v>159</v>
      </c>
      <c r="E820" s="6" t="s">
        <v>53</v>
      </c>
      <c r="F820" s="6" t="str">
        <f aca="false">INDEX(Items!$B$5:$B$62,MATCH($E820,Items!$A$5:$A$62,0))</f>
        <v>DISPOSABLES &amp; CLINIC CONSUMABLES</v>
      </c>
      <c r="G820" s="6" t="str">
        <f aca="false">INDEX(Items!$C$5:$C$62,MATCH($E820,Items!$A$5:$A$62,0))</f>
        <v>Countable</v>
      </c>
      <c r="H820" s="6" t="s">
        <v>161</v>
      </c>
      <c r="I820" s="6" t="s">
        <v>160</v>
      </c>
      <c r="J820" s="6" t="n">
        <f aca="false">SUMIFS(Kits!$C$5:$C$163,Kits!$A$5:$A$163,$D820,Kits!$B$5:$B$163,$E820)</f>
        <v>1</v>
      </c>
      <c r="K820" s="6" t="n">
        <f aca="false">INDEX(Services!$F$5:$F$85,MATCH($A820,Services!$A$5:$A$85,0))</f>
        <v>0.65</v>
      </c>
      <c r="L820" s="6" t="n">
        <f aca="false">IF($H820="Auto-deduct",IF($G820="Countable",ROUNDUP($J820*IF($I820="Y",$K820,1),0),ROUND($J820*IF($I820="Y",$K820,1),1)),$J820)</f>
        <v>1</v>
      </c>
      <c r="M820" s="6" t="str">
        <f aca="false">INDEX(Items!$E$5:$E$62,MATCH($E820,Items!$A$5:$A$62,0))</f>
        <v>pair</v>
      </c>
      <c r="N820" s="6" t="n">
        <f aca="false">ROUND($L820/INDEX(Items!$F$5:$F$62,MATCH($E820,Items!$A$5:$A$62,0)),4)</f>
        <v>1</v>
      </c>
      <c r="O820" s="6"/>
    </row>
    <row r="821" customFormat="false" ht="15" hidden="false" customHeight="false" outlineLevel="0" collapsed="false">
      <c r="A821" s="6" t="n">
        <v>78</v>
      </c>
      <c r="B821" s="6" t="s">
        <v>393</v>
      </c>
      <c r="C821" s="6" t="s">
        <v>384</v>
      </c>
      <c r="D821" s="6" t="s">
        <v>159</v>
      </c>
      <c r="E821" s="6" t="s">
        <v>88</v>
      </c>
      <c r="F821" s="6" t="str">
        <f aca="false">INDEX(Items!$B$5:$B$62,MATCH($E821,Items!$A$5:$A$62,0))</f>
        <v>DISPOSABLES &amp; CLINIC CONSUMABLES</v>
      </c>
      <c r="G821" s="6" t="str">
        <f aca="false">INDEX(Items!$C$5:$C$62,MATCH($E821,Items!$A$5:$A$62,0))</f>
        <v>Bulk</v>
      </c>
      <c r="H821" s="6" t="s">
        <v>161</v>
      </c>
      <c r="I821" s="6" t="s">
        <v>160</v>
      </c>
      <c r="J821" s="6" t="n">
        <f aca="false">SUMIFS(Kits!$C$5:$C$163,Kits!$A$5:$A$163,$D821,Kits!$B$5:$B$163,$E821)</f>
        <v>5</v>
      </c>
      <c r="K821" s="6" t="n">
        <f aca="false">INDEX(Services!$F$5:$F$85,MATCH($A821,Services!$A$5:$A$85,0))</f>
        <v>0.65</v>
      </c>
      <c r="L821" s="6" t="n">
        <f aca="false">IF($H821="Auto-deduct",IF($G821="Countable",ROUNDUP($J821*IF($I821="Y",$K821,1),0),ROUND($J821*IF($I821="Y",$K821,1),1)),$J821)</f>
        <v>5</v>
      </c>
      <c r="M821" s="6" t="str">
        <f aca="false">INDEX(Items!$E$5:$E$62,MATCH($E821,Items!$A$5:$A$62,0))</f>
        <v>mL</v>
      </c>
      <c r="N821" s="6" t="n">
        <f aca="false">ROUND($L821/INDEX(Items!$F$5:$F$62,MATCH($E821,Items!$A$5:$A$62,0)),4)</f>
        <v>0.01</v>
      </c>
      <c r="O821" s="6"/>
    </row>
    <row r="822" customFormat="false" ht="15" hidden="false" customHeight="false" outlineLevel="0" collapsed="false">
      <c r="A822" s="6" t="n">
        <v>78</v>
      </c>
      <c r="B822" s="6" t="s">
        <v>393</v>
      </c>
      <c r="C822" s="6" t="s">
        <v>384</v>
      </c>
      <c r="D822" s="6" t="s">
        <v>243</v>
      </c>
      <c r="E822" s="6" t="s">
        <v>86</v>
      </c>
      <c r="F822" s="6" t="str">
        <f aca="false">INDEX(Items!$B$5:$B$62,MATCH($E822,Items!$A$5:$A$62,0))</f>
        <v>DISPOSABLES &amp; CLINIC CONSUMABLES</v>
      </c>
      <c r="G822" s="6" t="str">
        <f aca="false">INDEX(Items!$C$5:$C$62,MATCH($E822,Items!$A$5:$A$62,0))</f>
        <v>Bulk</v>
      </c>
      <c r="H822" s="6" t="s">
        <v>161</v>
      </c>
      <c r="I822" s="6" t="s">
        <v>191</v>
      </c>
      <c r="J822" s="6" t="n">
        <f aca="false">SUMIFS(Kits!$C$5:$C$163,Kits!$A$5:$A$163,$D822,Kits!$B$5:$B$163,$E822)</f>
        <v>3</v>
      </c>
      <c r="K822" s="6" t="n">
        <f aca="false">INDEX(Services!$F$5:$F$85,MATCH($A822,Services!$A$5:$A$85,0))</f>
        <v>0.65</v>
      </c>
      <c r="L822" s="6" t="n">
        <f aca="false">IF($H822="Auto-deduct",IF($G822="Countable",ROUNDUP($J822*IF($I822="Y",$K822,1),0),ROUND($J822*IF($I822="Y",$K822,1),1)),$J822)</f>
        <v>2</v>
      </c>
      <c r="M822" s="6" t="str">
        <f aca="false">INDEX(Items!$E$5:$E$62,MATCH($E822,Items!$A$5:$A$62,0))</f>
        <v>pc</v>
      </c>
      <c r="N822" s="6" t="n">
        <f aca="false">ROUND($L822/INDEX(Items!$F$5:$F$62,MATCH($E822,Items!$A$5:$A$62,0)),4)</f>
        <v>0.025</v>
      </c>
      <c r="O822" s="6"/>
    </row>
    <row r="823" customFormat="false" ht="15" hidden="false" customHeight="false" outlineLevel="0" collapsed="false">
      <c r="A823" s="6" t="n">
        <v>78</v>
      </c>
      <c r="B823" s="6" t="s">
        <v>393</v>
      </c>
      <c r="C823" s="6" t="s">
        <v>384</v>
      </c>
      <c r="D823" s="6" t="s">
        <v>243</v>
      </c>
      <c r="E823" s="6" t="s">
        <v>88</v>
      </c>
      <c r="F823" s="6" t="str">
        <f aca="false">INDEX(Items!$B$5:$B$62,MATCH($E823,Items!$A$5:$A$62,0))</f>
        <v>DISPOSABLES &amp; CLINIC CONSUMABLES</v>
      </c>
      <c r="G823" s="6" t="str">
        <f aca="false">INDEX(Items!$C$5:$C$62,MATCH($E823,Items!$A$5:$A$62,0))</f>
        <v>Bulk</v>
      </c>
      <c r="H823" s="6" t="s">
        <v>161</v>
      </c>
      <c r="I823" s="6" t="s">
        <v>191</v>
      </c>
      <c r="J823" s="6" t="n">
        <f aca="false">SUMIFS(Kits!$C$5:$C$163,Kits!$A$5:$A$163,$D823,Kits!$B$5:$B$163,$E823)</f>
        <v>10</v>
      </c>
      <c r="K823" s="6" t="n">
        <f aca="false">INDEX(Services!$F$5:$F$85,MATCH($A823,Services!$A$5:$A$85,0))</f>
        <v>0.65</v>
      </c>
      <c r="L823" s="6" t="n">
        <f aca="false">IF($H823="Auto-deduct",IF($G823="Countable",ROUNDUP($J823*IF($I823="Y",$K823,1),0),ROUND($J823*IF($I823="Y",$K823,1),1)),$J823)</f>
        <v>6.5</v>
      </c>
      <c r="M823" s="6" t="str">
        <f aca="false">INDEX(Items!$E$5:$E$62,MATCH($E823,Items!$A$5:$A$62,0))</f>
        <v>mL</v>
      </c>
      <c r="N823" s="6" t="n">
        <f aca="false">ROUND($L823/INDEX(Items!$F$5:$F$62,MATCH($E823,Items!$A$5:$A$62,0)),4)</f>
        <v>0.013</v>
      </c>
      <c r="O823" s="6"/>
    </row>
    <row r="824" customFormat="false" ht="15" hidden="false" customHeight="false" outlineLevel="0" collapsed="false">
      <c r="A824" s="6" t="n">
        <v>78</v>
      </c>
      <c r="B824" s="6" t="s">
        <v>393</v>
      </c>
      <c r="C824" s="6" t="s">
        <v>384</v>
      </c>
      <c r="D824" s="6" t="s">
        <v>249</v>
      </c>
      <c r="E824" s="6" t="s">
        <v>112</v>
      </c>
      <c r="F824" s="6" t="str">
        <f aca="false">INDEX(Items!$B$5:$B$62,MATCH($E824,Items!$A$5:$A$62,0))</f>
        <v>FACIAL TREATMENT PRODUCTS (PROFESSIONAL USE)</v>
      </c>
      <c r="G824" s="6" t="str">
        <f aca="false">INDEX(Items!$C$5:$C$62,MATCH($E824,Items!$A$5:$A$62,0))</f>
        <v>Bulk</v>
      </c>
      <c r="H824" s="6" t="s">
        <v>161</v>
      </c>
      <c r="I824" s="6" t="s">
        <v>191</v>
      </c>
      <c r="J824" s="6" t="n">
        <f aca="false">SUMIFS(Kits!$C$5:$C$163,Kits!$A$5:$A$163,$D824,Kits!$B$5:$B$163,$E824)</f>
        <v>20</v>
      </c>
      <c r="K824" s="6" t="n">
        <f aca="false">INDEX(Services!$F$5:$F$85,MATCH($A824,Services!$A$5:$A$85,0))</f>
        <v>0.65</v>
      </c>
      <c r="L824" s="6" t="n">
        <f aca="false">IF($H824="Auto-deduct",IF($G824="Countable",ROUNDUP($J824*IF($I824="Y",$K824,1),0),ROUND($J824*IF($I824="Y",$K824,1),1)),$J824)</f>
        <v>13</v>
      </c>
      <c r="M824" s="6" t="str">
        <f aca="false">INDEX(Items!$E$5:$E$62,MATCH($E824,Items!$A$5:$A$62,0))</f>
        <v>g</v>
      </c>
      <c r="N824" s="6" t="n">
        <f aca="false">ROUND($L824/INDEX(Items!$F$5:$F$62,MATCH($E824,Items!$A$5:$A$62,0)),4)</f>
        <v>0.026</v>
      </c>
      <c r="O824" s="6"/>
    </row>
    <row r="825" customFormat="false" ht="15" hidden="false" customHeight="false" outlineLevel="0" collapsed="false">
      <c r="A825" s="6" t="n">
        <v>78</v>
      </c>
      <c r="B825" s="6" t="s">
        <v>393</v>
      </c>
      <c r="C825" s="6" t="s">
        <v>384</v>
      </c>
      <c r="D825" s="6" t="s">
        <v>249</v>
      </c>
      <c r="E825" s="6" t="s">
        <v>114</v>
      </c>
      <c r="F825" s="6" t="str">
        <f aca="false">INDEX(Items!$B$5:$B$62,MATCH($E825,Items!$A$5:$A$62,0))</f>
        <v>FACIAL TREATMENT PRODUCTS (PROFESSIONAL USE)</v>
      </c>
      <c r="G825" s="6" t="str">
        <f aca="false">INDEX(Items!$C$5:$C$62,MATCH($E825,Items!$A$5:$A$62,0))</f>
        <v>Bulk</v>
      </c>
      <c r="H825" s="6" t="s">
        <v>161</v>
      </c>
      <c r="I825" s="6" t="s">
        <v>191</v>
      </c>
      <c r="J825" s="6" t="n">
        <f aca="false">SUMIFS(Kits!$C$5:$C$163,Kits!$A$5:$A$163,$D825,Kits!$B$5:$B$163,$E825)</f>
        <v>30</v>
      </c>
      <c r="K825" s="6" t="n">
        <f aca="false">INDEX(Services!$F$5:$F$85,MATCH($A825,Services!$A$5:$A$85,0))</f>
        <v>0.65</v>
      </c>
      <c r="L825" s="6" t="n">
        <f aca="false">IF($H825="Auto-deduct",IF($G825="Countable",ROUNDUP($J825*IF($I825="Y",$K825,1),0),ROUND($J825*IF($I825="Y",$K825,1),1)),$J825)</f>
        <v>19.5</v>
      </c>
      <c r="M825" s="6" t="str">
        <f aca="false">INDEX(Items!$E$5:$E$62,MATCH($E825,Items!$A$5:$A$62,0))</f>
        <v>mL</v>
      </c>
      <c r="N825" s="6" t="n">
        <f aca="false">ROUND($L825/INDEX(Items!$F$5:$F$62,MATCH($E825,Items!$A$5:$A$62,0)),4)</f>
        <v>0.0195</v>
      </c>
      <c r="O825" s="6"/>
    </row>
    <row r="826" customFormat="false" ht="15" hidden="false" customHeight="false" outlineLevel="0" collapsed="false">
      <c r="A826" s="6" t="n">
        <v>78</v>
      </c>
      <c r="B826" s="6" t="s">
        <v>393</v>
      </c>
      <c r="C826" s="6" t="s">
        <v>384</v>
      </c>
      <c r="D826" s="6" t="s">
        <v>249</v>
      </c>
      <c r="E826" s="6" t="s">
        <v>67</v>
      </c>
      <c r="F826" s="6" t="str">
        <f aca="false">INDEX(Items!$B$5:$B$62,MATCH($E826,Items!$A$5:$A$62,0))</f>
        <v>DISPOSABLES &amp; CLINIC CONSUMABLES</v>
      </c>
      <c r="G826" s="6" t="str">
        <f aca="false">INDEX(Items!$C$5:$C$62,MATCH($E826,Items!$A$5:$A$62,0))</f>
        <v>Bulk</v>
      </c>
      <c r="H826" s="6" t="s">
        <v>161</v>
      </c>
      <c r="I826" s="6" t="s">
        <v>191</v>
      </c>
      <c r="J826" s="6" t="n">
        <f aca="false">SUMIFS(Kits!$C$5:$C$163,Kits!$A$5:$A$163,$D826,Kits!$B$5:$B$163,$E826)</f>
        <v>12</v>
      </c>
      <c r="K826" s="6" t="n">
        <f aca="false">INDEX(Services!$F$5:$F$85,MATCH($A826,Services!$A$5:$A$85,0))</f>
        <v>0.65</v>
      </c>
      <c r="L826" s="6" t="n">
        <f aca="false">IF($H826="Auto-deduct",IF($G826="Countable",ROUNDUP($J826*IF($I826="Y",$K826,1),0),ROUND($J826*IF($I826="Y",$K826,1),1)),$J826)</f>
        <v>7.8</v>
      </c>
      <c r="M826" s="6" t="str">
        <f aca="false">INDEX(Items!$E$5:$E$62,MATCH($E826,Items!$A$5:$A$62,0))</f>
        <v>sheet</v>
      </c>
      <c r="N826" s="6" t="n">
        <f aca="false">ROUND($L826/INDEX(Items!$F$5:$F$62,MATCH($E826,Items!$A$5:$A$62,0)),4)</f>
        <v>0.078</v>
      </c>
      <c r="O826" s="6"/>
    </row>
    <row r="827" customFormat="false" ht="15" hidden="false" customHeight="false" outlineLevel="0" collapsed="false">
      <c r="A827" s="6" t="n">
        <v>78</v>
      </c>
      <c r="B827" s="6" t="s">
        <v>393</v>
      </c>
      <c r="C827" s="6" t="s">
        <v>384</v>
      </c>
      <c r="D827" s="6" t="s">
        <v>249</v>
      </c>
      <c r="E827" s="6" t="s">
        <v>86</v>
      </c>
      <c r="F827" s="6" t="str">
        <f aca="false">INDEX(Items!$B$5:$B$62,MATCH($E827,Items!$A$5:$A$62,0))</f>
        <v>DISPOSABLES &amp; CLINIC CONSUMABLES</v>
      </c>
      <c r="G827" s="6" t="str">
        <f aca="false">INDEX(Items!$C$5:$C$62,MATCH($E827,Items!$A$5:$A$62,0))</f>
        <v>Bulk</v>
      </c>
      <c r="H827" s="6" t="s">
        <v>161</v>
      </c>
      <c r="I827" s="6" t="s">
        <v>160</v>
      </c>
      <c r="J827" s="6" t="n">
        <f aca="false">SUMIFS(Kits!$C$5:$C$163,Kits!$A$5:$A$163,$D827,Kits!$B$5:$B$163,$E827)</f>
        <v>3</v>
      </c>
      <c r="K827" s="6" t="n">
        <f aca="false">INDEX(Services!$F$5:$F$85,MATCH($A827,Services!$A$5:$A$85,0))</f>
        <v>0.65</v>
      </c>
      <c r="L827" s="6" t="n">
        <f aca="false">IF($H827="Auto-deduct",IF($G827="Countable",ROUNDUP($J827*IF($I827="Y",$K827,1),0),ROUND($J827*IF($I827="Y",$K827,1),1)),$J827)</f>
        <v>3</v>
      </c>
      <c r="M827" s="6" t="str">
        <f aca="false">INDEX(Items!$E$5:$E$62,MATCH($E827,Items!$A$5:$A$62,0))</f>
        <v>pc</v>
      </c>
      <c r="N827" s="6" t="n">
        <f aca="false">ROUND($L827/INDEX(Items!$F$5:$F$62,MATCH($E827,Items!$A$5:$A$62,0)),4)</f>
        <v>0.0375</v>
      </c>
      <c r="O827" s="6"/>
    </row>
    <row r="828" customFormat="false" ht="15" hidden="false" customHeight="false" outlineLevel="0" collapsed="false">
      <c r="A828" s="6" t="n">
        <v>78</v>
      </c>
      <c r="B828" s="6" t="s">
        <v>393</v>
      </c>
      <c r="C828" s="6" t="s">
        <v>384</v>
      </c>
      <c r="D828" s="6" t="s">
        <v>249</v>
      </c>
      <c r="E828" s="6" t="s">
        <v>58</v>
      </c>
      <c r="F828" s="6" t="str">
        <f aca="false">INDEX(Items!$B$5:$B$62,MATCH($E828,Items!$A$5:$A$62,0))</f>
        <v>DISPOSABLES &amp; CLINIC CONSUMABLES</v>
      </c>
      <c r="G828" s="6" t="str">
        <f aca="false">INDEX(Items!$C$5:$C$62,MATCH($E828,Items!$A$5:$A$62,0))</f>
        <v>Bulk</v>
      </c>
      <c r="H828" s="6" t="s">
        <v>161</v>
      </c>
      <c r="I828" s="6" t="s">
        <v>160</v>
      </c>
      <c r="J828" s="6" t="n">
        <f aca="false">SUMIFS(Kits!$C$5:$C$163,Kits!$A$5:$A$163,$D828,Kits!$B$5:$B$163,$E828)</f>
        <v>4</v>
      </c>
      <c r="K828" s="6" t="n">
        <f aca="false">INDEX(Services!$F$5:$F$85,MATCH($A828,Services!$A$5:$A$85,0))</f>
        <v>0.65</v>
      </c>
      <c r="L828" s="6" t="n">
        <f aca="false">IF($H828="Auto-deduct",IF($G828="Countable",ROUNDUP($J828*IF($I828="Y",$K828,1),0),ROUND($J828*IF($I828="Y",$K828,1),1)),$J828)</f>
        <v>4</v>
      </c>
      <c r="M828" s="6" t="str">
        <f aca="false">INDEX(Items!$E$5:$E$62,MATCH($E828,Items!$A$5:$A$62,0))</f>
        <v>sheet</v>
      </c>
      <c r="N828" s="6" t="n">
        <f aca="false">ROUND($L828/INDEX(Items!$F$5:$F$62,MATCH($E828,Items!$A$5:$A$62,0)),4)</f>
        <v>0.02</v>
      </c>
      <c r="O828" s="6"/>
    </row>
    <row r="829" customFormat="false" ht="15" hidden="false" customHeight="false" outlineLevel="0" collapsed="false">
      <c r="A829" s="6" t="n">
        <v>79</v>
      </c>
      <c r="B829" s="6" t="s">
        <v>394</v>
      </c>
      <c r="C829" s="6" t="s">
        <v>384</v>
      </c>
      <c r="D829" s="6" t="s">
        <v>159</v>
      </c>
      <c r="E829" s="6" t="s">
        <v>52</v>
      </c>
      <c r="F829" s="6" t="str">
        <f aca="false">INDEX(Items!$B$5:$B$62,MATCH($E829,Items!$A$5:$A$62,0))</f>
        <v>DISPOSABLES &amp; CLINIC CONSUMABLES</v>
      </c>
      <c r="G829" s="6" t="str">
        <f aca="false">INDEX(Items!$C$5:$C$62,MATCH($E829,Items!$A$5:$A$62,0))</f>
        <v>Countable</v>
      </c>
      <c r="H829" s="6" t="s">
        <v>161</v>
      </c>
      <c r="I829" s="6" t="s">
        <v>160</v>
      </c>
      <c r="J829" s="6" t="n">
        <f aca="false">SUMIFS(Kits!$C$5:$C$163,Kits!$A$5:$A$163,$D829,Kits!$B$5:$B$163,$E829)</f>
        <v>1</v>
      </c>
      <c r="K829" s="6" t="n">
        <f aca="false">INDEX(Services!$F$5:$F$85,MATCH($A829,Services!$A$5:$A$85,0))</f>
        <v>1</v>
      </c>
      <c r="L829" s="6" t="n">
        <f aca="false">IF($H829="Auto-deduct",IF($G829="Countable",ROUNDUP($J829*IF($I829="Y",$K829,1),0),ROUND($J829*IF($I829="Y",$K829,1),1)),$J829)</f>
        <v>1</v>
      </c>
      <c r="M829" s="6" t="str">
        <f aca="false">INDEX(Items!$E$5:$E$62,MATCH($E829,Items!$A$5:$A$62,0))</f>
        <v>pc</v>
      </c>
      <c r="N829" s="6" t="n">
        <f aca="false">ROUND($L829/INDEX(Items!$F$5:$F$62,MATCH($E829,Items!$A$5:$A$62,0)),4)</f>
        <v>1</v>
      </c>
      <c r="O829" s="6"/>
    </row>
    <row r="830" customFormat="false" ht="15" hidden="false" customHeight="false" outlineLevel="0" collapsed="false">
      <c r="A830" s="6" t="n">
        <v>79</v>
      </c>
      <c r="B830" s="6" t="s">
        <v>394</v>
      </c>
      <c r="C830" s="6" t="s">
        <v>384</v>
      </c>
      <c r="D830" s="6" t="s">
        <v>159</v>
      </c>
      <c r="E830" s="6" t="s">
        <v>53</v>
      </c>
      <c r="F830" s="6" t="str">
        <f aca="false">INDEX(Items!$B$5:$B$62,MATCH($E830,Items!$A$5:$A$62,0))</f>
        <v>DISPOSABLES &amp; CLINIC CONSUMABLES</v>
      </c>
      <c r="G830" s="6" t="str">
        <f aca="false">INDEX(Items!$C$5:$C$62,MATCH($E830,Items!$A$5:$A$62,0))</f>
        <v>Countable</v>
      </c>
      <c r="H830" s="6" t="s">
        <v>161</v>
      </c>
      <c r="I830" s="6" t="s">
        <v>160</v>
      </c>
      <c r="J830" s="6" t="n">
        <f aca="false">SUMIFS(Kits!$C$5:$C$163,Kits!$A$5:$A$163,$D830,Kits!$B$5:$B$163,$E830)</f>
        <v>1</v>
      </c>
      <c r="K830" s="6" t="n">
        <f aca="false">INDEX(Services!$F$5:$F$85,MATCH($A830,Services!$A$5:$A$85,0))</f>
        <v>1</v>
      </c>
      <c r="L830" s="6" t="n">
        <f aca="false">IF($H830="Auto-deduct",IF($G830="Countable",ROUNDUP($J830*IF($I830="Y",$K830,1),0),ROUND($J830*IF($I830="Y",$K830,1),1)),$J830)</f>
        <v>1</v>
      </c>
      <c r="M830" s="6" t="str">
        <f aca="false">INDEX(Items!$E$5:$E$62,MATCH($E830,Items!$A$5:$A$62,0))</f>
        <v>pair</v>
      </c>
      <c r="N830" s="6" t="n">
        <f aca="false">ROUND($L830/INDEX(Items!$F$5:$F$62,MATCH($E830,Items!$A$5:$A$62,0)),4)</f>
        <v>1</v>
      </c>
      <c r="O830" s="6"/>
    </row>
    <row r="831" customFormat="false" ht="15" hidden="false" customHeight="false" outlineLevel="0" collapsed="false">
      <c r="A831" s="6" t="n">
        <v>79</v>
      </c>
      <c r="B831" s="6" t="s">
        <v>394</v>
      </c>
      <c r="C831" s="6" t="s">
        <v>384</v>
      </c>
      <c r="D831" s="6" t="s">
        <v>159</v>
      </c>
      <c r="E831" s="6" t="s">
        <v>88</v>
      </c>
      <c r="F831" s="6" t="str">
        <f aca="false">INDEX(Items!$B$5:$B$62,MATCH($E831,Items!$A$5:$A$62,0))</f>
        <v>DISPOSABLES &amp; CLINIC CONSUMABLES</v>
      </c>
      <c r="G831" s="6" t="str">
        <f aca="false">INDEX(Items!$C$5:$C$62,MATCH($E831,Items!$A$5:$A$62,0))</f>
        <v>Bulk</v>
      </c>
      <c r="H831" s="6" t="s">
        <v>161</v>
      </c>
      <c r="I831" s="6" t="s">
        <v>160</v>
      </c>
      <c r="J831" s="6" t="n">
        <f aca="false">SUMIFS(Kits!$C$5:$C$163,Kits!$A$5:$A$163,$D831,Kits!$B$5:$B$163,$E831)</f>
        <v>5</v>
      </c>
      <c r="K831" s="6" t="n">
        <f aca="false">INDEX(Services!$F$5:$F$85,MATCH($A831,Services!$A$5:$A$85,0))</f>
        <v>1</v>
      </c>
      <c r="L831" s="6" t="n">
        <f aca="false">IF($H831="Auto-deduct",IF($G831="Countable",ROUNDUP($J831*IF($I831="Y",$K831,1),0),ROUND($J831*IF($I831="Y",$K831,1),1)),$J831)</f>
        <v>5</v>
      </c>
      <c r="M831" s="6" t="str">
        <f aca="false">INDEX(Items!$E$5:$E$62,MATCH($E831,Items!$A$5:$A$62,0))</f>
        <v>mL</v>
      </c>
      <c r="N831" s="6" t="n">
        <f aca="false">ROUND($L831/INDEX(Items!$F$5:$F$62,MATCH($E831,Items!$A$5:$A$62,0)),4)</f>
        <v>0.01</v>
      </c>
      <c r="O831" s="6"/>
    </row>
    <row r="832" customFormat="false" ht="15" hidden="false" customHeight="false" outlineLevel="0" collapsed="false">
      <c r="A832" s="6" t="n">
        <v>79</v>
      </c>
      <c r="B832" s="6" t="s">
        <v>394</v>
      </c>
      <c r="C832" s="6" t="s">
        <v>384</v>
      </c>
      <c r="D832" s="6" t="s">
        <v>243</v>
      </c>
      <c r="E832" s="6" t="s">
        <v>86</v>
      </c>
      <c r="F832" s="6" t="str">
        <f aca="false">INDEX(Items!$B$5:$B$62,MATCH($E832,Items!$A$5:$A$62,0))</f>
        <v>DISPOSABLES &amp; CLINIC CONSUMABLES</v>
      </c>
      <c r="G832" s="6" t="str">
        <f aca="false">INDEX(Items!$C$5:$C$62,MATCH($E832,Items!$A$5:$A$62,0))</f>
        <v>Bulk</v>
      </c>
      <c r="H832" s="6" t="s">
        <v>161</v>
      </c>
      <c r="I832" s="6" t="s">
        <v>191</v>
      </c>
      <c r="J832" s="6" t="n">
        <f aca="false">SUMIFS(Kits!$C$5:$C$163,Kits!$A$5:$A$163,$D832,Kits!$B$5:$B$163,$E832)</f>
        <v>3</v>
      </c>
      <c r="K832" s="6" t="n">
        <f aca="false">INDEX(Services!$F$5:$F$85,MATCH($A832,Services!$A$5:$A$85,0))</f>
        <v>1</v>
      </c>
      <c r="L832" s="6" t="n">
        <f aca="false">IF($H832="Auto-deduct",IF($G832="Countable",ROUNDUP($J832*IF($I832="Y",$K832,1),0),ROUND($J832*IF($I832="Y",$K832,1),1)),$J832)</f>
        <v>3</v>
      </c>
      <c r="M832" s="6" t="str">
        <f aca="false">INDEX(Items!$E$5:$E$62,MATCH($E832,Items!$A$5:$A$62,0))</f>
        <v>pc</v>
      </c>
      <c r="N832" s="6" t="n">
        <f aca="false">ROUND($L832/INDEX(Items!$F$5:$F$62,MATCH($E832,Items!$A$5:$A$62,0)),4)</f>
        <v>0.0375</v>
      </c>
      <c r="O832" s="6"/>
    </row>
    <row r="833" customFormat="false" ht="15" hidden="false" customHeight="false" outlineLevel="0" collapsed="false">
      <c r="A833" s="6" t="n">
        <v>79</v>
      </c>
      <c r="B833" s="6" t="s">
        <v>394</v>
      </c>
      <c r="C833" s="6" t="s">
        <v>384</v>
      </c>
      <c r="D833" s="6" t="s">
        <v>243</v>
      </c>
      <c r="E833" s="6" t="s">
        <v>88</v>
      </c>
      <c r="F833" s="6" t="str">
        <f aca="false">INDEX(Items!$B$5:$B$62,MATCH($E833,Items!$A$5:$A$62,0))</f>
        <v>DISPOSABLES &amp; CLINIC CONSUMABLES</v>
      </c>
      <c r="G833" s="6" t="str">
        <f aca="false">INDEX(Items!$C$5:$C$62,MATCH($E833,Items!$A$5:$A$62,0))</f>
        <v>Bulk</v>
      </c>
      <c r="H833" s="6" t="s">
        <v>161</v>
      </c>
      <c r="I833" s="6" t="s">
        <v>191</v>
      </c>
      <c r="J833" s="6" t="n">
        <f aca="false">SUMIFS(Kits!$C$5:$C$163,Kits!$A$5:$A$163,$D833,Kits!$B$5:$B$163,$E833)</f>
        <v>10</v>
      </c>
      <c r="K833" s="6" t="n">
        <f aca="false">INDEX(Services!$F$5:$F$85,MATCH($A833,Services!$A$5:$A$85,0))</f>
        <v>1</v>
      </c>
      <c r="L833" s="6" t="n">
        <f aca="false">IF($H833="Auto-deduct",IF($G833="Countable",ROUNDUP($J833*IF($I833="Y",$K833,1),0),ROUND($J833*IF($I833="Y",$K833,1),1)),$J833)</f>
        <v>10</v>
      </c>
      <c r="M833" s="6" t="str">
        <f aca="false">INDEX(Items!$E$5:$E$62,MATCH($E833,Items!$A$5:$A$62,0))</f>
        <v>mL</v>
      </c>
      <c r="N833" s="6" t="n">
        <f aca="false">ROUND($L833/INDEX(Items!$F$5:$F$62,MATCH($E833,Items!$A$5:$A$62,0)),4)</f>
        <v>0.02</v>
      </c>
      <c r="O833" s="6"/>
    </row>
    <row r="834" customFormat="false" ht="15" hidden="false" customHeight="false" outlineLevel="0" collapsed="false">
      <c r="A834" s="6" t="n">
        <v>79</v>
      </c>
      <c r="B834" s="6" t="s">
        <v>394</v>
      </c>
      <c r="C834" s="6" t="s">
        <v>384</v>
      </c>
      <c r="D834" s="6" t="s">
        <v>245</v>
      </c>
      <c r="E834" s="6" t="s">
        <v>112</v>
      </c>
      <c r="F834" s="6" t="str">
        <f aca="false">INDEX(Items!$B$5:$B$62,MATCH($E834,Items!$A$5:$A$62,0))</f>
        <v>FACIAL TREATMENT PRODUCTS (PROFESSIONAL USE)</v>
      </c>
      <c r="G834" s="6" t="str">
        <f aca="false">INDEX(Items!$C$5:$C$62,MATCH($E834,Items!$A$5:$A$62,0))</f>
        <v>Bulk</v>
      </c>
      <c r="H834" s="6" t="s">
        <v>161</v>
      </c>
      <c r="I834" s="6" t="s">
        <v>191</v>
      </c>
      <c r="J834" s="6" t="n">
        <f aca="false">SUMIFS(Kits!$C$5:$C$163,Kits!$A$5:$A$163,$D834,Kits!$B$5:$B$163,$E834)</f>
        <v>20</v>
      </c>
      <c r="K834" s="6" t="n">
        <f aca="false">INDEX(Services!$F$5:$F$85,MATCH($A834,Services!$A$5:$A$85,0))</f>
        <v>1</v>
      </c>
      <c r="L834" s="6" t="n">
        <f aca="false">IF($H834="Auto-deduct",IF($G834="Countable",ROUNDUP($J834*IF($I834="Y",$K834,1),0),ROUND($J834*IF($I834="Y",$K834,1),1)),$J834)</f>
        <v>20</v>
      </c>
      <c r="M834" s="6" t="str">
        <f aca="false">INDEX(Items!$E$5:$E$62,MATCH($E834,Items!$A$5:$A$62,0))</f>
        <v>g</v>
      </c>
      <c r="N834" s="6" t="n">
        <f aca="false">ROUND($L834/INDEX(Items!$F$5:$F$62,MATCH($E834,Items!$A$5:$A$62,0)),4)</f>
        <v>0.04</v>
      </c>
      <c r="O834" s="6"/>
    </row>
    <row r="835" customFormat="false" ht="15" hidden="false" customHeight="false" outlineLevel="0" collapsed="false">
      <c r="A835" s="6" t="n">
        <v>79</v>
      </c>
      <c r="B835" s="6" t="s">
        <v>394</v>
      </c>
      <c r="C835" s="6" t="s">
        <v>384</v>
      </c>
      <c r="D835" s="6" t="s">
        <v>245</v>
      </c>
      <c r="E835" s="6" t="s">
        <v>67</v>
      </c>
      <c r="F835" s="6" t="str">
        <f aca="false">INDEX(Items!$B$5:$B$62,MATCH($E835,Items!$A$5:$A$62,0))</f>
        <v>DISPOSABLES &amp; CLINIC CONSUMABLES</v>
      </c>
      <c r="G835" s="6" t="str">
        <f aca="false">INDEX(Items!$C$5:$C$62,MATCH($E835,Items!$A$5:$A$62,0))</f>
        <v>Bulk</v>
      </c>
      <c r="H835" s="6" t="s">
        <v>161</v>
      </c>
      <c r="I835" s="6" t="s">
        <v>191</v>
      </c>
      <c r="J835" s="6" t="n">
        <f aca="false">SUMIFS(Kits!$C$5:$C$163,Kits!$A$5:$A$163,$D835,Kits!$B$5:$B$163,$E835)</f>
        <v>10</v>
      </c>
      <c r="K835" s="6" t="n">
        <f aca="false">INDEX(Services!$F$5:$F$85,MATCH($A835,Services!$A$5:$A$85,0))</f>
        <v>1</v>
      </c>
      <c r="L835" s="6" t="n">
        <f aca="false">IF($H835="Auto-deduct",IF($G835="Countable",ROUNDUP($J835*IF($I835="Y",$K835,1),0),ROUND($J835*IF($I835="Y",$K835,1),1)),$J835)</f>
        <v>10</v>
      </c>
      <c r="M835" s="6" t="str">
        <f aca="false">INDEX(Items!$E$5:$E$62,MATCH($E835,Items!$A$5:$A$62,0))</f>
        <v>sheet</v>
      </c>
      <c r="N835" s="6" t="n">
        <f aca="false">ROUND($L835/INDEX(Items!$F$5:$F$62,MATCH($E835,Items!$A$5:$A$62,0)),4)</f>
        <v>0.1</v>
      </c>
      <c r="O835" s="6"/>
    </row>
    <row r="836" customFormat="false" ht="15" hidden="false" customHeight="false" outlineLevel="0" collapsed="false">
      <c r="A836" s="6" t="n">
        <v>79</v>
      </c>
      <c r="B836" s="6" t="s">
        <v>394</v>
      </c>
      <c r="C836" s="6" t="s">
        <v>384</v>
      </c>
      <c r="D836" s="6" t="s">
        <v>245</v>
      </c>
      <c r="E836" s="6" t="s">
        <v>86</v>
      </c>
      <c r="F836" s="6" t="str">
        <f aca="false">INDEX(Items!$B$5:$B$62,MATCH($E836,Items!$A$5:$A$62,0))</f>
        <v>DISPOSABLES &amp; CLINIC CONSUMABLES</v>
      </c>
      <c r="G836" s="6" t="str">
        <f aca="false">INDEX(Items!$C$5:$C$62,MATCH($E836,Items!$A$5:$A$62,0))</f>
        <v>Bulk</v>
      </c>
      <c r="H836" s="6" t="s">
        <v>161</v>
      </c>
      <c r="I836" s="6" t="s">
        <v>160</v>
      </c>
      <c r="J836" s="6" t="n">
        <f aca="false">SUMIFS(Kits!$C$5:$C$163,Kits!$A$5:$A$163,$D836,Kits!$B$5:$B$163,$E836)</f>
        <v>3</v>
      </c>
      <c r="K836" s="6" t="n">
        <f aca="false">INDEX(Services!$F$5:$F$85,MATCH($A836,Services!$A$5:$A$85,0))</f>
        <v>1</v>
      </c>
      <c r="L836" s="6" t="n">
        <f aca="false">IF($H836="Auto-deduct",IF($G836="Countable",ROUNDUP($J836*IF($I836="Y",$K836,1),0),ROUND($J836*IF($I836="Y",$K836,1),1)),$J836)</f>
        <v>3</v>
      </c>
      <c r="M836" s="6" t="str">
        <f aca="false">INDEX(Items!$E$5:$E$62,MATCH($E836,Items!$A$5:$A$62,0))</f>
        <v>pc</v>
      </c>
      <c r="N836" s="6" t="n">
        <f aca="false">ROUND($L836/INDEX(Items!$F$5:$F$62,MATCH($E836,Items!$A$5:$A$62,0)),4)</f>
        <v>0.0375</v>
      </c>
      <c r="O836" s="6"/>
    </row>
    <row r="837" customFormat="false" ht="15" hidden="false" customHeight="false" outlineLevel="0" collapsed="false">
      <c r="A837" s="6" t="n">
        <v>79</v>
      </c>
      <c r="B837" s="6" t="s">
        <v>394</v>
      </c>
      <c r="C837" s="6" t="s">
        <v>384</v>
      </c>
      <c r="D837" s="6" t="s">
        <v>245</v>
      </c>
      <c r="E837" s="6" t="s">
        <v>58</v>
      </c>
      <c r="F837" s="6" t="str">
        <f aca="false">INDEX(Items!$B$5:$B$62,MATCH($E837,Items!$A$5:$A$62,0))</f>
        <v>DISPOSABLES &amp; CLINIC CONSUMABLES</v>
      </c>
      <c r="G837" s="6" t="str">
        <f aca="false">INDEX(Items!$C$5:$C$62,MATCH($E837,Items!$A$5:$A$62,0))</f>
        <v>Bulk</v>
      </c>
      <c r="H837" s="6" t="s">
        <v>161</v>
      </c>
      <c r="I837" s="6" t="s">
        <v>160</v>
      </c>
      <c r="J837" s="6" t="n">
        <f aca="false">SUMIFS(Kits!$C$5:$C$163,Kits!$A$5:$A$163,$D837,Kits!$B$5:$B$163,$E837)</f>
        <v>4</v>
      </c>
      <c r="K837" s="6" t="n">
        <f aca="false">INDEX(Services!$F$5:$F$85,MATCH($A837,Services!$A$5:$A$85,0))</f>
        <v>1</v>
      </c>
      <c r="L837" s="6" t="n">
        <f aca="false">IF($H837="Auto-deduct",IF($G837="Countable",ROUNDUP($J837*IF($I837="Y",$K837,1),0),ROUND($J837*IF($I837="Y",$K837,1),1)),$J837)</f>
        <v>4</v>
      </c>
      <c r="M837" s="6" t="str">
        <f aca="false">INDEX(Items!$E$5:$E$62,MATCH($E837,Items!$A$5:$A$62,0))</f>
        <v>sheet</v>
      </c>
      <c r="N837" s="6" t="n">
        <f aca="false">ROUND($L837/INDEX(Items!$F$5:$F$62,MATCH($E837,Items!$A$5:$A$62,0)),4)</f>
        <v>0.02</v>
      </c>
      <c r="O837" s="6"/>
    </row>
    <row r="838" customFormat="false" ht="15" hidden="false" customHeight="false" outlineLevel="0" collapsed="false">
      <c r="A838" s="6" t="n">
        <v>80</v>
      </c>
      <c r="B838" s="6" t="s">
        <v>395</v>
      </c>
      <c r="C838" s="6" t="s">
        <v>384</v>
      </c>
      <c r="D838" s="6" t="s">
        <v>159</v>
      </c>
      <c r="E838" s="6" t="s">
        <v>52</v>
      </c>
      <c r="F838" s="6" t="str">
        <f aca="false">INDEX(Items!$B$5:$B$62,MATCH($E838,Items!$A$5:$A$62,0))</f>
        <v>DISPOSABLES &amp; CLINIC CONSUMABLES</v>
      </c>
      <c r="G838" s="6" t="str">
        <f aca="false">INDEX(Items!$C$5:$C$62,MATCH($E838,Items!$A$5:$A$62,0))</f>
        <v>Countable</v>
      </c>
      <c r="H838" s="6" t="s">
        <v>161</v>
      </c>
      <c r="I838" s="6" t="s">
        <v>160</v>
      </c>
      <c r="J838" s="6" t="n">
        <f aca="false">SUMIFS(Kits!$C$5:$C$163,Kits!$A$5:$A$163,$D838,Kits!$B$5:$B$163,$E838)</f>
        <v>1</v>
      </c>
      <c r="K838" s="6" t="n">
        <f aca="false">INDEX(Services!$F$5:$F$85,MATCH($A838,Services!$A$5:$A$85,0))</f>
        <v>1</v>
      </c>
      <c r="L838" s="6" t="n">
        <f aca="false">IF($H838="Auto-deduct",IF($G838="Countable",ROUNDUP($J838*IF($I838="Y",$K838,1),0),ROUND($J838*IF($I838="Y",$K838,1),1)),$J838)</f>
        <v>1</v>
      </c>
      <c r="M838" s="6" t="str">
        <f aca="false">INDEX(Items!$E$5:$E$62,MATCH($E838,Items!$A$5:$A$62,0))</f>
        <v>pc</v>
      </c>
      <c r="N838" s="6" t="n">
        <f aca="false">ROUND($L838/INDEX(Items!$F$5:$F$62,MATCH($E838,Items!$A$5:$A$62,0)),4)</f>
        <v>1</v>
      </c>
      <c r="O838" s="6"/>
    </row>
    <row r="839" customFormat="false" ht="15" hidden="false" customHeight="false" outlineLevel="0" collapsed="false">
      <c r="A839" s="6" t="n">
        <v>80</v>
      </c>
      <c r="B839" s="6" t="s">
        <v>395</v>
      </c>
      <c r="C839" s="6" t="s">
        <v>384</v>
      </c>
      <c r="D839" s="6" t="s">
        <v>159</v>
      </c>
      <c r="E839" s="6" t="s">
        <v>53</v>
      </c>
      <c r="F839" s="6" t="str">
        <f aca="false">INDEX(Items!$B$5:$B$62,MATCH($E839,Items!$A$5:$A$62,0))</f>
        <v>DISPOSABLES &amp; CLINIC CONSUMABLES</v>
      </c>
      <c r="G839" s="6" t="str">
        <f aca="false">INDEX(Items!$C$5:$C$62,MATCH($E839,Items!$A$5:$A$62,0))</f>
        <v>Countable</v>
      </c>
      <c r="H839" s="6" t="s">
        <v>161</v>
      </c>
      <c r="I839" s="6" t="s">
        <v>160</v>
      </c>
      <c r="J839" s="6" t="n">
        <f aca="false">SUMIFS(Kits!$C$5:$C$163,Kits!$A$5:$A$163,$D839,Kits!$B$5:$B$163,$E839)</f>
        <v>1</v>
      </c>
      <c r="K839" s="6" t="n">
        <f aca="false">INDEX(Services!$F$5:$F$85,MATCH($A839,Services!$A$5:$A$85,0))</f>
        <v>1</v>
      </c>
      <c r="L839" s="6" t="n">
        <f aca="false">IF($H839="Auto-deduct",IF($G839="Countable",ROUNDUP($J839*IF($I839="Y",$K839,1),0),ROUND($J839*IF($I839="Y",$K839,1),1)),$J839)</f>
        <v>1</v>
      </c>
      <c r="M839" s="6" t="str">
        <f aca="false">INDEX(Items!$E$5:$E$62,MATCH($E839,Items!$A$5:$A$62,0))</f>
        <v>pair</v>
      </c>
      <c r="N839" s="6" t="n">
        <f aca="false">ROUND($L839/INDEX(Items!$F$5:$F$62,MATCH($E839,Items!$A$5:$A$62,0)),4)</f>
        <v>1</v>
      </c>
      <c r="O839" s="6"/>
    </row>
    <row r="840" customFormat="false" ht="15" hidden="false" customHeight="false" outlineLevel="0" collapsed="false">
      <c r="A840" s="6" t="n">
        <v>80</v>
      </c>
      <c r="B840" s="6" t="s">
        <v>395</v>
      </c>
      <c r="C840" s="6" t="s">
        <v>384</v>
      </c>
      <c r="D840" s="6" t="s">
        <v>159</v>
      </c>
      <c r="E840" s="6" t="s">
        <v>88</v>
      </c>
      <c r="F840" s="6" t="str">
        <f aca="false">INDEX(Items!$B$5:$B$62,MATCH($E840,Items!$A$5:$A$62,0))</f>
        <v>DISPOSABLES &amp; CLINIC CONSUMABLES</v>
      </c>
      <c r="G840" s="6" t="str">
        <f aca="false">INDEX(Items!$C$5:$C$62,MATCH($E840,Items!$A$5:$A$62,0))</f>
        <v>Bulk</v>
      </c>
      <c r="H840" s="6" t="s">
        <v>161</v>
      </c>
      <c r="I840" s="6" t="s">
        <v>160</v>
      </c>
      <c r="J840" s="6" t="n">
        <f aca="false">SUMIFS(Kits!$C$5:$C$163,Kits!$A$5:$A$163,$D840,Kits!$B$5:$B$163,$E840)</f>
        <v>5</v>
      </c>
      <c r="K840" s="6" t="n">
        <f aca="false">INDEX(Services!$F$5:$F$85,MATCH($A840,Services!$A$5:$A$85,0))</f>
        <v>1</v>
      </c>
      <c r="L840" s="6" t="n">
        <f aca="false">IF($H840="Auto-deduct",IF($G840="Countable",ROUNDUP($J840*IF($I840="Y",$K840,1),0),ROUND($J840*IF($I840="Y",$K840,1),1)),$J840)</f>
        <v>5</v>
      </c>
      <c r="M840" s="6" t="str">
        <f aca="false">INDEX(Items!$E$5:$E$62,MATCH($E840,Items!$A$5:$A$62,0))</f>
        <v>mL</v>
      </c>
      <c r="N840" s="6" t="n">
        <f aca="false">ROUND($L840/INDEX(Items!$F$5:$F$62,MATCH($E840,Items!$A$5:$A$62,0)),4)</f>
        <v>0.01</v>
      </c>
      <c r="O840" s="6"/>
    </row>
    <row r="841" customFormat="false" ht="15" hidden="false" customHeight="false" outlineLevel="0" collapsed="false">
      <c r="A841" s="6" t="n">
        <v>80</v>
      </c>
      <c r="B841" s="6" t="s">
        <v>395</v>
      </c>
      <c r="C841" s="6" t="s">
        <v>384</v>
      </c>
      <c r="D841" s="6" t="s">
        <v>243</v>
      </c>
      <c r="E841" s="6" t="s">
        <v>86</v>
      </c>
      <c r="F841" s="6" t="str">
        <f aca="false">INDEX(Items!$B$5:$B$62,MATCH($E841,Items!$A$5:$A$62,0))</f>
        <v>DISPOSABLES &amp; CLINIC CONSUMABLES</v>
      </c>
      <c r="G841" s="6" t="str">
        <f aca="false">INDEX(Items!$C$5:$C$62,MATCH($E841,Items!$A$5:$A$62,0))</f>
        <v>Bulk</v>
      </c>
      <c r="H841" s="6" t="s">
        <v>161</v>
      </c>
      <c r="I841" s="6" t="s">
        <v>191</v>
      </c>
      <c r="J841" s="6" t="n">
        <f aca="false">SUMIFS(Kits!$C$5:$C$163,Kits!$A$5:$A$163,$D841,Kits!$B$5:$B$163,$E841)</f>
        <v>3</v>
      </c>
      <c r="K841" s="6" t="n">
        <f aca="false">INDEX(Services!$F$5:$F$85,MATCH($A841,Services!$A$5:$A$85,0))</f>
        <v>1</v>
      </c>
      <c r="L841" s="6" t="n">
        <f aca="false">IF($H841="Auto-deduct",IF($G841="Countable",ROUNDUP($J841*IF($I841="Y",$K841,1),0),ROUND($J841*IF($I841="Y",$K841,1),1)),$J841)</f>
        <v>3</v>
      </c>
      <c r="M841" s="6" t="str">
        <f aca="false">INDEX(Items!$E$5:$E$62,MATCH($E841,Items!$A$5:$A$62,0))</f>
        <v>pc</v>
      </c>
      <c r="N841" s="6" t="n">
        <f aca="false">ROUND($L841/INDEX(Items!$F$5:$F$62,MATCH($E841,Items!$A$5:$A$62,0)),4)</f>
        <v>0.0375</v>
      </c>
      <c r="O841" s="6"/>
    </row>
    <row r="842" customFormat="false" ht="15" hidden="false" customHeight="false" outlineLevel="0" collapsed="false">
      <c r="A842" s="6" t="n">
        <v>80</v>
      </c>
      <c r="B842" s="6" t="s">
        <v>395</v>
      </c>
      <c r="C842" s="6" t="s">
        <v>384</v>
      </c>
      <c r="D842" s="6" t="s">
        <v>243</v>
      </c>
      <c r="E842" s="6" t="s">
        <v>88</v>
      </c>
      <c r="F842" s="6" t="str">
        <f aca="false">INDEX(Items!$B$5:$B$62,MATCH($E842,Items!$A$5:$A$62,0))</f>
        <v>DISPOSABLES &amp; CLINIC CONSUMABLES</v>
      </c>
      <c r="G842" s="6" t="str">
        <f aca="false">INDEX(Items!$C$5:$C$62,MATCH($E842,Items!$A$5:$A$62,0))</f>
        <v>Bulk</v>
      </c>
      <c r="H842" s="6" t="s">
        <v>161</v>
      </c>
      <c r="I842" s="6" t="s">
        <v>191</v>
      </c>
      <c r="J842" s="6" t="n">
        <f aca="false">SUMIFS(Kits!$C$5:$C$163,Kits!$A$5:$A$163,$D842,Kits!$B$5:$B$163,$E842)</f>
        <v>10</v>
      </c>
      <c r="K842" s="6" t="n">
        <f aca="false">INDEX(Services!$F$5:$F$85,MATCH($A842,Services!$A$5:$A$85,0))</f>
        <v>1</v>
      </c>
      <c r="L842" s="6" t="n">
        <f aca="false">IF($H842="Auto-deduct",IF($G842="Countable",ROUNDUP($J842*IF($I842="Y",$K842,1),0),ROUND($J842*IF($I842="Y",$K842,1),1)),$J842)</f>
        <v>10</v>
      </c>
      <c r="M842" s="6" t="str">
        <f aca="false">INDEX(Items!$E$5:$E$62,MATCH($E842,Items!$A$5:$A$62,0))</f>
        <v>mL</v>
      </c>
      <c r="N842" s="6" t="n">
        <f aca="false">ROUND($L842/INDEX(Items!$F$5:$F$62,MATCH($E842,Items!$A$5:$A$62,0)),4)</f>
        <v>0.02</v>
      </c>
      <c r="O842" s="6"/>
    </row>
    <row r="843" customFormat="false" ht="15" hidden="false" customHeight="false" outlineLevel="0" collapsed="false">
      <c r="A843" s="6" t="n">
        <v>80</v>
      </c>
      <c r="B843" s="6" t="s">
        <v>395</v>
      </c>
      <c r="C843" s="6" t="s">
        <v>384</v>
      </c>
      <c r="D843" s="6" t="s">
        <v>247</v>
      </c>
      <c r="E843" s="6" t="s">
        <v>114</v>
      </c>
      <c r="F843" s="6" t="str">
        <f aca="false">INDEX(Items!$B$5:$B$62,MATCH($E843,Items!$A$5:$A$62,0))</f>
        <v>FACIAL TREATMENT PRODUCTS (PROFESSIONAL USE)</v>
      </c>
      <c r="G843" s="6" t="str">
        <f aca="false">INDEX(Items!$C$5:$C$62,MATCH($E843,Items!$A$5:$A$62,0))</f>
        <v>Bulk</v>
      </c>
      <c r="H843" s="6" t="s">
        <v>161</v>
      </c>
      <c r="I843" s="6" t="s">
        <v>191</v>
      </c>
      <c r="J843" s="6" t="n">
        <f aca="false">SUMIFS(Kits!$C$5:$C$163,Kits!$A$5:$A$163,$D843,Kits!$B$5:$B$163,$E843)</f>
        <v>30</v>
      </c>
      <c r="K843" s="6" t="n">
        <f aca="false">INDEX(Services!$F$5:$F$85,MATCH($A843,Services!$A$5:$A$85,0))</f>
        <v>1</v>
      </c>
      <c r="L843" s="6" t="n">
        <f aca="false">IF($H843="Auto-deduct",IF($G843="Countable",ROUNDUP($J843*IF($I843="Y",$K843,1),0),ROUND($J843*IF($I843="Y",$K843,1),1)),$J843)</f>
        <v>30</v>
      </c>
      <c r="M843" s="6" t="str">
        <f aca="false">INDEX(Items!$E$5:$E$62,MATCH($E843,Items!$A$5:$A$62,0))</f>
        <v>mL</v>
      </c>
      <c r="N843" s="6" t="n">
        <f aca="false">ROUND($L843/INDEX(Items!$F$5:$F$62,MATCH($E843,Items!$A$5:$A$62,0)),4)</f>
        <v>0.03</v>
      </c>
      <c r="O843" s="6"/>
    </row>
    <row r="844" customFormat="false" ht="15" hidden="false" customHeight="false" outlineLevel="0" collapsed="false">
      <c r="A844" s="6" t="n">
        <v>80</v>
      </c>
      <c r="B844" s="6" t="s">
        <v>395</v>
      </c>
      <c r="C844" s="6" t="s">
        <v>384</v>
      </c>
      <c r="D844" s="6" t="s">
        <v>247</v>
      </c>
      <c r="E844" s="6" t="s">
        <v>67</v>
      </c>
      <c r="F844" s="6" t="str">
        <f aca="false">INDEX(Items!$B$5:$B$62,MATCH($E844,Items!$A$5:$A$62,0))</f>
        <v>DISPOSABLES &amp; CLINIC CONSUMABLES</v>
      </c>
      <c r="G844" s="6" t="str">
        <f aca="false">INDEX(Items!$C$5:$C$62,MATCH($E844,Items!$A$5:$A$62,0))</f>
        <v>Bulk</v>
      </c>
      <c r="H844" s="6" t="s">
        <v>161</v>
      </c>
      <c r="I844" s="6" t="s">
        <v>191</v>
      </c>
      <c r="J844" s="6" t="n">
        <f aca="false">SUMIFS(Kits!$C$5:$C$163,Kits!$A$5:$A$163,$D844,Kits!$B$5:$B$163,$E844)</f>
        <v>10</v>
      </c>
      <c r="K844" s="6" t="n">
        <f aca="false">INDEX(Services!$F$5:$F$85,MATCH($A844,Services!$A$5:$A$85,0))</f>
        <v>1</v>
      </c>
      <c r="L844" s="6" t="n">
        <f aca="false">IF($H844="Auto-deduct",IF($G844="Countable",ROUNDUP($J844*IF($I844="Y",$K844,1),0),ROUND($J844*IF($I844="Y",$K844,1),1)),$J844)</f>
        <v>10</v>
      </c>
      <c r="M844" s="6" t="str">
        <f aca="false">INDEX(Items!$E$5:$E$62,MATCH($E844,Items!$A$5:$A$62,0))</f>
        <v>sheet</v>
      </c>
      <c r="N844" s="6" t="n">
        <f aca="false">ROUND($L844/INDEX(Items!$F$5:$F$62,MATCH($E844,Items!$A$5:$A$62,0)),4)</f>
        <v>0.1</v>
      </c>
      <c r="O844" s="6"/>
    </row>
    <row r="845" customFormat="false" ht="15" hidden="false" customHeight="false" outlineLevel="0" collapsed="false">
      <c r="A845" s="6" t="n">
        <v>80</v>
      </c>
      <c r="B845" s="6" t="s">
        <v>395</v>
      </c>
      <c r="C845" s="6" t="s">
        <v>384</v>
      </c>
      <c r="D845" s="6" t="s">
        <v>247</v>
      </c>
      <c r="E845" s="6" t="s">
        <v>86</v>
      </c>
      <c r="F845" s="6" t="str">
        <f aca="false">INDEX(Items!$B$5:$B$62,MATCH($E845,Items!$A$5:$A$62,0))</f>
        <v>DISPOSABLES &amp; CLINIC CONSUMABLES</v>
      </c>
      <c r="G845" s="6" t="str">
        <f aca="false">INDEX(Items!$C$5:$C$62,MATCH($E845,Items!$A$5:$A$62,0))</f>
        <v>Bulk</v>
      </c>
      <c r="H845" s="6" t="s">
        <v>161</v>
      </c>
      <c r="I845" s="6" t="s">
        <v>160</v>
      </c>
      <c r="J845" s="6" t="n">
        <f aca="false">SUMIFS(Kits!$C$5:$C$163,Kits!$A$5:$A$163,$D845,Kits!$B$5:$B$163,$E845)</f>
        <v>3</v>
      </c>
      <c r="K845" s="6" t="n">
        <f aca="false">INDEX(Services!$F$5:$F$85,MATCH($A845,Services!$A$5:$A$85,0))</f>
        <v>1</v>
      </c>
      <c r="L845" s="6" t="n">
        <f aca="false">IF($H845="Auto-deduct",IF($G845="Countable",ROUNDUP($J845*IF($I845="Y",$K845,1),0),ROUND($J845*IF($I845="Y",$K845,1),1)),$J845)</f>
        <v>3</v>
      </c>
      <c r="M845" s="6" t="str">
        <f aca="false">INDEX(Items!$E$5:$E$62,MATCH($E845,Items!$A$5:$A$62,0))</f>
        <v>pc</v>
      </c>
      <c r="N845" s="6" t="n">
        <f aca="false">ROUND($L845/INDEX(Items!$F$5:$F$62,MATCH($E845,Items!$A$5:$A$62,0)),4)</f>
        <v>0.0375</v>
      </c>
      <c r="O845" s="6"/>
    </row>
    <row r="846" customFormat="false" ht="15" hidden="false" customHeight="false" outlineLevel="0" collapsed="false">
      <c r="A846" s="6" t="n">
        <v>80</v>
      </c>
      <c r="B846" s="6" t="s">
        <v>395</v>
      </c>
      <c r="C846" s="6" t="s">
        <v>384</v>
      </c>
      <c r="D846" s="6" t="s">
        <v>247</v>
      </c>
      <c r="E846" s="6" t="s">
        <v>58</v>
      </c>
      <c r="F846" s="6" t="str">
        <f aca="false">INDEX(Items!$B$5:$B$62,MATCH($E846,Items!$A$5:$A$62,0))</f>
        <v>DISPOSABLES &amp; CLINIC CONSUMABLES</v>
      </c>
      <c r="G846" s="6" t="str">
        <f aca="false">INDEX(Items!$C$5:$C$62,MATCH($E846,Items!$A$5:$A$62,0))</f>
        <v>Bulk</v>
      </c>
      <c r="H846" s="6" t="s">
        <v>161</v>
      </c>
      <c r="I846" s="6" t="s">
        <v>160</v>
      </c>
      <c r="J846" s="6" t="n">
        <f aca="false">SUMIFS(Kits!$C$5:$C$163,Kits!$A$5:$A$163,$D846,Kits!$B$5:$B$163,$E846)</f>
        <v>4</v>
      </c>
      <c r="K846" s="6" t="n">
        <f aca="false">INDEX(Services!$F$5:$F$85,MATCH($A846,Services!$A$5:$A$85,0))</f>
        <v>1</v>
      </c>
      <c r="L846" s="6" t="n">
        <f aca="false">IF($H846="Auto-deduct",IF($G846="Countable",ROUNDUP($J846*IF($I846="Y",$K846,1),0),ROUND($J846*IF($I846="Y",$K846,1),1)),$J846)</f>
        <v>4</v>
      </c>
      <c r="M846" s="6" t="str">
        <f aca="false">INDEX(Items!$E$5:$E$62,MATCH($E846,Items!$A$5:$A$62,0))</f>
        <v>sheet</v>
      </c>
      <c r="N846" s="6" t="n">
        <f aca="false">ROUND($L846/INDEX(Items!$F$5:$F$62,MATCH($E846,Items!$A$5:$A$62,0)),4)</f>
        <v>0.02</v>
      </c>
      <c r="O846" s="6"/>
    </row>
    <row r="847" customFormat="false" ht="15" hidden="false" customHeight="false" outlineLevel="0" collapsed="false">
      <c r="A847" s="6" t="n">
        <v>81</v>
      </c>
      <c r="B847" s="6" t="s">
        <v>396</v>
      </c>
      <c r="C847" s="6" t="s">
        <v>384</v>
      </c>
      <c r="D847" s="6" t="s">
        <v>159</v>
      </c>
      <c r="E847" s="6" t="s">
        <v>52</v>
      </c>
      <c r="F847" s="6" t="str">
        <f aca="false">INDEX(Items!$B$5:$B$62,MATCH($E847,Items!$A$5:$A$62,0))</f>
        <v>DISPOSABLES &amp; CLINIC CONSUMABLES</v>
      </c>
      <c r="G847" s="6" t="str">
        <f aca="false">INDEX(Items!$C$5:$C$62,MATCH($E847,Items!$A$5:$A$62,0))</f>
        <v>Countable</v>
      </c>
      <c r="H847" s="6" t="s">
        <v>161</v>
      </c>
      <c r="I847" s="6" t="s">
        <v>160</v>
      </c>
      <c r="J847" s="6" t="n">
        <f aca="false">SUMIFS(Kits!$C$5:$C$163,Kits!$A$5:$A$163,$D847,Kits!$B$5:$B$163,$E847)</f>
        <v>1</v>
      </c>
      <c r="K847" s="6" t="n">
        <f aca="false">INDEX(Services!$F$5:$F$85,MATCH($A847,Services!$A$5:$A$85,0))</f>
        <v>1</v>
      </c>
      <c r="L847" s="6" t="n">
        <f aca="false">IF($H847="Auto-deduct",IF($G847="Countable",ROUNDUP($J847*IF($I847="Y",$K847,1),0),ROUND($J847*IF($I847="Y",$K847,1),1)),$J847)</f>
        <v>1</v>
      </c>
      <c r="M847" s="6" t="str">
        <f aca="false">INDEX(Items!$E$5:$E$62,MATCH($E847,Items!$A$5:$A$62,0))</f>
        <v>pc</v>
      </c>
      <c r="N847" s="6" t="n">
        <f aca="false">ROUND($L847/INDEX(Items!$F$5:$F$62,MATCH($E847,Items!$A$5:$A$62,0)),4)</f>
        <v>1</v>
      </c>
      <c r="O847" s="6"/>
    </row>
    <row r="848" customFormat="false" ht="15" hidden="false" customHeight="false" outlineLevel="0" collapsed="false">
      <c r="A848" s="6" t="n">
        <v>81</v>
      </c>
      <c r="B848" s="6" t="s">
        <v>396</v>
      </c>
      <c r="C848" s="6" t="s">
        <v>384</v>
      </c>
      <c r="D848" s="6" t="s">
        <v>159</v>
      </c>
      <c r="E848" s="6" t="s">
        <v>53</v>
      </c>
      <c r="F848" s="6" t="str">
        <f aca="false">INDEX(Items!$B$5:$B$62,MATCH($E848,Items!$A$5:$A$62,0))</f>
        <v>DISPOSABLES &amp; CLINIC CONSUMABLES</v>
      </c>
      <c r="G848" s="6" t="str">
        <f aca="false">INDEX(Items!$C$5:$C$62,MATCH($E848,Items!$A$5:$A$62,0))</f>
        <v>Countable</v>
      </c>
      <c r="H848" s="6" t="s">
        <v>161</v>
      </c>
      <c r="I848" s="6" t="s">
        <v>160</v>
      </c>
      <c r="J848" s="6" t="n">
        <f aca="false">SUMIFS(Kits!$C$5:$C$163,Kits!$A$5:$A$163,$D848,Kits!$B$5:$B$163,$E848)</f>
        <v>1</v>
      </c>
      <c r="K848" s="6" t="n">
        <f aca="false">INDEX(Services!$F$5:$F$85,MATCH($A848,Services!$A$5:$A$85,0))</f>
        <v>1</v>
      </c>
      <c r="L848" s="6" t="n">
        <f aca="false">IF($H848="Auto-deduct",IF($G848="Countable",ROUNDUP($J848*IF($I848="Y",$K848,1),0),ROUND($J848*IF($I848="Y",$K848,1),1)),$J848)</f>
        <v>1</v>
      </c>
      <c r="M848" s="6" t="str">
        <f aca="false">INDEX(Items!$E$5:$E$62,MATCH($E848,Items!$A$5:$A$62,0))</f>
        <v>pair</v>
      </c>
      <c r="N848" s="6" t="n">
        <f aca="false">ROUND($L848/INDEX(Items!$F$5:$F$62,MATCH($E848,Items!$A$5:$A$62,0)),4)</f>
        <v>1</v>
      </c>
      <c r="O848" s="6"/>
    </row>
    <row r="849" customFormat="false" ht="15" hidden="false" customHeight="false" outlineLevel="0" collapsed="false">
      <c r="A849" s="6" t="n">
        <v>81</v>
      </c>
      <c r="B849" s="6" t="s">
        <v>396</v>
      </c>
      <c r="C849" s="6" t="s">
        <v>384</v>
      </c>
      <c r="D849" s="6" t="s">
        <v>159</v>
      </c>
      <c r="E849" s="6" t="s">
        <v>88</v>
      </c>
      <c r="F849" s="6" t="str">
        <f aca="false">INDEX(Items!$B$5:$B$62,MATCH($E849,Items!$A$5:$A$62,0))</f>
        <v>DISPOSABLES &amp; CLINIC CONSUMABLES</v>
      </c>
      <c r="G849" s="6" t="str">
        <f aca="false">INDEX(Items!$C$5:$C$62,MATCH($E849,Items!$A$5:$A$62,0))</f>
        <v>Bulk</v>
      </c>
      <c r="H849" s="6" t="s">
        <v>161</v>
      </c>
      <c r="I849" s="6" t="s">
        <v>160</v>
      </c>
      <c r="J849" s="6" t="n">
        <f aca="false">SUMIFS(Kits!$C$5:$C$163,Kits!$A$5:$A$163,$D849,Kits!$B$5:$B$163,$E849)</f>
        <v>5</v>
      </c>
      <c r="K849" s="6" t="n">
        <f aca="false">INDEX(Services!$F$5:$F$85,MATCH($A849,Services!$A$5:$A$85,0))</f>
        <v>1</v>
      </c>
      <c r="L849" s="6" t="n">
        <f aca="false">IF($H849="Auto-deduct",IF($G849="Countable",ROUNDUP($J849*IF($I849="Y",$K849,1),0),ROUND($J849*IF($I849="Y",$K849,1),1)),$J849)</f>
        <v>5</v>
      </c>
      <c r="M849" s="6" t="str">
        <f aca="false">INDEX(Items!$E$5:$E$62,MATCH($E849,Items!$A$5:$A$62,0))</f>
        <v>mL</v>
      </c>
      <c r="N849" s="6" t="n">
        <f aca="false">ROUND($L849/INDEX(Items!$F$5:$F$62,MATCH($E849,Items!$A$5:$A$62,0)),4)</f>
        <v>0.01</v>
      </c>
      <c r="O849" s="6"/>
    </row>
    <row r="850" customFormat="false" ht="15" hidden="false" customHeight="false" outlineLevel="0" collapsed="false">
      <c r="A850" s="6" t="n">
        <v>81</v>
      </c>
      <c r="B850" s="6" t="s">
        <v>396</v>
      </c>
      <c r="C850" s="6" t="s">
        <v>384</v>
      </c>
      <c r="D850" s="6" t="s">
        <v>243</v>
      </c>
      <c r="E850" s="6" t="s">
        <v>86</v>
      </c>
      <c r="F850" s="6" t="str">
        <f aca="false">INDEX(Items!$B$5:$B$62,MATCH($E850,Items!$A$5:$A$62,0))</f>
        <v>DISPOSABLES &amp; CLINIC CONSUMABLES</v>
      </c>
      <c r="G850" s="6" t="str">
        <f aca="false">INDEX(Items!$C$5:$C$62,MATCH($E850,Items!$A$5:$A$62,0))</f>
        <v>Bulk</v>
      </c>
      <c r="H850" s="6" t="s">
        <v>161</v>
      </c>
      <c r="I850" s="6" t="s">
        <v>191</v>
      </c>
      <c r="J850" s="6" t="n">
        <f aca="false">SUMIFS(Kits!$C$5:$C$163,Kits!$A$5:$A$163,$D850,Kits!$B$5:$B$163,$E850)</f>
        <v>3</v>
      </c>
      <c r="K850" s="6" t="n">
        <f aca="false">INDEX(Services!$F$5:$F$85,MATCH($A850,Services!$A$5:$A$85,0))</f>
        <v>1</v>
      </c>
      <c r="L850" s="6" t="n">
        <f aca="false">IF($H850="Auto-deduct",IF($G850="Countable",ROUNDUP($J850*IF($I850="Y",$K850,1),0),ROUND($J850*IF($I850="Y",$K850,1),1)),$J850)</f>
        <v>3</v>
      </c>
      <c r="M850" s="6" t="str">
        <f aca="false">INDEX(Items!$E$5:$E$62,MATCH($E850,Items!$A$5:$A$62,0))</f>
        <v>pc</v>
      </c>
      <c r="N850" s="6" t="n">
        <f aca="false">ROUND($L850/INDEX(Items!$F$5:$F$62,MATCH($E850,Items!$A$5:$A$62,0)),4)</f>
        <v>0.0375</v>
      </c>
      <c r="O850" s="6"/>
    </row>
    <row r="851" customFormat="false" ht="15" hidden="false" customHeight="false" outlineLevel="0" collapsed="false">
      <c r="A851" s="6" t="n">
        <v>81</v>
      </c>
      <c r="B851" s="6" t="s">
        <v>396</v>
      </c>
      <c r="C851" s="6" t="s">
        <v>384</v>
      </c>
      <c r="D851" s="6" t="s">
        <v>243</v>
      </c>
      <c r="E851" s="6" t="s">
        <v>88</v>
      </c>
      <c r="F851" s="6" t="str">
        <f aca="false">INDEX(Items!$B$5:$B$62,MATCH($E851,Items!$A$5:$A$62,0))</f>
        <v>DISPOSABLES &amp; CLINIC CONSUMABLES</v>
      </c>
      <c r="G851" s="6" t="str">
        <f aca="false">INDEX(Items!$C$5:$C$62,MATCH($E851,Items!$A$5:$A$62,0))</f>
        <v>Bulk</v>
      </c>
      <c r="H851" s="6" t="s">
        <v>161</v>
      </c>
      <c r="I851" s="6" t="s">
        <v>191</v>
      </c>
      <c r="J851" s="6" t="n">
        <f aca="false">SUMIFS(Kits!$C$5:$C$163,Kits!$A$5:$A$163,$D851,Kits!$B$5:$B$163,$E851)</f>
        <v>10</v>
      </c>
      <c r="K851" s="6" t="n">
        <f aca="false">INDEX(Services!$F$5:$F$85,MATCH($A851,Services!$A$5:$A$85,0))</f>
        <v>1</v>
      </c>
      <c r="L851" s="6" t="n">
        <f aca="false">IF($H851="Auto-deduct",IF($G851="Countable",ROUNDUP($J851*IF($I851="Y",$K851,1),0),ROUND($J851*IF($I851="Y",$K851,1),1)),$J851)</f>
        <v>10</v>
      </c>
      <c r="M851" s="6" t="str">
        <f aca="false">INDEX(Items!$E$5:$E$62,MATCH($E851,Items!$A$5:$A$62,0))</f>
        <v>mL</v>
      </c>
      <c r="N851" s="6" t="n">
        <f aca="false">ROUND($L851/INDEX(Items!$F$5:$F$62,MATCH($E851,Items!$A$5:$A$62,0)),4)</f>
        <v>0.02</v>
      </c>
      <c r="O851" s="6"/>
    </row>
    <row r="852" customFormat="false" ht="15" hidden="false" customHeight="false" outlineLevel="0" collapsed="false">
      <c r="A852" s="6" t="n">
        <v>81</v>
      </c>
      <c r="B852" s="6" t="s">
        <v>396</v>
      </c>
      <c r="C852" s="6" t="s">
        <v>384</v>
      </c>
      <c r="D852" s="6" t="s">
        <v>249</v>
      </c>
      <c r="E852" s="6" t="s">
        <v>112</v>
      </c>
      <c r="F852" s="6" t="str">
        <f aca="false">INDEX(Items!$B$5:$B$62,MATCH($E852,Items!$A$5:$A$62,0))</f>
        <v>FACIAL TREATMENT PRODUCTS (PROFESSIONAL USE)</v>
      </c>
      <c r="G852" s="6" t="str">
        <f aca="false">INDEX(Items!$C$5:$C$62,MATCH($E852,Items!$A$5:$A$62,0))</f>
        <v>Bulk</v>
      </c>
      <c r="H852" s="6" t="s">
        <v>161</v>
      </c>
      <c r="I852" s="6" t="s">
        <v>191</v>
      </c>
      <c r="J852" s="6" t="n">
        <f aca="false">SUMIFS(Kits!$C$5:$C$163,Kits!$A$5:$A$163,$D852,Kits!$B$5:$B$163,$E852)</f>
        <v>20</v>
      </c>
      <c r="K852" s="6" t="n">
        <f aca="false">INDEX(Services!$F$5:$F$85,MATCH($A852,Services!$A$5:$A$85,0))</f>
        <v>1</v>
      </c>
      <c r="L852" s="6" t="n">
        <f aca="false">IF($H852="Auto-deduct",IF($G852="Countable",ROUNDUP($J852*IF($I852="Y",$K852,1),0),ROUND($J852*IF($I852="Y",$K852,1),1)),$J852)</f>
        <v>20</v>
      </c>
      <c r="M852" s="6" t="str">
        <f aca="false">INDEX(Items!$E$5:$E$62,MATCH($E852,Items!$A$5:$A$62,0))</f>
        <v>g</v>
      </c>
      <c r="N852" s="6" t="n">
        <f aca="false">ROUND($L852/INDEX(Items!$F$5:$F$62,MATCH($E852,Items!$A$5:$A$62,0)),4)</f>
        <v>0.04</v>
      </c>
      <c r="O852" s="6"/>
    </row>
    <row r="853" customFormat="false" ht="15" hidden="false" customHeight="false" outlineLevel="0" collapsed="false">
      <c r="A853" s="6" t="n">
        <v>81</v>
      </c>
      <c r="B853" s="6" t="s">
        <v>396</v>
      </c>
      <c r="C853" s="6" t="s">
        <v>384</v>
      </c>
      <c r="D853" s="6" t="s">
        <v>249</v>
      </c>
      <c r="E853" s="6" t="s">
        <v>114</v>
      </c>
      <c r="F853" s="6" t="str">
        <f aca="false">INDEX(Items!$B$5:$B$62,MATCH($E853,Items!$A$5:$A$62,0))</f>
        <v>FACIAL TREATMENT PRODUCTS (PROFESSIONAL USE)</v>
      </c>
      <c r="G853" s="6" t="str">
        <f aca="false">INDEX(Items!$C$5:$C$62,MATCH($E853,Items!$A$5:$A$62,0))</f>
        <v>Bulk</v>
      </c>
      <c r="H853" s="6" t="s">
        <v>161</v>
      </c>
      <c r="I853" s="6" t="s">
        <v>191</v>
      </c>
      <c r="J853" s="6" t="n">
        <f aca="false">SUMIFS(Kits!$C$5:$C$163,Kits!$A$5:$A$163,$D853,Kits!$B$5:$B$163,$E853)</f>
        <v>30</v>
      </c>
      <c r="K853" s="6" t="n">
        <f aca="false">INDEX(Services!$F$5:$F$85,MATCH($A853,Services!$A$5:$A$85,0))</f>
        <v>1</v>
      </c>
      <c r="L853" s="6" t="n">
        <f aca="false">IF($H853="Auto-deduct",IF($G853="Countable",ROUNDUP($J853*IF($I853="Y",$K853,1),0),ROUND($J853*IF($I853="Y",$K853,1),1)),$J853)</f>
        <v>30</v>
      </c>
      <c r="M853" s="6" t="str">
        <f aca="false">INDEX(Items!$E$5:$E$62,MATCH($E853,Items!$A$5:$A$62,0))</f>
        <v>mL</v>
      </c>
      <c r="N853" s="6" t="n">
        <f aca="false">ROUND($L853/INDEX(Items!$F$5:$F$62,MATCH($E853,Items!$A$5:$A$62,0)),4)</f>
        <v>0.03</v>
      </c>
      <c r="O853" s="6"/>
    </row>
    <row r="854" customFormat="false" ht="15" hidden="false" customHeight="false" outlineLevel="0" collapsed="false">
      <c r="A854" s="6" t="n">
        <v>81</v>
      </c>
      <c r="B854" s="6" t="s">
        <v>396</v>
      </c>
      <c r="C854" s="6" t="s">
        <v>384</v>
      </c>
      <c r="D854" s="6" t="s">
        <v>249</v>
      </c>
      <c r="E854" s="6" t="s">
        <v>67</v>
      </c>
      <c r="F854" s="6" t="str">
        <f aca="false">INDEX(Items!$B$5:$B$62,MATCH($E854,Items!$A$5:$A$62,0))</f>
        <v>DISPOSABLES &amp; CLINIC CONSUMABLES</v>
      </c>
      <c r="G854" s="6" t="str">
        <f aca="false">INDEX(Items!$C$5:$C$62,MATCH($E854,Items!$A$5:$A$62,0))</f>
        <v>Bulk</v>
      </c>
      <c r="H854" s="6" t="s">
        <v>161</v>
      </c>
      <c r="I854" s="6" t="s">
        <v>191</v>
      </c>
      <c r="J854" s="6" t="n">
        <f aca="false">SUMIFS(Kits!$C$5:$C$163,Kits!$A$5:$A$163,$D854,Kits!$B$5:$B$163,$E854)</f>
        <v>12</v>
      </c>
      <c r="K854" s="6" t="n">
        <f aca="false">INDEX(Services!$F$5:$F$85,MATCH($A854,Services!$A$5:$A$85,0))</f>
        <v>1</v>
      </c>
      <c r="L854" s="6" t="n">
        <f aca="false">IF($H854="Auto-deduct",IF($G854="Countable",ROUNDUP($J854*IF($I854="Y",$K854,1),0),ROUND($J854*IF($I854="Y",$K854,1),1)),$J854)</f>
        <v>12</v>
      </c>
      <c r="M854" s="6" t="str">
        <f aca="false">INDEX(Items!$E$5:$E$62,MATCH($E854,Items!$A$5:$A$62,0))</f>
        <v>sheet</v>
      </c>
      <c r="N854" s="6" t="n">
        <f aca="false">ROUND($L854/INDEX(Items!$F$5:$F$62,MATCH($E854,Items!$A$5:$A$62,0)),4)</f>
        <v>0.12</v>
      </c>
      <c r="O854" s="6"/>
    </row>
    <row r="855" customFormat="false" ht="15" hidden="false" customHeight="false" outlineLevel="0" collapsed="false">
      <c r="A855" s="6" t="n">
        <v>81</v>
      </c>
      <c r="B855" s="6" t="s">
        <v>396</v>
      </c>
      <c r="C855" s="6" t="s">
        <v>384</v>
      </c>
      <c r="D855" s="6" t="s">
        <v>249</v>
      </c>
      <c r="E855" s="6" t="s">
        <v>86</v>
      </c>
      <c r="F855" s="6" t="str">
        <f aca="false">INDEX(Items!$B$5:$B$62,MATCH($E855,Items!$A$5:$A$62,0))</f>
        <v>DISPOSABLES &amp; CLINIC CONSUMABLES</v>
      </c>
      <c r="G855" s="6" t="str">
        <f aca="false">INDEX(Items!$C$5:$C$62,MATCH($E855,Items!$A$5:$A$62,0))</f>
        <v>Bulk</v>
      </c>
      <c r="H855" s="6" t="s">
        <v>161</v>
      </c>
      <c r="I855" s="6" t="s">
        <v>160</v>
      </c>
      <c r="J855" s="6" t="n">
        <f aca="false">SUMIFS(Kits!$C$5:$C$163,Kits!$A$5:$A$163,$D855,Kits!$B$5:$B$163,$E855)</f>
        <v>3</v>
      </c>
      <c r="K855" s="6" t="n">
        <f aca="false">INDEX(Services!$F$5:$F$85,MATCH($A855,Services!$A$5:$A$85,0))</f>
        <v>1</v>
      </c>
      <c r="L855" s="6" t="n">
        <f aca="false">IF($H855="Auto-deduct",IF($G855="Countable",ROUNDUP($J855*IF($I855="Y",$K855,1),0),ROUND($J855*IF($I855="Y",$K855,1),1)),$J855)</f>
        <v>3</v>
      </c>
      <c r="M855" s="6" t="str">
        <f aca="false">INDEX(Items!$E$5:$E$62,MATCH($E855,Items!$A$5:$A$62,0))</f>
        <v>pc</v>
      </c>
      <c r="N855" s="6" t="n">
        <f aca="false">ROUND($L855/INDEX(Items!$F$5:$F$62,MATCH($E855,Items!$A$5:$A$62,0)),4)</f>
        <v>0.0375</v>
      </c>
      <c r="O855" s="6"/>
    </row>
    <row r="856" customFormat="false" ht="15" hidden="false" customHeight="false" outlineLevel="0" collapsed="false">
      <c r="A856" s="6" t="n">
        <v>81</v>
      </c>
      <c r="B856" s="6" t="s">
        <v>396</v>
      </c>
      <c r="C856" s="6" t="s">
        <v>384</v>
      </c>
      <c r="D856" s="6" t="s">
        <v>249</v>
      </c>
      <c r="E856" s="6" t="s">
        <v>58</v>
      </c>
      <c r="F856" s="6" t="str">
        <f aca="false">INDEX(Items!$B$5:$B$62,MATCH($E856,Items!$A$5:$A$62,0))</f>
        <v>DISPOSABLES &amp; CLINIC CONSUMABLES</v>
      </c>
      <c r="G856" s="6" t="str">
        <f aca="false">INDEX(Items!$C$5:$C$62,MATCH($E856,Items!$A$5:$A$62,0))</f>
        <v>Bulk</v>
      </c>
      <c r="H856" s="6" t="s">
        <v>161</v>
      </c>
      <c r="I856" s="6" t="s">
        <v>160</v>
      </c>
      <c r="J856" s="6" t="n">
        <f aca="false">SUMIFS(Kits!$C$5:$C$163,Kits!$A$5:$A$163,$D856,Kits!$B$5:$B$163,$E856)</f>
        <v>4</v>
      </c>
      <c r="K856" s="6" t="n">
        <f aca="false">INDEX(Services!$F$5:$F$85,MATCH($A856,Services!$A$5:$A$85,0))</f>
        <v>1</v>
      </c>
      <c r="L856" s="6" t="n">
        <f aca="false">IF($H856="Auto-deduct",IF($G856="Countable",ROUNDUP($J856*IF($I856="Y",$K856,1),0),ROUND($J856*IF($I856="Y",$K856,1),1)),$J856)</f>
        <v>4</v>
      </c>
      <c r="M856" s="6" t="str">
        <f aca="false">INDEX(Items!$E$5:$E$62,MATCH($E856,Items!$A$5:$A$62,0))</f>
        <v>sheet</v>
      </c>
      <c r="N856" s="6" t="n">
        <f aca="false">ROUND($L856/INDEX(Items!$F$5:$F$62,MATCH($E856,Items!$A$5:$A$62,0)),4)</f>
        <v>0.02</v>
      </c>
      <c r="O856" s="6"/>
    </row>
  </sheetData>
  <autoFilter ref="A4:O8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61" min="4" style="0" width="5.2"/>
  </cols>
  <sheetData>
    <row r="1" customFormat="false" ht="17.35" hidden="false" customHeight="false" outlineLevel="0" collapsed="false">
      <c r="A1" s="1" t="s">
        <v>406</v>
      </c>
    </row>
    <row r="2" customFormat="false" ht="15" hidden="false" customHeight="false" outlineLevel="0" collapsed="false">
      <c r="A2" s="4" t="s">
        <v>407</v>
      </c>
    </row>
    <row r="3" customFormat="false" ht="60" hidden="false" customHeight="true" outlineLevel="0" collapsed="false">
      <c r="D3" s="10" t="s">
        <v>30</v>
      </c>
      <c r="E3" s="10" t="s">
        <v>30</v>
      </c>
      <c r="F3" s="10" t="s">
        <v>30</v>
      </c>
      <c r="G3" s="10" t="s">
        <v>30</v>
      </c>
      <c r="H3" s="10" t="s">
        <v>30</v>
      </c>
      <c r="I3" s="10" t="s">
        <v>30</v>
      </c>
      <c r="J3" s="10" t="s">
        <v>30</v>
      </c>
      <c r="K3" s="10" t="s">
        <v>30</v>
      </c>
      <c r="L3" s="10" t="s">
        <v>30</v>
      </c>
      <c r="M3" s="10" t="s">
        <v>30</v>
      </c>
      <c r="N3" s="10" t="s">
        <v>30</v>
      </c>
      <c r="O3" s="10" t="s">
        <v>51</v>
      </c>
      <c r="P3" s="10" t="s">
        <v>51</v>
      </c>
      <c r="Q3" s="10" t="s">
        <v>51</v>
      </c>
      <c r="R3" s="10" t="s">
        <v>51</v>
      </c>
      <c r="S3" s="10" t="s">
        <v>51</v>
      </c>
      <c r="T3" s="10" t="s">
        <v>51</v>
      </c>
      <c r="U3" s="10" t="s">
        <v>51</v>
      </c>
      <c r="V3" s="10" t="s">
        <v>51</v>
      </c>
      <c r="W3" s="10" t="s">
        <v>51</v>
      </c>
      <c r="X3" s="10" t="s">
        <v>51</v>
      </c>
      <c r="Y3" s="10" t="s">
        <v>51</v>
      </c>
      <c r="Z3" s="10" t="s">
        <v>51</v>
      </c>
      <c r="AA3" s="10" t="s">
        <v>51</v>
      </c>
      <c r="AB3" s="10" t="s">
        <v>51</v>
      </c>
      <c r="AC3" s="10" t="s">
        <v>51</v>
      </c>
      <c r="AD3" s="10" t="s">
        <v>51</v>
      </c>
      <c r="AE3" s="10" t="s">
        <v>93</v>
      </c>
      <c r="AF3" s="10" t="s">
        <v>93</v>
      </c>
      <c r="AG3" s="10" t="s">
        <v>93</v>
      </c>
      <c r="AH3" s="10" t="s">
        <v>93</v>
      </c>
      <c r="AI3" s="10" t="s">
        <v>93</v>
      </c>
      <c r="AJ3" s="10" t="s">
        <v>93</v>
      </c>
      <c r="AK3" s="10" t="s">
        <v>93</v>
      </c>
      <c r="AL3" s="10" t="s">
        <v>105</v>
      </c>
      <c r="AM3" s="10" t="s">
        <v>105</v>
      </c>
      <c r="AN3" s="10" t="s">
        <v>105</v>
      </c>
      <c r="AO3" s="10" t="s">
        <v>105</v>
      </c>
      <c r="AP3" s="10" t="s">
        <v>105</v>
      </c>
      <c r="AQ3" s="10" t="s">
        <v>105</v>
      </c>
      <c r="AR3" s="10" t="s">
        <v>105</v>
      </c>
      <c r="AS3" s="10" t="s">
        <v>105</v>
      </c>
      <c r="AT3" s="10" t="s">
        <v>105</v>
      </c>
      <c r="AU3" s="10" t="s">
        <v>122</v>
      </c>
      <c r="AV3" s="10" t="s">
        <v>122</v>
      </c>
      <c r="AW3" s="10" t="s">
        <v>122</v>
      </c>
      <c r="AX3" s="10" t="s">
        <v>122</v>
      </c>
      <c r="AY3" s="10" t="s">
        <v>122</v>
      </c>
      <c r="AZ3" s="10" t="s">
        <v>122</v>
      </c>
      <c r="BA3" s="10" t="s">
        <v>122</v>
      </c>
      <c r="BB3" s="10" t="s">
        <v>122</v>
      </c>
      <c r="BC3" s="10" t="s">
        <v>140</v>
      </c>
      <c r="BD3" s="10" t="s">
        <v>140</v>
      </c>
      <c r="BE3" s="10" t="s">
        <v>140</v>
      </c>
      <c r="BF3" s="10" t="s">
        <v>140</v>
      </c>
      <c r="BG3" s="10" t="s">
        <v>140</v>
      </c>
      <c r="BH3" s="10" t="s">
        <v>148</v>
      </c>
      <c r="BI3" s="10" t="s">
        <v>148</v>
      </c>
    </row>
    <row r="4" customFormat="false" ht="15" hidden="false" customHeight="false" outlineLevel="0" collapsed="false">
      <c r="C4" s="2" t="s">
        <v>408</v>
      </c>
      <c r="D4" s="11" t="n">
        <f aca="false">COUNTIF(D6:D86,"&gt;0")</f>
        <v>2</v>
      </c>
      <c r="E4" s="11" t="n">
        <f aca="false">COUNTIF(E6:E86,"&gt;0")</f>
        <v>7</v>
      </c>
      <c r="F4" s="11" t="n">
        <f aca="false">COUNTIF(F6:F86,"&gt;0")</f>
        <v>8</v>
      </c>
      <c r="G4" s="11" t="n">
        <f aca="false">COUNTIF(G6:G86,"&gt;0")</f>
        <v>2</v>
      </c>
      <c r="H4" s="11" t="n">
        <f aca="false">COUNTIF(H6:H86,"&gt;0")</f>
        <v>6</v>
      </c>
      <c r="I4" s="11" t="n">
        <f aca="false">COUNTIF(I6:I86,"&gt;0")</f>
        <v>6</v>
      </c>
      <c r="J4" s="11" t="n">
        <f aca="false">COUNTIF(J6:J86,"&gt;0")</f>
        <v>6</v>
      </c>
      <c r="K4" s="11" t="n">
        <f aca="false">COUNTIF(K6:K86,"&gt;0")</f>
        <v>2</v>
      </c>
      <c r="L4" s="11" t="n">
        <f aca="false">COUNTIF(L6:L86,"&gt;0")</f>
        <v>6</v>
      </c>
      <c r="M4" s="11" t="n">
        <f aca="false">COUNTIF(M6:M86,"&gt;0")</f>
        <v>10</v>
      </c>
      <c r="N4" s="11" t="n">
        <f aca="false">COUNTIF(N6:N86,"&gt;0")</f>
        <v>6</v>
      </c>
      <c r="O4" s="11" t="n">
        <f aca="false">COUNTIF(O6:O86,"&gt;0")</f>
        <v>25</v>
      </c>
      <c r="P4" s="11" t="n">
        <f aca="false">COUNTIF(P6:P86,"&gt;0")</f>
        <v>77</v>
      </c>
      <c r="Q4" s="11" t="n">
        <f aca="false">COUNTIF(Q6:Q86,"&gt;0")</f>
        <v>77</v>
      </c>
      <c r="R4" s="11" t="n">
        <f aca="false">COUNTIF(R6:R86,"&gt;0")</f>
        <v>0</v>
      </c>
      <c r="S4" s="11" t="n">
        <f aca="false">COUNTIF(S6:S86,"&gt;0")</f>
        <v>64</v>
      </c>
      <c r="T4" s="11" t="n">
        <f aca="false">COUNTIF(T6:T86,"&gt;0")</f>
        <v>0</v>
      </c>
      <c r="U4" s="11" t="n">
        <f aca="false">COUNTIF(U6:U86,"&gt;0")</f>
        <v>12</v>
      </c>
      <c r="V4" s="11" t="n">
        <f aca="false">COUNTIF(V6:V86,"&gt;0")</f>
        <v>44</v>
      </c>
      <c r="W4" s="11" t="n">
        <f aca="false">COUNTIF(W6:W86,"&gt;0")</f>
        <v>38</v>
      </c>
      <c r="X4" s="11" t="n">
        <f aca="false">COUNTIF(X6:X86,"&gt;0")</f>
        <v>9</v>
      </c>
      <c r="Y4" s="11" t="n">
        <f aca="false">COUNTIF(Y6:Y86,"&gt;0")</f>
        <v>14</v>
      </c>
      <c r="Z4" s="11" t="n">
        <f aca="false">COUNTIF(Z6:Z86,"&gt;0")</f>
        <v>15</v>
      </c>
      <c r="AA4" s="11" t="n">
        <f aca="false">COUNTIF(AA6:AA86,"&gt;0")</f>
        <v>22</v>
      </c>
      <c r="AB4" s="11" t="n">
        <f aca="false">COUNTIF(AB6:AB86,"&gt;0")</f>
        <v>19</v>
      </c>
      <c r="AC4" s="11" t="n">
        <f aca="false">COUNTIF(AC6:AC86,"&gt;0")</f>
        <v>61</v>
      </c>
      <c r="AD4" s="11" t="n">
        <f aca="false">COUNTIF(AD6:AD86,"&gt;0")</f>
        <v>77</v>
      </c>
      <c r="AE4" s="11" t="n">
        <f aca="false">COUNTIF(AE6:AE86,"&gt;0")</f>
        <v>11</v>
      </c>
      <c r="AF4" s="11" t="n">
        <f aca="false">COUNTIF(AF6:AF86,"&gt;0")</f>
        <v>15</v>
      </c>
      <c r="AG4" s="11" t="n">
        <f aca="false">COUNTIF(AG6:AG86,"&gt;0")</f>
        <v>2</v>
      </c>
      <c r="AH4" s="11" t="n">
        <f aca="false">COUNTIF(AH6:AH86,"&gt;0")</f>
        <v>2</v>
      </c>
      <c r="AI4" s="11" t="n">
        <f aca="false">COUNTIF(AI6:AI86,"&gt;0")</f>
        <v>11</v>
      </c>
      <c r="AJ4" s="11" t="n">
        <f aca="false">COUNTIF(AJ6:AJ86,"&gt;0")</f>
        <v>3</v>
      </c>
      <c r="AK4" s="11" t="n">
        <f aca="false">COUNTIF(AK6:AK86,"&gt;0")</f>
        <v>0</v>
      </c>
      <c r="AL4" s="11" t="n">
        <f aca="false">COUNTIF(AL6:AL86,"&gt;0")</f>
        <v>1</v>
      </c>
      <c r="AM4" s="11" t="n">
        <f aca="false">COUNTIF(AM6:AM86,"&gt;0")</f>
        <v>1</v>
      </c>
      <c r="AN4" s="11" t="n">
        <f aca="false">COUNTIF(AN6:AN86,"&gt;0")</f>
        <v>7</v>
      </c>
      <c r="AO4" s="11" t="n">
        <f aca="false">COUNTIF(AO6:AO86,"&gt;0")</f>
        <v>14</v>
      </c>
      <c r="AP4" s="11" t="n">
        <f aca="false">COUNTIF(AP6:AP86,"&gt;0")</f>
        <v>9</v>
      </c>
      <c r="AQ4" s="11" t="n">
        <f aca="false">COUNTIF(AQ6:AQ86,"&gt;0")</f>
        <v>19</v>
      </c>
      <c r="AR4" s="11" t="n">
        <f aca="false">COUNTIF(AR6:AR86,"&gt;0")</f>
        <v>1</v>
      </c>
      <c r="AS4" s="11" t="n">
        <f aca="false">COUNTIF(AS6:AS86,"&gt;0")</f>
        <v>1</v>
      </c>
      <c r="AT4" s="11" t="n">
        <f aca="false">COUNTIF(AT6:AT86,"&gt;0")</f>
        <v>3</v>
      </c>
      <c r="AU4" s="11" t="n">
        <f aca="false">COUNTIF(AU6:AU86,"&gt;0")</f>
        <v>0</v>
      </c>
      <c r="AV4" s="11" t="n">
        <f aca="false">COUNTIF(AV6:AV86,"&gt;0")</f>
        <v>0</v>
      </c>
      <c r="AW4" s="11" t="n">
        <f aca="false">COUNTIF(AW6:AW86,"&gt;0")</f>
        <v>0</v>
      </c>
      <c r="AX4" s="11" t="n">
        <f aca="false">COUNTIF(AX6:AX86,"&gt;0")</f>
        <v>0</v>
      </c>
      <c r="AY4" s="11" t="n">
        <f aca="false">COUNTIF(AY6:AY86,"&gt;0")</f>
        <v>1</v>
      </c>
      <c r="AZ4" s="11" t="n">
        <f aca="false">COUNTIF(AZ6:AZ86,"&gt;0")</f>
        <v>0</v>
      </c>
      <c r="BA4" s="11" t="n">
        <f aca="false">COUNTIF(BA6:BA86,"&gt;0")</f>
        <v>31</v>
      </c>
      <c r="BB4" s="11" t="n">
        <f aca="false">COUNTIF(BB6:BB86,"&gt;0")</f>
        <v>0</v>
      </c>
      <c r="BC4" s="11" t="n">
        <f aca="false">COUNTIF(BC6:BC86,"&gt;0")</f>
        <v>0</v>
      </c>
      <c r="BD4" s="11" t="n">
        <f aca="false">COUNTIF(BD6:BD86,"&gt;0")</f>
        <v>0</v>
      </c>
      <c r="BE4" s="11" t="n">
        <f aca="false">COUNTIF(BE6:BE86,"&gt;0")</f>
        <v>0</v>
      </c>
      <c r="BF4" s="11" t="n">
        <f aca="false">COUNTIF(BF6:BF86,"&gt;0")</f>
        <v>0</v>
      </c>
      <c r="BG4" s="11" t="n">
        <f aca="false">COUNTIF(BG6:BG86,"&gt;0")</f>
        <v>0</v>
      </c>
      <c r="BH4" s="11" t="n">
        <f aca="false">COUNTIF(BH6:BH86,"&gt;0")</f>
        <v>9</v>
      </c>
      <c r="BI4" s="11" t="n">
        <f aca="false">COUNTIF(BI6:BI86,"&gt;0")</f>
        <v>11</v>
      </c>
    </row>
    <row r="5" customFormat="false" ht="120" hidden="false" customHeight="true" outlineLevel="0" collapsed="false">
      <c r="A5" s="12" t="s">
        <v>253</v>
      </c>
      <c r="B5" s="12" t="s">
        <v>254</v>
      </c>
      <c r="C5" s="12" t="s">
        <v>255</v>
      </c>
      <c r="D5" s="13" t="s">
        <v>29</v>
      </c>
      <c r="E5" s="13" t="s">
        <v>34</v>
      </c>
      <c r="F5" s="13" t="s">
        <v>35</v>
      </c>
      <c r="G5" s="13" t="s">
        <v>36</v>
      </c>
      <c r="H5" s="13" t="s">
        <v>37</v>
      </c>
      <c r="I5" s="13" t="s">
        <v>39</v>
      </c>
      <c r="J5" s="13" t="s">
        <v>40</v>
      </c>
      <c r="K5" s="13" t="s">
        <v>42</v>
      </c>
      <c r="L5" s="13" t="s">
        <v>44</v>
      </c>
      <c r="M5" s="13" t="s">
        <v>46</v>
      </c>
      <c r="N5" s="13" t="s">
        <v>49</v>
      </c>
      <c r="O5" s="13" t="s">
        <v>50</v>
      </c>
      <c r="P5" s="13" t="s">
        <v>52</v>
      </c>
      <c r="Q5" s="13" t="s">
        <v>53</v>
      </c>
      <c r="R5" s="13" t="s">
        <v>56</v>
      </c>
      <c r="S5" s="13" t="s">
        <v>58</v>
      </c>
      <c r="T5" s="13" t="s">
        <v>63</v>
      </c>
      <c r="U5" s="13" t="s">
        <v>67</v>
      </c>
      <c r="V5" s="13" t="s">
        <v>69</v>
      </c>
      <c r="W5" s="13" t="s">
        <v>72</v>
      </c>
      <c r="X5" s="13" t="s">
        <v>74</v>
      </c>
      <c r="Y5" s="13" t="s">
        <v>76</v>
      </c>
      <c r="Z5" s="13" t="s">
        <v>79</v>
      </c>
      <c r="AA5" s="13" t="s">
        <v>81</v>
      </c>
      <c r="AB5" s="13" t="s">
        <v>84</v>
      </c>
      <c r="AC5" s="13" t="s">
        <v>86</v>
      </c>
      <c r="AD5" s="13" t="s">
        <v>88</v>
      </c>
      <c r="AE5" s="13" t="s">
        <v>92</v>
      </c>
      <c r="AF5" s="13" t="s">
        <v>95</v>
      </c>
      <c r="AG5" s="13" t="s">
        <v>96</v>
      </c>
      <c r="AH5" s="13" t="s">
        <v>97</v>
      </c>
      <c r="AI5" s="13" t="s">
        <v>98</v>
      </c>
      <c r="AJ5" s="13" t="s">
        <v>100</v>
      </c>
      <c r="AK5" s="13" t="s">
        <v>102</v>
      </c>
      <c r="AL5" s="13" t="s">
        <v>104</v>
      </c>
      <c r="AM5" s="13" t="s">
        <v>107</v>
      </c>
      <c r="AN5" s="13" t="s">
        <v>109</v>
      </c>
      <c r="AO5" s="13" t="s">
        <v>110</v>
      </c>
      <c r="AP5" s="13" t="s">
        <v>112</v>
      </c>
      <c r="AQ5" s="13" t="s">
        <v>114</v>
      </c>
      <c r="AR5" s="13" t="s">
        <v>116</v>
      </c>
      <c r="AS5" s="13" t="s">
        <v>118</v>
      </c>
      <c r="AT5" s="13" t="s">
        <v>120</v>
      </c>
      <c r="AU5" s="13" t="s">
        <v>121</v>
      </c>
      <c r="AV5" s="13" t="s">
        <v>125</v>
      </c>
      <c r="AW5" s="13" t="s">
        <v>127</v>
      </c>
      <c r="AX5" s="13" t="s">
        <v>129</v>
      </c>
      <c r="AY5" s="13" t="s">
        <v>132</v>
      </c>
      <c r="AZ5" s="13" t="s">
        <v>134</v>
      </c>
      <c r="BA5" s="13" t="s">
        <v>135</v>
      </c>
      <c r="BB5" s="13" t="s">
        <v>138</v>
      </c>
      <c r="BC5" s="13" t="s">
        <v>139</v>
      </c>
      <c r="BD5" s="13" t="s">
        <v>143</v>
      </c>
      <c r="BE5" s="13" t="s">
        <v>144</v>
      </c>
      <c r="BF5" s="13" t="s">
        <v>145</v>
      </c>
      <c r="BG5" s="13" t="s">
        <v>146</v>
      </c>
      <c r="BH5" s="13" t="s">
        <v>147</v>
      </c>
      <c r="BI5" s="13" t="s">
        <v>150</v>
      </c>
    </row>
    <row r="6" customFormat="false" ht="15" hidden="false" customHeight="false" outlineLevel="0" collapsed="false">
      <c r="A6" s="14" t="n">
        <f aca="false">Services!A5</f>
        <v>1</v>
      </c>
      <c r="B6" s="14" t="str">
        <f aca="false">Services!B5</f>
        <v>Eyelash Extension</v>
      </c>
      <c r="C6" s="14" t="str">
        <f aca="false">Services!C5</f>
        <v>Classic</v>
      </c>
      <c r="D6" s="15" t="n">
        <f aca="false">SUMIFS(Service_Consumables!$L$5:$L$856,Service_Consumables!$A$5:$A$856,$A6,Service_Consumables!$E$5:$E$856,D$5,Service_Consumables!$H$5:$H$856,"Auto-deduct")</f>
        <v>0</v>
      </c>
      <c r="E6" s="15" t="n">
        <f aca="false">SUMIFS(Service_Consumables!$L$5:$L$856,Service_Consumables!$A$5:$A$856,$A6,Service_Consumables!$E$5:$E$856,E$5,Service_Consumables!$H$5:$H$856,"Auto-deduct")</f>
        <v>0</v>
      </c>
      <c r="F6" s="15" t="n">
        <f aca="false">SUMIFS(Service_Consumables!$L$5:$L$856,Service_Consumables!$A$5:$A$856,$A6,Service_Consumables!$E$5:$E$856,F$5,Service_Consumables!$H$5:$H$856,"Auto-deduct")</f>
        <v>0</v>
      </c>
      <c r="G6" s="15" t="n">
        <f aca="false">SUMIFS(Service_Consumables!$L$5:$L$856,Service_Consumables!$A$5:$A$856,$A6,Service_Consumables!$E$5:$E$856,G$5,Service_Consumables!$H$5:$H$856,"Auto-deduct")</f>
        <v>0</v>
      </c>
      <c r="H6" s="15" t="n">
        <f aca="false">SUMIFS(Service_Consumables!$L$5:$L$856,Service_Consumables!$A$5:$A$856,$A6,Service_Consumables!$E$5:$E$856,H$5,Service_Consumables!$H$5:$H$856,"Auto-deduct")</f>
        <v>0</v>
      </c>
      <c r="I6" s="15" t="n">
        <f aca="false">SUMIFS(Service_Consumables!$L$5:$L$856,Service_Consumables!$A$5:$A$856,$A6,Service_Consumables!$E$5:$E$856,I$5,Service_Consumables!$H$5:$H$856,"Auto-deduct")</f>
        <v>0</v>
      </c>
      <c r="J6" s="15" t="n">
        <f aca="false">SUMIFS(Service_Consumables!$L$5:$L$856,Service_Consumables!$A$5:$A$856,$A6,Service_Consumables!$E$5:$E$856,J$5,Service_Consumables!$H$5:$H$856,"Auto-deduct")</f>
        <v>0</v>
      </c>
      <c r="K6" s="15" t="n">
        <f aca="false">SUMIFS(Service_Consumables!$L$5:$L$856,Service_Consumables!$A$5:$A$856,$A6,Service_Consumables!$E$5:$E$856,K$5,Service_Consumables!$H$5:$H$856,"Auto-deduct")</f>
        <v>0</v>
      </c>
      <c r="L6" s="15" t="n">
        <f aca="false">SUMIFS(Service_Consumables!$L$5:$L$856,Service_Consumables!$A$5:$A$856,$A6,Service_Consumables!$E$5:$E$856,L$5,Service_Consumables!$H$5:$H$856,"Auto-deduct")</f>
        <v>0</v>
      </c>
      <c r="M6" s="15" t="n">
        <f aca="false">SUMIFS(Service_Consumables!$L$5:$L$856,Service_Consumables!$A$5:$A$856,$A6,Service_Consumables!$E$5:$E$856,M$5,Service_Consumables!$H$5:$H$856,"Auto-deduct")</f>
        <v>0</v>
      </c>
      <c r="N6" s="15" t="n">
        <f aca="false">SUMIFS(Service_Consumables!$L$5:$L$856,Service_Consumables!$A$5:$A$856,$A6,Service_Consumables!$E$5:$E$856,N$5,Service_Consumables!$H$5:$H$856,"Auto-deduct")</f>
        <v>0</v>
      </c>
      <c r="O6" s="15" t="n">
        <f aca="false">SUMIFS(Service_Consumables!$L$5:$L$856,Service_Consumables!$A$5:$A$856,$A6,Service_Consumables!$E$5:$E$856,O$5,Service_Consumables!$H$5:$H$856,"Auto-deduct")</f>
        <v>1</v>
      </c>
      <c r="P6" s="15" t="n">
        <f aca="false">SUMIFS(Service_Consumables!$L$5:$L$856,Service_Consumables!$A$5:$A$856,$A6,Service_Consumables!$E$5:$E$856,P$5,Service_Consumables!$H$5:$H$856,"Auto-deduct")</f>
        <v>1</v>
      </c>
      <c r="Q6" s="15" t="n">
        <f aca="false">SUMIFS(Service_Consumables!$L$5:$L$856,Service_Consumables!$A$5:$A$856,$A6,Service_Consumables!$E$5:$E$856,Q$5,Service_Consumables!$H$5:$H$856,"Auto-deduct")</f>
        <v>1</v>
      </c>
      <c r="R6" s="15" t="n">
        <f aca="false">SUMIFS(Service_Consumables!$L$5:$L$856,Service_Consumables!$A$5:$A$856,$A6,Service_Consumables!$E$5:$E$856,R$5,Service_Consumables!$H$5:$H$856,"Auto-deduct")</f>
        <v>0</v>
      </c>
      <c r="S6" s="15" t="n">
        <f aca="false">SUMIFS(Service_Consumables!$L$5:$L$856,Service_Consumables!$A$5:$A$856,$A6,Service_Consumables!$E$5:$E$856,S$5,Service_Consumables!$H$5:$H$856,"Auto-deduct")</f>
        <v>4</v>
      </c>
      <c r="T6" s="15" t="n">
        <f aca="false">SUMIFS(Service_Consumables!$L$5:$L$856,Service_Consumables!$A$5:$A$856,$A6,Service_Consumables!$E$5:$E$856,T$5,Service_Consumables!$H$5:$H$856,"Auto-deduct")</f>
        <v>0</v>
      </c>
      <c r="U6" s="15" t="n">
        <f aca="false">SUMIFS(Service_Consumables!$L$5:$L$856,Service_Consumables!$A$5:$A$856,$A6,Service_Consumables!$E$5:$E$856,U$5,Service_Consumables!$H$5:$H$856,"Auto-deduct")</f>
        <v>0</v>
      </c>
      <c r="V6" s="15" t="n">
        <f aca="false">SUMIFS(Service_Consumables!$L$5:$L$856,Service_Consumables!$A$5:$A$856,$A6,Service_Consumables!$E$5:$E$856,V$5,Service_Consumables!$H$5:$H$856,"Auto-deduct")</f>
        <v>3</v>
      </c>
      <c r="W6" s="15" t="n">
        <f aca="false">SUMIFS(Service_Consumables!$L$5:$L$856,Service_Consumables!$A$5:$A$856,$A6,Service_Consumables!$E$5:$E$856,W$5,Service_Consumables!$H$5:$H$856,"Auto-deduct")</f>
        <v>4</v>
      </c>
      <c r="X6" s="15" t="n">
        <f aca="false">SUMIFS(Service_Consumables!$L$5:$L$856,Service_Consumables!$A$5:$A$856,$A6,Service_Consumables!$E$5:$E$856,X$5,Service_Consumables!$H$5:$H$856,"Auto-deduct")</f>
        <v>0</v>
      </c>
      <c r="Y6" s="15" t="n">
        <f aca="false">SUMIFS(Service_Consumables!$L$5:$L$856,Service_Consumables!$A$5:$A$856,$A6,Service_Consumables!$E$5:$E$856,Y$5,Service_Consumables!$H$5:$H$856,"Auto-deduct")</f>
        <v>30</v>
      </c>
      <c r="Z6" s="15" t="n">
        <f aca="false">SUMIFS(Service_Consumables!$L$5:$L$856,Service_Consumables!$A$5:$A$856,$A6,Service_Consumables!$E$5:$E$856,Z$5,Service_Consumables!$H$5:$H$856,"Auto-deduct")</f>
        <v>0</v>
      </c>
      <c r="AA6" s="15" t="n">
        <f aca="false">SUMIFS(Service_Consumables!$L$5:$L$856,Service_Consumables!$A$5:$A$856,$A6,Service_Consumables!$E$5:$E$856,AA$5,Service_Consumables!$H$5:$H$856,"Auto-deduct")</f>
        <v>0</v>
      </c>
      <c r="AB6" s="15" t="n">
        <f aca="false">SUMIFS(Service_Consumables!$L$5:$L$856,Service_Consumables!$A$5:$A$856,$A6,Service_Consumables!$E$5:$E$856,AB$5,Service_Consumables!$H$5:$H$856,"Auto-deduct")</f>
        <v>0</v>
      </c>
      <c r="AC6" s="15" t="n">
        <f aca="false">SUMIFS(Service_Consumables!$L$5:$L$856,Service_Consumables!$A$5:$A$856,$A6,Service_Consumables!$E$5:$E$856,AC$5,Service_Consumables!$H$5:$H$856,"Auto-deduct")</f>
        <v>2</v>
      </c>
      <c r="AD6" s="15" t="n">
        <f aca="false">SUMIFS(Service_Consumables!$L$5:$L$856,Service_Consumables!$A$5:$A$856,$A6,Service_Consumables!$E$5:$E$856,AD$5,Service_Consumables!$H$5:$H$856,"Auto-deduct")</f>
        <v>10</v>
      </c>
      <c r="AE6" s="15" t="n">
        <f aca="false">SUMIFS(Service_Consumables!$L$5:$L$856,Service_Consumables!$A$5:$A$856,$A6,Service_Consumables!$E$5:$E$856,AE$5,Service_Consumables!$H$5:$H$856,"Auto-deduct")</f>
        <v>0</v>
      </c>
      <c r="AF6" s="15" t="n">
        <f aca="false">SUMIFS(Service_Consumables!$L$5:$L$856,Service_Consumables!$A$5:$A$856,$A6,Service_Consumables!$E$5:$E$856,AF$5,Service_Consumables!$H$5:$H$856,"Auto-deduct")</f>
        <v>0</v>
      </c>
      <c r="AG6" s="15" t="n">
        <f aca="false">SUMIFS(Service_Consumables!$L$5:$L$856,Service_Consumables!$A$5:$A$856,$A6,Service_Consumables!$E$5:$E$856,AG$5,Service_Consumables!$H$5:$H$856,"Auto-deduct")</f>
        <v>0</v>
      </c>
      <c r="AH6" s="15" t="n">
        <f aca="false">SUMIFS(Service_Consumables!$L$5:$L$856,Service_Consumables!$A$5:$A$856,$A6,Service_Consumables!$E$5:$E$856,AH$5,Service_Consumables!$H$5:$H$856,"Auto-deduct")</f>
        <v>0</v>
      </c>
      <c r="AI6" s="15" t="n">
        <f aca="false">SUMIFS(Service_Consumables!$L$5:$L$856,Service_Consumables!$A$5:$A$856,$A6,Service_Consumables!$E$5:$E$856,AI$5,Service_Consumables!$H$5:$H$856,"Auto-deduct")</f>
        <v>0</v>
      </c>
      <c r="AJ6" s="15" t="n">
        <f aca="false">SUMIFS(Service_Consumables!$L$5:$L$856,Service_Consumables!$A$5:$A$856,$A6,Service_Consumables!$E$5:$E$856,AJ$5,Service_Consumables!$H$5:$H$856,"Auto-deduct")</f>
        <v>0</v>
      </c>
      <c r="AK6" s="15" t="n">
        <f aca="false">SUMIFS(Service_Consumables!$L$5:$L$856,Service_Consumables!$A$5:$A$856,$A6,Service_Consumables!$E$5:$E$856,AK$5,Service_Consumables!$H$5:$H$856,"Auto-deduct")</f>
        <v>0</v>
      </c>
      <c r="AL6" s="15" t="n">
        <f aca="false">SUMIFS(Service_Consumables!$L$5:$L$856,Service_Consumables!$A$5:$A$856,$A6,Service_Consumables!$E$5:$E$856,AL$5,Service_Consumables!$H$5:$H$856,"Auto-deduct")</f>
        <v>0</v>
      </c>
      <c r="AM6" s="15" t="n">
        <f aca="false">SUMIFS(Service_Consumables!$L$5:$L$856,Service_Consumables!$A$5:$A$856,$A6,Service_Consumables!$E$5:$E$856,AM$5,Service_Consumables!$H$5:$H$856,"Auto-deduct")</f>
        <v>0</v>
      </c>
      <c r="AN6" s="15" t="n">
        <f aca="false">SUMIFS(Service_Consumables!$L$5:$L$856,Service_Consumables!$A$5:$A$856,$A6,Service_Consumables!$E$5:$E$856,AN$5,Service_Consumables!$H$5:$H$856,"Auto-deduct")</f>
        <v>0</v>
      </c>
      <c r="AO6" s="15" t="n">
        <f aca="false">SUMIFS(Service_Consumables!$L$5:$L$856,Service_Consumables!$A$5:$A$856,$A6,Service_Consumables!$E$5:$E$856,AO$5,Service_Consumables!$H$5:$H$856,"Auto-deduct")</f>
        <v>0</v>
      </c>
      <c r="AP6" s="15" t="n">
        <f aca="false">SUMIFS(Service_Consumables!$L$5:$L$856,Service_Consumables!$A$5:$A$856,$A6,Service_Consumables!$E$5:$E$856,AP$5,Service_Consumables!$H$5:$H$856,"Auto-deduct")</f>
        <v>0</v>
      </c>
      <c r="AQ6" s="15" t="n">
        <f aca="false">SUMIFS(Service_Consumables!$L$5:$L$856,Service_Consumables!$A$5:$A$856,$A6,Service_Consumables!$E$5:$E$856,AQ$5,Service_Consumables!$H$5:$H$856,"Auto-deduct")</f>
        <v>0</v>
      </c>
      <c r="AR6" s="15" t="n">
        <f aca="false">SUMIFS(Service_Consumables!$L$5:$L$856,Service_Consumables!$A$5:$A$856,$A6,Service_Consumables!$E$5:$E$856,AR$5,Service_Consumables!$H$5:$H$856,"Auto-deduct")</f>
        <v>0</v>
      </c>
      <c r="AS6" s="15" t="n">
        <f aca="false">SUMIFS(Service_Consumables!$L$5:$L$856,Service_Consumables!$A$5:$A$856,$A6,Service_Consumables!$E$5:$E$856,AS$5,Service_Consumables!$H$5:$H$856,"Auto-deduct")</f>
        <v>0</v>
      </c>
      <c r="AT6" s="15" t="n">
        <f aca="false">SUMIFS(Service_Consumables!$L$5:$L$856,Service_Consumables!$A$5:$A$856,$A6,Service_Consumables!$E$5:$E$856,AT$5,Service_Consumables!$H$5:$H$856,"Auto-deduct")</f>
        <v>0</v>
      </c>
      <c r="AU6" s="15" t="n">
        <f aca="false">SUMIFS(Service_Consumables!$L$5:$L$856,Service_Consumables!$A$5:$A$856,$A6,Service_Consumables!$E$5:$E$856,AU$5,Service_Consumables!$H$5:$H$856,"Auto-deduct")</f>
        <v>0</v>
      </c>
      <c r="AV6" s="15" t="n">
        <f aca="false">SUMIFS(Service_Consumables!$L$5:$L$856,Service_Consumables!$A$5:$A$856,$A6,Service_Consumables!$E$5:$E$856,AV$5,Service_Consumables!$H$5:$H$856,"Auto-deduct")</f>
        <v>0</v>
      </c>
      <c r="AW6" s="15" t="n">
        <f aca="false">SUMIFS(Service_Consumables!$L$5:$L$856,Service_Consumables!$A$5:$A$856,$A6,Service_Consumables!$E$5:$E$856,AW$5,Service_Consumables!$H$5:$H$856,"Auto-deduct")</f>
        <v>0</v>
      </c>
      <c r="AX6" s="15" t="n">
        <f aca="false">SUMIFS(Service_Consumables!$L$5:$L$856,Service_Consumables!$A$5:$A$856,$A6,Service_Consumables!$E$5:$E$856,AX$5,Service_Consumables!$H$5:$H$856,"Auto-deduct")</f>
        <v>0</v>
      </c>
      <c r="AY6" s="15" t="n">
        <f aca="false">SUMIFS(Service_Consumables!$L$5:$L$856,Service_Consumables!$A$5:$A$856,$A6,Service_Consumables!$E$5:$E$856,AY$5,Service_Consumables!$H$5:$H$856,"Auto-deduct")</f>
        <v>0</v>
      </c>
      <c r="AZ6" s="15" t="n">
        <f aca="false">SUMIFS(Service_Consumables!$L$5:$L$856,Service_Consumables!$A$5:$A$856,$A6,Service_Consumables!$E$5:$E$856,AZ$5,Service_Consumables!$H$5:$H$856,"Auto-deduct")</f>
        <v>0</v>
      </c>
      <c r="BA6" s="15" t="n">
        <f aca="false">SUMIFS(Service_Consumables!$L$5:$L$856,Service_Consumables!$A$5:$A$856,$A6,Service_Consumables!$E$5:$E$856,BA$5,Service_Consumables!$H$5:$H$856,"Auto-deduct")</f>
        <v>0</v>
      </c>
      <c r="BB6" s="15" t="n">
        <f aca="false">SUMIFS(Service_Consumables!$L$5:$L$856,Service_Consumables!$A$5:$A$856,$A6,Service_Consumables!$E$5:$E$856,BB$5,Service_Consumables!$H$5:$H$856,"Auto-deduct")</f>
        <v>0</v>
      </c>
      <c r="BC6" s="15" t="n">
        <f aca="false">SUMIFS(Service_Consumables!$L$5:$L$856,Service_Consumables!$A$5:$A$856,$A6,Service_Consumables!$E$5:$E$856,BC$5,Service_Consumables!$H$5:$H$856,"Auto-deduct")</f>
        <v>0</v>
      </c>
      <c r="BD6" s="15" t="n">
        <f aca="false">SUMIFS(Service_Consumables!$L$5:$L$856,Service_Consumables!$A$5:$A$856,$A6,Service_Consumables!$E$5:$E$856,BD$5,Service_Consumables!$H$5:$H$856,"Auto-deduct")</f>
        <v>0</v>
      </c>
      <c r="BE6" s="15" t="n">
        <f aca="false">SUMIFS(Service_Consumables!$L$5:$L$856,Service_Consumables!$A$5:$A$856,$A6,Service_Consumables!$E$5:$E$856,BE$5,Service_Consumables!$H$5:$H$856,"Auto-deduct")</f>
        <v>0</v>
      </c>
      <c r="BF6" s="15" t="n">
        <f aca="false">SUMIFS(Service_Consumables!$L$5:$L$856,Service_Consumables!$A$5:$A$856,$A6,Service_Consumables!$E$5:$E$856,BF$5,Service_Consumables!$H$5:$H$856,"Auto-deduct")</f>
        <v>0</v>
      </c>
      <c r="BG6" s="15" t="n">
        <f aca="false">SUMIFS(Service_Consumables!$L$5:$L$856,Service_Consumables!$A$5:$A$856,$A6,Service_Consumables!$E$5:$E$856,BG$5,Service_Consumables!$H$5:$H$856,"Auto-deduct")</f>
        <v>0</v>
      </c>
      <c r="BH6" s="15" t="n">
        <f aca="false">SUMIFS(Service_Consumables!$L$5:$L$856,Service_Consumables!$A$5:$A$856,$A6,Service_Consumables!$E$5:$E$856,BH$5,Service_Consumables!$H$5:$H$856,"Auto-deduct")</f>
        <v>0</v>
      </c>
      <c r="BI6" s="15" t="n">
        <f aca="false">SUMIFS(Service_Consumables!$L$5:$L$856,Service_Consumables!$A$5:$A$856,$A6,Service_Consumables!$E$5:$E$856,BI$5,Service_Consumables!$H$5:$H$856,"Auto-deduct")</f>
        <v>0</v>
      </c>
    </row>
    <row r="7" customFormat="false" ht="15" hidden="false" customHeight="false" outlineLevel="0" collapsed="false">
      <c r="A7" s="14" t="n">
        <f aca="false">Services!A6</f>
        <v>2</v>
      </c>
      <c r="B7" s="14" t="str">
        <f aca="false">Services!B6</f>
        <v>Eyelash Extension</v>
      </c>
      <c r="C7" s="14" t="str">
        <f aca="false">Services!C6</f>
        <v>Hybrid</v>
      </c>
      <c r="D7" s="15" t="n">
        <f aca="false">SUMIFS(Service_Consumables!$L$5:$L$856,Service_Consumables!$A$5:$A$856,$A7,Service_Consumables!$E$5:$E$856,D$5,Service_Consumables!$H$5:$H$856,"Auto-deduct")</f>
        <v>0</v>
      </c>
      <c r="E7" s="15" t="n">
        <f aca="false">SUMIFS(Service_Consumables!$L$5:$L$856,Service_Consumables!$A$5:$A$856,$A7,Service_Consumables!$E$5:$E$856,E$5,Service_Consumables!$H$5:$H$856,"Auto-deduct")</f>
        <v>0</v>
      </c>
      <c r="F7" s="15" t="n">
        <f aca="false">SUMIFS(Service_Consumables!$L$5:$L$856,Service_Consumables!$A$5:$A$856,$A7,Service_Consumables!$E$5:$E$856,F$5,Service_Consumables!$H$5:$H$856,"Auto-deduct")</f>
        <v>0</v>
      </c>
      <c r="G7" s="15" t="n">
        <f aca="false">SUMIFS(Service_Consumables!$L$5:$L$856,Service_Consumables!$A$5:$A$856,$A7,Service_Consumables!$E$5:$E$856,G$5,Service_Consumables!$H$5:$H$856,"Auto-deduct")</f>
        <v>0</v>
      </c>
      <c r="H7" s="15" t="n">
        <f aca="false">SUMIFS(Service_Consumables!$L$5:$L$856,Service_Consumables!$A$5:$A$856,$A7,Service_Consumables!$E$5:$E$856,H$5,Service_Consumables!$H$5:$H$856,"Auto-deduct")</f>
        <v>0</v>
      </c>
      <c r="I7" s="15" t="n">
        <f aca="false">SUMIFS(Service_Consumables!$L$5:$L$856,Service_Consumables!$A$5:$A$856,$A7,Service_Consumables!$E$5:$E$856,I$5,Service_Consumables!$H$5:$H$856,"Auto-deduct")</f>
        <v>0</v>
      </c>
      <c r="J7" s="15" t="n">
        <f aca="false">SUMIFS(Service_Consumables!$L$5:$L$856,Service_Consumables!$A$5:$A$856,$A7,Service_Consumables!$E$5:$E$856,J$5,Service_Consumables!$H$5:$H$856,"Auto-deduct")</f>
        <v>0</v>
      </c>
      <c r="K7" s="15" t="n">
        <f aca="false">SUMIFS(Service_Consumables!$L$5:$L$856,Service_Consumables!$A$5:$A$856,$A7,Service_Consumables!$E$5:$E$856,K$5,Service_Consumables!$H$5:$H$856,"Auto-deduct")</f>
        <v>0</v>
      </c>
      <c r="L7" s="15" t="n">
        <f aca="false">SUMIFS(Service_Consumables!$L$5:$L$856,Service_Consumables!$A$5:$A$856,$A7,Service_Consumables!$E$5:$E$856,L$5,Service_Consumables!$H$5:$H$856,"Auto-deduct")</f>
        <v>0</v>
      </c>
      <c r="M7" s="15" t="n">
        <f aca="false">SUMIFS(Service_Consumables!$L$5:$L$856,Service_Consumables!$A$5:$A$856,$A7,Service_Consumables!$E$5:$E$856,M$5,Service_Consumables!$H$5:$H$856,"Auto-deduct")</f>
        <v>0</v>
      </c>
      <c r="N7" s="15" t="n">
        <f aca="false">SUMIFS(Service_Consumables!$L$5:$L$856,Service_Consumables!$A$5:$A$856,$A7,Service_Consumables!$E$5:$E$856,N$5,Service_Consumables!$H$5:$H$856,"Auto-deduct")</f>
        <v>0</v>
      </c>
      <c r="O7" s="15" t="n">
        <f aca="false">SUMIFS(Service_Consumables!$L$5:$L$856,Service_Consumables!$A$5:$A$856,$A7,Service_Consumables!$E$5:$E$856,O$5,Service_Consumables!$H$5:$H$856,"Auto-deduct")</f>
        <v>1</v>
      </c>
      <c r="P7" s="15" t="n">
        <f aca="false">SUMIFS(Service_Consumables!$L$5:$L$856,Service_Consumables!$A$5:$A$856,$A7,Service_Consumables!$E$5:$E$856,P$5,Service_Consumables!$H$5:$H$856,"Auto-deduct")</f>
        <v>1</v>
      </c>
      <c r="Q7" s="15" t="n">
        <f aca="false">SUMIFS(Service_Consumables!$L$5:$L$856,Service_Consumables!$A$5:$A$856,$A7,Service_Consumables!$E$5:$E$856,Q$5,Service_Consumables!$H$5:$H$856,"Auto-deduct")</f>
        <v>1</v>
      </c>
      <c r="R7" s="15" t="n">
        <f aca="false">SUMIFS(Service_Consumables!$L$5:$L$856,Service_Consumables!$A$5:$A$856,$A7,Service_Consumables!$E$5:$E$856,R$5,Service_Consumables!$H$5:$H$856,"Auto-deduct")</f>
        <v>0</v>
      </c>
      <c r="S7" s="15" t="n">
        <f aca="false">SUMIFS(Service_Consumables!$L$5:$L$856,Service_Consumables!$A$5:$A$856,$A7,Service_Consumables!$E$5:$E$856,S$5,Service_Consumables!$H$5:$H$856,"Auto-deduct")</f>
        <v>4</v>
      </c>
      <c r="T7" s="15" t="n">
        <f aca="false">SUMIFS(Service_Consumables!$L$5:$L$856,Service_Consumables!$A$5:$A$856,$A7,Service_Consumables!$E$5:$E$856,T$5,Service_Consumables!$H$5:$H$856,"Auto-deduct")</f>
        <v>0</v>
      </c>
      <c r="U7" s="15" t="n">
        <f aca="false">SUMIFS(Service_Consumables!$L$5:$L$856,Service_Consumables!$A$5:$A$856,$A7,Service_Consumables!$E$5:$E$856,U$5,Service_Consumables!$H$5:$H$856,"Auto-deduct")</f>
        <v>0</v>
      </c>
      <c r="V7" s="15" t="n">
        <f aca="false">SUMIFS(Service_Consumables!$L$5:$L$856,Service_Consumables!$A$5:$A$856,$A7,Service_Consumables!$E$5:$E$856,V$5,Service_Consumables!$H$5:$H$856,"Auto-deduct")</f>
        <v>3</v>
      </c>
      <c r="W7" s="15" t="n">
        <f aca="false">SUMIFS(Service_Consumables!$L$5:$L$856,Service_Consumables!$A$5:$A$856,$A7,Service_Consumables!$E$5:$E$856,W$5,Service_Consumables!$H$5:$H$856,"Auto-deduct")</f>
        <v>4</v>
      </c>
      <c r="X7" s="15" t="n">
        <f aca="false">SUMIFS(Service_Consumables!$L$5:$L$856,Service_Consumables!$A$5:$A$856,$A7,Service_Consumables!$E$5:$E$856,X$5,Service_Consumables!$H$5:$H$856,"Auto-deduct")</f>
        <v>0</v>
      </c>
      <c r="Y7" s="15" t="n">
        <f aca="false">SUMIFS(Service_Consumables!$L$5:$L$856,Service_Consumables!$A$5:$A$856,$A7,Service_Consumables!$E$5:$E$856,Y$5,Service_Consumables!$H$5:$H$856,"Auto-deduct")</f>
        <v>30</v>
      </c>
      <c r="Z7" s="15" t="n">
        <f aca="false">SUMIFS(Service_Consumables!$L$5:$L$856,Service_Consumables!$A$5:$A$856,$A7,Service_Consumables!$E$5:$E$856,Z$5,Service_Consumables!$H$5:$H$856,"Auto-deduct")</f>
        <v>0</v>
      </c>
      <c r="AA7" s="15" t="n">
        <f aca="false">SUMIFS(Service_Consumables!$L$5:$L$856,Service_Consumables!$A$5:$A$856,$A7,Service_Consumables!$E$5:$E$856,AA$5,Service_Consumables!$H$5:$H$856,"Auto-deduct")</f>
        <v>0</v>
      </c>
      <c r="AB7" s="15" t="n">
        <f aca="false">SUMIFS(Service_Consumables!$L$5:$L$856,Service_Consumables!$A$5:$A$856,$A7,Service_Consumables!$E$5:$E$856,AB$5,Service_Consumables!$H$5:$H$856,"Auto-deduct")</f>
        <v>0</v>
      </c>
      <c r="AC7" s="15" t="n">
        <f aca="false">SUMIFS(Service_Consumables!$L$5:$L$856,Service_Consumables!$A$5:$A$856,$A7,Service_Consumables!$E$5:$E$856,AC$5,Service_Consumables!$H$5:$H$856,"Auto-deduct")</f>
        <v>2</v>
      </c>
      <c r="AD7" s="15" t="n">
        <f aca="false">SUMIFS(Service_Consumables!$L$5:$L$856,Service_Consumables!$A$5:$A$856,$A7,Service_Consumables!$E$5:$E$856,AD$5,Service_Consumables!$H$5:$H$856,"Auto-deduct")</f>
        <v>10</v>
      </c>
      <c r="AE7" s="15" t="n">
        <f aca="false">SUMIFS(Service_Consumables!$L$5:$L$856,Service_Consumables!$A$5:$A$856,$A7,Service_Consumables!$E$5:$E$856,AE$5,Service_Consumables!$H$5:$H$856,"Auto-deduct")</f>
        <v>0</v>
      </c>
      <c r="AF7" s="15" t="n">
        <f aca="false">SUMIFS(Service_Consumables!$L$5:$L$856,Service_Consumables!$A$5:$A$856,$A7,Service_Consumables!$E$5:$E$856,AF$5,Service_Consumables!$H$5:$H$856,"Auto-deduct")</f>
        <v>0</v>
      </c>
      <c r="AG7" s="15" t="n">
        <f aca="false">SUMIFS(Service_Consumables!$L$5:$L$856,Service_Consumables!$A$5:$A$856,$A7,Service_Consumables!$E$5:$E$856,AG$5,Service_Consumables!$H$5:$H$856,"Auto-deduct")</f>
        <v>0</v>
      </c>
      <c r="AH7" s="15" t="n">
        <f aca="false">SUMIFS(Service_Consumables!$L$5:$L$856,Service_Consumables!$A$5:$A$856,$A7,Service_Consumables!$E$5:$E$856,AH$5,Service_Consumables!$H$5:$H$856,"Auto-deduct")</f>
        <v>0</v>
      </c>
      <c r="AI7" s="15" t="n">
        <f aca="false">SUMIFS(Service_Consumables!$L$5:$L$856,Service_Consumables!$A$5:$A$856,$A7,Service_Consumables!$E$5:$E$856,AI$5,Service_Consumables!$H$5:$H$856,"Auto-deduct")</f>
        <v>0</v>
      </c>
      <c r="AJ7" s="15" t="n">
        <f aca="false">SUMIFS(Service_Consumables!$L$5:$L$856,Service_Consumables!$A$5:$A$856,$A7,Service_Consumables!$E$5:$E$856,AJ$5,Service_Consumables!$H$5:$H$856,"Auto-deduct")</f>
        <v>0</v>
      </c>
      <c r="AK7" s="15" t="n">
        <f aca="false">SUMIFS(Service_Consumables!$L$5:$L$856,Service_Consumables!$A$5:$A$856,$A7,Service_Consumables!$E$5:$E$856,AK$5,Service_Consumables!$H$5:$H$856,"Auto-deduct")</f>
        <v>0</v>
      </c>
      <c r="AL7" s="15" t="n">
        <f aca="false">SUMIFS(Service_Consumables!$L$5:$L$856,Service_Consumables!$A$5:$A$856,$A7,Service_Consumables!$E$5:$E$856,AL$5,Service_Consumables!$H$5:$H$856,"Auto-deduct")</f>
        <v>0</v>
      </c>
      <c r="AM7" s="15" t="n">
        <f aca="false">SUMIFS(Service_Consumables!$L$5:$L$856,Service_Consumables!$A$5:$A$856,$A7,Service_Consumables!$E$5:$E$856,AM$5,Service_Consumables!$H$5:$H$856,"Auto-deduct")</f>
        <v>0</v>
      </c>
      <c r="AN7" s="15" t="n">
        <f aca="false">SUMIFS(Service_Consumables!$L$5:$L$856,Service_Consumables!$A$5:$A$856,$A7,Service_Consumables!$E$5:$E$856,AN$5,Service_Consumables!$H$5:$H$856,"Auto-deduct")</f>
        <v>0</v>
      </c>
      <c r="AO7" s="15" t="n">
        <f aca="false">SUMIFS(Service_Consumables!$L$5:$L$856,Service_Consumables!$A$5:$A$856,$A7,Service_Consumables!$E$5:$E$856,AO$5,Service_Consumables!$H$5:$H$856,"Auto-deduct")</f>
        <v>0</v>
      </c>
      <c r="AP7" s="15" t="n">
        <f aca="false">SUMIFS(Service_Consumables!$L$5:$L$856,Service_Consumables!$A$5:$A$856,$A7,Service_Consumables!$E$5:$E$856,AP$5,Service_Consumables!$H$5:$H$856,"Auto-deduct")</f>
        <v>0</v>
      </c>
      <c r="AQ7" s="15" t="n">
        <f aca="false">SUMIFS(Service_Consumables!$L$5:$L$856,Service_Consumables!$A$5:$A$856,$A7,Service_Consumables!$E$5:$E$856,AQ$5,Service_Consumables!$H$5:$H$856,"Auto-deduct")</f>
        <v>0</v>
      </c>
      <c r="AR7" s="15" t="n">
        <f aca="false">SUMIFS(Service_Consumables!$L$5:$L$856,Service_Consumables!$A$5:$A$856,$A7,Service_Consumables!$E$5:$E$856,AR$5,Service_Consumables!$H$5:$H$856,"Auto-deduct")</f>
        <v>0</v>
      </c>
      <c r="AS7" s="15" t="n">
        <f aca="false">SUMIFS(Service_Consumables!$L$5:$L$856,Service_Consumables!$A$5:$A$856,$A7,Service_Consumables!$E$5:$E$856,AS$5,Service_Consumables!$H$5:$H$856,"Auto-deduct")</f>
        <v>0</v>
      </c>
      <c r="AT7" s="15" t="n">
        <f aca="false">SUMIFS(Service_Consumables!$L$5:$L$856,Service_Consumables!$A$5:$A$856,$A7,Service_Consumables!$E$5:$E$856,AT$5,Service_Consumables!$H$5:$H$856,"Auto-deduct")</f>
        <v>0</v>
      </c>
      <c r="AU7" s="15" t="n">
        <f aca="false">SUMIFS(Service_Consumables!$L$5:$L$856,Service_Consumables!$A$5:$A$856,$A7,Service_Consumables!$E$5:$E$856,AU$5,Service_Consumables!$H$5:$H$856,"Auto-deduct")</f>
        <v>0</v>
      </c>
      <c r="AV7" s="15" t="n">
        <f aca="false">SUMIFS(Service_Consumables!$L$5:$L$856,Service_Consumables!$A$5:$A$856,$A7,Service_Consumables!$E$5:$E$856,AV$5,Service_Consumables!$H$5:$H$856,"Auto-deduct")</f>
        <v>0</v>
      </c>
      <c r="AW7" s="15" t="n">
        <f aca="false">SUMIFS(Service_Consumables!$L$5:$L$856,Service_Consumables!$A$5:$A$856,$A7,Service_Consumables!$E$5:$E$856,AW$5,Service_Consumables!$H$5:$H$856,"Auto-deduct")</f>
        <v>0</v>
      </c>
      <c r="AX7" s="15" t="n">
        <f aca="false">SUMIFS(Service_Consumables!$L$5:$L$856,Service_Consumables!$A$5:$A$856,$A7,Service_Consumables!$E$5:$E$856,AX$5,Service_Consumables!$H$5:$H$856,"Auto-deduct")</f>
        <v>0</v>
      </c>
      <c r="AY7" s="15" t="n">
        <f aca="false">SUMIFS(Service_Consumables!$L$5:$L$856,Service_Consumables!$A$5:$A$856,$A7,Service_Consumables!$E$5:$E$856,AY$5,Service_Consumables!$H$5:$H$856,"Auto-deduct")</f>
        <v>0</v>
      </c>
      <c r="AZ7" s="15" t="n">
        <f aca="false">SUMIFS(Service_Consumables!$L$5:$L$856,Service_Consumables!$A$5:$A$856,$A7,Service_Consumables!$E$5:$E$856,AZ$5,Service_Consumables!$H$5:$H$856,"Auto-deduct")</f>
        <v>0</v>
      </c>
      <c r="BA7" s="15" t="n">
        <f aca="false">SUMIFS(Service_Consumables!$L$5:$L$856,Service_Consumables!$A$5:$A$856,$A7,Service_Consumables!$E$5:$E$856,BA$5,Service_Consumables!$H$5:$H$856,"Auto-deduct")</f>
        <v>0</v>
      </c>
      <c r="BB7" s="15" t="n">
        <f aca="false">SUMIFS(Service_Consumables!$L$5:$L$856,Service_Consumables!$A$5:$A$856,$A7,Service_Consumables!$E$5:$E$856,BB$5,Service_Consumables!$H$5:$H$856,"Auto-deduct")</f>
        <v>0</v>
      </c>
      <c r="BC7" s="15" t="n">
        <f aca="false">SUMIFS(Service_Consumables!$L$5:$L$856,Service_Consumables!$A$5:$A$856,$A7,Service_Consumables!$E$5:$E$856,BC$5,Service_Consumables!$H$5:$H$856,"Auto-deduct")</f>
        <v>0</v>
      </c>
      <c r="BD7" s="15" t="n">
        <f aca="false">SUMIFS(Service_Consumables!$L$5:$L$856,Service_Consumables!$A$5:$A$856,$A7,Service_Consumables!$E$5:$E$856,BD$5,Service_Consumables!$H$5:$H$856,"Auto-deduct")</f>
        <v>0</v>
      </c>
      <c r="BE7" s="15" t="n">
        <f aca="false">SUMIFS(Service_Consumables!$L$5:$L$856,Service_Consumables!$A$5:$A$856,$A7,Service_Consumables!$E$5:$E$856,BE$5,Service_Consumables!$H$5:$H$856,"Auto-deduct")</f>
        <v>0</v>
      </c>
      <c r="BF7" s="15" t="n">
        <f aca="false">SUMIFS(Service_Consumables!$L$5:$L$856,Service_Consumables!$A$5:$A$856,$A7,Service_Consumables!$E$5:$E$856,BF$5,Service_Consumables!$H$5:$H$856,"Auto-deduct")</f>
        <v>0</v>
      </c>
      <c r="BG7" s="15" t="n">
        <f aca="false">SUMIFS(Service_Consumables!$L$5:$L$856,Service_Consumables!$A$5:$A$856,$A7,Service_Consumables!$E$5:$E$856,BG$5,Service_Consumables!$H$5:$H$856,"Auto-deduct")</f>
        <v>0</v>
      </c>
      <c r="BH7" s="15" t="n">
        <f aca="false">SUMIFS(Service_Consumables!$L$5:$L$856,Service_Consumables!$A$5:$A$856,$A7,Service_Consumables!$E$5:$E$856,BH$5,Service_Consumables!$H$5:$H$856,"Auto-deduct")</f>
        <v>0</v>
      </c>
      <c r="BI7" s="15" t="n">
        <f aca="false">SUMIFS(Service_Consumables!$L$5:$L$856,Service_Consumables!$A$5:$A$856,$A7,Service_Consumables!$E$5:$E$856,BI$5,Service_Consumables!$H$5:$H$856,"Auto-deduct")</f>
        <v>0</v>
      </c>
    </row>
    <row r="8" customFormat="false" ht="15" hidden="false" customHeight="false" outlineLevel="0" collapsed="false">
      <c r="A8" s="14" t="n">
        <f aca="false">Services!A7</f>
        <v>3</v>
      </c>
      <c r="B8" s="14" t="str">
        <f aca="false">Services!B7</f>
        <v>Eyelash Extension</v>
      </c>
      <c r="C8" s="14" t="str">
        <f aca="false">Services!C7</f>
        <v>Volume</v>
      </c>
      <c r="D8" s="15" t="n">
        <f aca="false">SUMIFS(Service_Consumables!$L$5:$L$856,Service_Consumables!$A$5:$A$856,$A8,Service_Consumables!$E$5:$E$856,D$5,Service_Consumables!$H$5:$H$856,"Auto-deduct")</f>
        <v>0</v>
      </c>
      <c r="E8" s="15" t="n">
        <f aca="false">SUMIFS(Service_Consumables!$L$5:$L$856,Service_Consumables!$A$5:$A$856,$A8,Service_Consumables!$E$5:$E$856,E$5,Service_Consumables!$H$5:$H$856,"Auto-deduct")</f>
        <v>0</v>
      </c>
      <c r="F8" s="15" t="n">
        <f aca="false">SUMIFS(Service_Consumables!$L$5:$L$856,Service_Consumables!$A$5:$A$856,$A8,Service_Consumables!$E$5:$E$856,F$5,Service_Consumables!$H$5:$H$856,"Auto-deduct")</f>
        <v>0</v>
      </c>
      <c r="G8" s="15" t="n">
        <f aca="false">SUMIFS(Service_Consumables!$L$5:$L$856,Service_Consumables!$A$5:$A$856,$A8,Service_Consumables!$E$5:$E$856,G$5,Service_Consumables!$H$5:$H$856,"Auto-deduct")</f>
        <v>0</v>
      </c>
      <c r="H8" s="15" t="n">
        <f aca="false">SUMIFS(Service_Consumables!$L$5:$L$856,Service_Consumables!$A$5:$A$856,$A8,Service_Consumables!$E$5:$E$856,H$5,Service_Consumables!$H$5:$H$856,"Auto-deduct")</f>
        <v>0</v>
      </c>
      <c r="I8" s="15" t="n">
        <f aca="false">SUMIFS(Service_Consumables!$L$5:$L$856,Service_Consumables!$A$5:$A$856,$A8,Service_Consumables!$E$5:$E$856,I$5,Service_Consumables!$H$5:$H$856,"Auto-deduct")</f>
        <v>0</v>
      </c>
      <c r="J8" s="15" t="n">
        <f aca="false">SUMIFS(Service_Consumables!$L$5:$L$856,Service_Consumables!$A$5:$A$856,$A8,Service_Consumables!$E$5:$E$856,J$5,Service_Consumables!$H$5:$H$856,"Auto-deduct")</f>
        <v>0</v>
      </c>
      <c r="K8" s="15" t="n">
        <f aca="false">SUMIFS(Service_Consumables!$L$5:$L$856,Service_Consumables!$A$5:$A$856,$A8,Service_Consumables!$E$5:$E$856,K$5,Service_Consumables!$H$5:$H$856,"Auto-deduct")</f>
        <v>0</v>
      </c>
      <c r="L8" s="15" t="n">
        <f aca="false">SUMIFS(Service_Consumables!$L$5:$L$856,Service_Consumables!$A$5:$A$856,$A8,Service_Consumables!$E$5:$E$856,L$5,Service_Consumables!$H$5:$H$856,"Auto-deduct")</f>
        <v>0</v>
      </c>
      <c r="M8" s="15" t="n">
        <f aca="false">SUMIFS(Service_Consumables!$L$5:$L$856,Service_Consumables!$A$5:$A$856,$A8,Service_Consumables!$E$5:$E$856,M$5,Service_Consumables!$H$5:$H$856,"Auto-deduct")</f>
        <v>0</v>
      </c>
      <c r="N8" s="15" t="n">
        <f aca="false">SUMIFS(Service_Consumables!$L$5:$L$856,Service_Consumables!$A$5:$A$856,$A8,Service_Consumables!$E$5:$E$856,N$5,Service_Consumables!$H$5:$H$856,"Auto-deduct")</f>
        <v>0</v>
      </c>
      <c r="O8" s="15" t="n">
        <f aca="false">SUMIFS(Service_Consumables!$L$5:$L$856,Service_Consumables!$A$5:$A$856,$A8,Service_Consumables!$E$5:$E$856,O$5,Service_Consumables!$H$5:$H$856,"Auto-deduct")</f>
        <v>1</v>
      </c>
      <c r="P8" s="15" t="n">
        <f aca="false">SUMIFS(Service_Consumables!$L$5:$L$856,Service_Consumables!$A$5:$A$856,$A8,Service_Consumables!$E$5:$E$856,P$5,Service_Consumables!$H$5:$H$856,"Auto-deduct")</f>
        <v>1</v>
      </c>
      <c r="Q8" s="15" t="n">
        <f aca="false">SUMIFS(Service_Consumables!$L$5:$L$856,Service_Consumables!$A$5:$A$856,$A8,Service_Consumables!$E$5:$E$856,Q$5,Service_Consumables!$H$5:$H$856,"Auto-deduct")</f>
        <v>1</v>
      </c>
      <c r="R8" s="15" t="n">
        <f aca="false">SUMIFS(Service_Consumables!$L$5:$L$856,Service_Consumables!$A$5:$A$856,$A8,Service_Consumables!$E$5:$E$856,R$5,Service_Consumables!$H$5:$H$856,"Auto-deduct")</f>
        <v>0</v>
      </c>
      <c r="S8" s="15" t="n">
        <f aca="false">SUMIFS(Service_Consumables!$L$5:$L$856,Service_Consumables!$A$5:$A$856,$A8,Service_Consumables!$E$5:$E$856,S$5,Service_Consumables!$H$5:$H$856,"Auto-deduct")</f>
        <v>4</v>
      </c>
      <c r="T8" s="15" t="n">
        <f aca="false">SUMIFS(Service_Consumables!$L$5:$L$856,Service_Consumables!$A$5:$A$856,$A8,Service_Consumables!$E$5:$E$856,T$5,Service_Consumables!$H$5:$H$856,"Auto-deduct")</f>
        <v>0</v>
      </c>
      <c r="U8" s="15" t="n">
        <f aca="false">SUMIFS(Service_Consumables!$L$5:$L$856,Service_Consumables!$A$5:$A$856,$A8,Service_Consumables!$E$5:$E$856,U$5,Service_Consumables!$H$5:$H$856,"Auto-deduct")</f>
        <v>0</v>
      </c>
      <c r="V8" s="15" t="n">
        <f aca="false">SUMIFS(Service_Consumables!$L$5:$L$856,Service_Consumables!$A$5:$A$856,$A8,Service_Consumables!$E$5:$E$856,V$5,Service_Consumables!$H$5:$H$856,"Auto-deduct")</f>
        <v>3</v>
      </c>
      <c r="W8" s="15" t="n">
        <f aca="false">SUMIFS(Service_Consumables!$L$5:$L$856,Service_Consumables!$A$5:$A$856,$A8,Service_Consumables!$E$5:$E$856,W$5,Service_Consumables!$H$5:$H$856,"Auto-deduct")</f>
        <v>4</v>
      </c>
      <c r="X8" s="15" t="n">
        <f aca="false">SUMIFS(Service_Consumables!$L$5:$L$856,Service_Consumables!$A$5:$A$856,$A8,Service_Consumables!$E$5:$E$856,X$5,Service_Consumables!$H$5:$H$856,"Auto-deduct")</f>
        <v>0</v>
      </c>
      <c r="Y8" s="15" t="n">
        <f aca="false">SUMIFS(Service_Consumables!$L$5:$L$856,Service_Consumables!$A$5:$A$856,$A8,Service_Consumables!$E$5:$E$856,Y$5,Service_Consumables!$H$5:$H$856,"Auto-deduct")</f>
        <v>30</v>
      </c>
      <c r="Z8" s="15" t="n">
        <f aca="false">SUMIFS(Service_Consumables!$L$5:$L$856,Service_Consumables!$A$5:$A$856,$A8,Service_Consumables!$E$5:$E$856,Z$5,Service_Consumables!$H$5:$H$856,"Auto-deduct")</f>
        <v>0</v>
      </c>
      <c r="AA8" s="15" t="n">
        <f aca="false">SUMIFS(Service_Consumables!$L$5:$L$856,Service_Consumables!$A$5:$A$856,$A8,Service_Consumables!$E$5:$E$856,AA$5,Service_Consumables!$H$5:$H$856,"Auto-deduct")</f>
        <v>0</v>
      </c>
      <c r="AB8" s="15" t="n">
        <f aca="false">SUMIFS(Service_Consumables!$L$5:$L$856,Service_Consumables!$A$5:$A$856,$A8,Service_Consumables!$E$5:$E$856,AB$5,Service_Consumables!$H$5:$H$856,"Auto-deduct")</f>
        <v>0</v>
      </c>
      <c r="AC8" s="15" t="n">
        <f aca="false">SUMIFS(Service_Consumables!$L$5:$L$856,Service_Consumables!$A$5:$A$856,$A8,Service_Consumables!$E$5:$E$856,AC$5,Service_Consumables!$H$5:$H$856,"Auto-deduct")</f>
        <v>2</v>
      </c>
      <c r="AD8" s="15" t="n">
        <f aca="false">SUMIFS(Service_Consumables!$L$5:$L$856,Service_Consumables!$A$5:$A$856,$A8,Service_Consumables!$E$5:$E$856,AD$5,Service_Consumables!$H$5:$H$856,"Auto-deduct")</f>
        <v>10</v>
      </c>
      <c r="AE8" s="15" t="n">
        <f aca="false">SUMIFS(Service_Consumables!$L$5:$L$856,Service_Consumables!$A$5:$A$856,$A8,Service_Consumables!$E$5:$E$856,AE$5,Service_Consumables!$H$5:$H$856,"Auto-deduct")</f>
        <v>0</v>
      </c>
      <c r="AF8" s="15" t="n">
        <f aca="false">SUMIFS(Service_Consumables!$L$5:$L$856,Service_Consumables!$A$5:$A$856,$A8,Service_Consumables!$E$5:$E$856,AF$5,Service_Consumables!$H$5:$H$856,"Auto-deduct")</f>
        <v>0</v>
      </c>
      <c r="AG8" s="15" t="n">
        <f aca="false">SUMIFS(Service_Consumables!$L$5:$L$856,Service_Consumables!$A$5:$A$856,$A8,Service_Consumables!$E$5:$E$856,AG$5,Service_Consumables!$H$5:$H$856,"Auto-deduct")</f>
        <v>0</v>
      </c>
      <c r="AH8" s="15" t="n">
        <f aca="false">SUMIFS(Service_Consumables!$L$5:$L$856,Service_Consumables!$A$5:$A$856,$A8,Service_Consumables!$E$5:$E$856,AH$5,Service_Consumables!$H$5:$H$856,"Auto-deduct")</f>
        <v>0</v>
      </c>
      <c r="AI8" s="15" t="n">
        <f aca="false">SUMIFS(Service_Consumables!$L$5:$L$856,Service_Consumables!$A$5:$A$856,$A8,Service_Consumables!$E$5:$E$856,AI$5,Service_Consumables!$H$5:$H$856,"Auto-deduct")</f>
        <v>0</v>
      </c>
      <c r="AJ8" s="15" t="n">
        <f aca="false">SUMIFS(Service_Consumables!$L$5:$L$856,Service_Consumables!$A$5:$A$856,$A8,Service_Consumables!$E$5:$E$856,AJ$5,Service_Consumables!$H$5:$H$856,"Auto-deduct")</f>
        <v>0</v>
      </c>
      <c r="AK8" s="15" t="n">
        <f aca="false">SUMIFS(Service_Consumables!$L$5:$L$856,Service_Consumables!$A$5:$A$856,$A8,Service_Consumables!$E$5:$E$856,AK$5,Service_Consumables!$H$5:$H$856,"Auto-deduct")</f>
        <v>0</v>
      </c>
      <c r="AL8" s="15" t="n">
        <f aca="false">SUMIFS(Service_Consumables!$L$5:$L$856,Service_Consumables!$A$5:$A$856,$A8,Service_Consumables!$E$5:$E$856,AL$5,Service_Consumables!$H$5:$H$856,"Auto-deduct")</f>
        <v>0</v>
      </c>
      <c r="AM8" s="15" t="n">
        <f aca="false">SUMIFS(Service_Consumables!$L$5:$L$856,Service_Consumables!$A$5:$A$856,$A8,Service_Consumables!$E$5:$E$856,AM$5,Service_Consumables!$H$5:$H$856,"Auto-deduct")</f>
        <v>0</v>
      </c>
      <c r="AN8" s="15" t="n">
        <f aca="false">SUMIFS(Service_Consumables!$L$5:$L$856,Service_Consumables!$A$5:$A$856,$A8,Service_Consumables!$E$5:$E$856,AN$5,Service_Consumables!$H$5:$H$856,"Auto-deduct")</f>
        <v>0</v>
      </c>
      <c r="AO8" s="15" t="n">
        <f aca="false">SUMIFS(Service_Consumables!$L$5:$L$856,Service_Consumables!$A$5:$A$856,$A8,Service_Consumables!$E$5:$E$856,AO$5,Service_Consumables!$H$5:$H$856,"Auto-deduct")</f>
        <v>0</v>
      </c>
      <c r="AP8" s="15" t="n">
        <f aca="false">SUMIFS(Service_Consumables!$L$5:$L$856,Service_Consumables!$A$5:$A$856,$A8,Service_Consumables!$E$5:$E$856,AP$5,Service_Consumables!$H$5:$H$856,"Auto-deduct")</f>
        <v>0</v>
      </c>
      <c r="AQ8" s="15" t="n">
        <f aca="false">SUMIFS(Service_Consumables!$L$5:$L$856,Service_Consumables!$A$5:$A$856,$A8,Service_Consumables!$E$5:$E$856,AQ$5,Service_Consumables!$H$5:$H$856,"Auto-deduct")</f>
        <v>0</v>
      </c>
      <c r="AR8" s="15" t="n">
        <f aca="false">SUMIFS(Service_Consumables!$L$5:$L$856,Service_Consumables!$A$5:$A$856,$A8,Service_Consumables!$E$5:$E$856,AR$5,Service_Consumables!$H$5:$H$856,"Auto-deduct")</f>
        <v>0</v>
      </c>
      <c r="AS8" s="15" t="n">
        <f aca="false">SUMIFS(Service_Consumables!$L$5:$L$856,Service_Consumables!$A$5:$A$856,$A8,Service_Consumables!$E$5:$E$856,AS$5,Service_Consumables!$H$5:$H$856,"Auto-deduct")</f>
        <v>0</v>
      </c>
      <c r="AT8" s="15" t="n">
        <f aca="false">SUMIFS(Service_Consumables!$L$5:$L$856,Service_Consumables!$A$5:$A$856,$A8,Service_Consumables!$E$5:$E$856,AT$5,Service_Consumables!$H$5:$H$856,"Auto-deduct")</f>
        <v>0</v>
      </c>
      <c r="AU8" s="15" t="n">
        <f aca="false">SUMIFS(Service_Consumables!$L$5:$L$856,Service_Consumables!$A$5:$A$856,$A8,Service_Consumables!$E$5:$E$856,AU$5,Service_Consumables!$H$5:$H$856,"Auto-deduct")</f>
        <v>0</v>
      </c>
      <c r="AV8" s="15" t="n">
        <f aca="false">SUMIFS(Service_Consumables!$L$5:$L$856,Service_Consumables!$A$5:$A$856,$A8,Service_Consumables!$E$5:$E$856,AV$5,Service_Consumables!$H$5:$H$856,"Auto-deduct")</f>
        <v>0</v>
      </c>
      <c r="AW8" s="15" t="n">
        <f aca="false">SUMIFS(Service_Consumables!$L$5:$L$856,Service_Consumables!$A$5:$A$856,$A8,Service_Consumables!$E$5:$E$856,AW$5,Service_Consumables!$H$5:$H$856,"Auto-deduct")</f>
        <v>0</v>
      </c>
      <c r="AX8" s="15" t="n">
        <f aca="false">SUMIFS(Service_Consumables!$L$5:$L$856,Service_Consumables!$A$5:$A$856,$A8,Service_Consumables!$E$5:$E$856,AX$5,Service_Consumables!$H$5:$H$856,"Auto-deduct")</f>
        <v>0</v>
      </c>
      <c r="AY8" s="15" t="n">
        <f aca="false">SUMIFS(Service_Consumables!$L$5:$L$856,Service_Consumables!$A$5:$A$856,$A8,Service_Consumables!$E$5:$E$856,AY$5,Service_Consumables!$H$5:$H$856,"Auto-deduct")</f>
        <v>0</v>
      </c>
      <c r="AZ8" s="15" t="n">
        <f aca="false">SUMIFS(Service_Consumables!$L$5:$L$856,Service_Consumables!$A$5:$A$856,$A8,Service_Consumables!$E$5:$E$856,AZ$5,Service_Consumables!$H$5:$H$856,"Auto-deduct")</f>
        <v>0</v>
      </c>
      <c r="BA8" s="15" t="n">
        <f aca="false">SUMIFS(Service_Consumables!$L$5:$L$856,Service_Consumables!$A$5:$A$856,$A8,Service_Consumables!$E$5:$E$856,BA$5,Service_Consumables!$H$5:$H$856,"Auto-deduct")</f>
        <v>0</v>
      </c>
      <c r="BB8" s="15" t="n">
        <f aca="false">SUMIFS(Service_Consumables!$L$5:$L$856,Service_Consumables!$A$5:$A$856,$A8,Service_Consumables!$E$5:$E$856,BB$5,Service_Consumables!$H$5:$H$856,"Auto-deduct")</f>
        <v>0</v>
      </c>
      <c r="BC8" s="15" t="n">
        <f aca="false">SUMIFS(Service_Consumables!$L$5:$L$856,Service_Consumables!$A$5:$A$856,$A8,Service_Consumables!$E$5:$E$856,BC$5,Service_Consumables!$H$5:$H$856,"Auto-deduct")</f>
        <v>0</v>
      </c>
      <c r="BD8" s="15" t="n">
        <f aca="false">SUMIFS(Service_Consumables!$L$5:$L$856,Service_Consumables!$A$5:$A$856,$A8,Service_Consumables!$E$5:$E$856,BD$5,Service_Consumables!$H$5:$H$856,"Auto-deduct")</f>
        <v>0</v>
      </c>
      <c r="BE8" s="15" t="n">
        <f aca="false">SUMIFS(Service_Consumables!$L$5:$L$856,Service_Consumables!$A$5:$A$856,$A8,Service_Consumables!$E$5:$E$856,BE$5,Service_Consumables!$H$5:$H$856,"Auto-deduct")</f>
        <v>0</v>
      </c>
      <c r="BF8" s="15" t="n">
        <f aca="false">SUMIFS(Service_Consumables!$L$5:$L$856,Service_Consumables!$A$5:$A$856,$A8,Service_Consumables!$E$5:$E$856,BF$5,Service_Consumables!$H$5:$H$856,"Auto-deduct")</f>
        <v>0</v>
      </c>
      <c r="BG8" s="15" t="n">
        <f aca="false">SUMIFS(Service_Consumables!$L$5:$L$856,Service_Consumables!$A$5:$A$856,$A8,Service_Consumables!$E$5:$E$856,BG$5,Service_Consumables!$H$5:$H$856,"Auto-deduct")</f>
        <v>0</v>
      </c>
      <c r="BH8" s="15" t="n">
        <f aca="false">SUMIFS(Service_Consumables!$L$5:$L$856,Service_Consumables!$A$5:$A$856,$A8,Service_Consumables!$E$5:$E$856,BH$5,Service_Consumables!$H$5:$H$856,"Auto-deduct")</f>
        <v>0</v>
      </c>
      <c r="BI8" s="15" t="n">
        <f aca="false">SUMIFS(Service_Consumables!$L$5:$L$856,Service_Consumables!$A$5:$A$856,$A8,Service_Consumables!$E$5:$E$856,BI$5,Service_Consumables!$H$5:$H$856,"Auto-deduct")</f>
        <v>0</v>
      </c>
    </row>
    <row r="9" customFormat="false" ht="15" hidden="false" customHeight="false" outlineLevel="0" collapsed="false">
      <c r="A9" s="14" t="n">
        <f aca="false">Services!A8</f>
        <v>4</v>
      </c>
      <c r="B9" s="14" t="str">
        <f aca="false">Services!B8</f>
        <v>Eyelash Extension</v>
      </c>
      <c r="C9" s="14" t="str">
        <f aca="false">Services!C8</f>
        <v>Mega Volume</v>
      </c>
      <c r="D9" s="15" t="n">
        <f aca="false">SUMIFS(Service_Consumables!$L$5:$L$856,Service_Consumables!$A$5:$A$856,$A9,Service_Consumables!$E$5:$E$856,D$5,Service_Consumables!$H$5:$H$856,"Auto-deduct")</f>
        <v>0</v>
      </c>
      <c r="E9" s="15" t="n">
        <f aca="false">SUMIFS(Service_Consumables!$L$5:$L$856,Service_Consumables!$A$5:$A$856,$A9,Service_Consumables!$E$5:$E$856,E$5,Service_Consumables!$H$5:$H$856,"Auto-deduct")</f>
        <v>0</v>
      </c>
      <c r="F9" s="15" t="n">
        <f aca="false">SUMIFS(Service_Consumables!$L$5:$L$856,Service_Consumables!$A$5:$A$856,$A9,Service_Consumables!$E$5:$E$856,F$5,Service_Consumables!$H$5:$H$856,"Auto-deduct")</f>
        <v>0</v>
      </c>
      <c r="G9" s="15" t="n">
        <f aca="false">SUMIFS(Service_Consumables!$L$5:$L$856,Service_Consumables!$A$5:$A$856,$A9,Service_Consumables!$E$5:$E$856,G$5,Service_Consumables!$H$5:$H$856,"Auto-deduct")</f>
        <v>0</v>
      </c>
      <c r="H9" s="15" t="n">
        <f aca="false">SUMIFS(Service_Consumables!$L$5:$L$856,Service_Consumables!$A$5:$A$856,$A9,Service_Consumables!$E$5:$E$856,H$5,Service_Consumables!$H$5:$H$856,"Auto-deduct")</f>
        <v>0</v>
      </c>
      <c r="I9" s="15" t="n">
        <f aca="false">SUMIFS(Service_Consumables!$L$5:$L$856,Service_Consumables!$A$5:$A$856,$A9,Service_Consumables!$E$5:$E$856,I$5,Service_Consumables!$H$5:$H$856,"Auto-deduct")</f>
        <v>0</v>
      </c>
      <c r="J9" s="15" t="n">
        <f aca="false">SUMIFS(Service_Consumables!$L$5:$L$856,Service_Consumables!$A$5:$A$856,$A9,Service_Consumables!$E$5:$E$856,J$5,Service_Consumables!$H$5:$H$856,"Auto-deduct")</f>
        <v>0</v>
      </c>
      <c r="K9" s="15" t="n">
        <f aca="false">SUMIFS(Service_Consumables!$L$5:$L$856,Service_Consumables!$A$5:$A$856,$A9,Service_Consumables!$E$5:$E$856,K$5,Service_Consumables!$H$5:$H$856,"Auto-deduct")</f>
        <v>0</v>
      </c>
      <c r="L9" s="15" t="n">
        <f aca="false">SUMIFS(Service_Consumables!$L$5:$L$856,Service_Consumables!$A$5:$A$856,$A9,Service_Consumables!$E$5:$E$856,L$5,Service_Consumables!$H$5:$H$856,"Auto-deduct")</f>
        <v>0</v>
      </c>
      <c r="M9" s="15" t="n">
        <f aca="false">SUMIFS(Service_Consumables!$L$5:$L$856,Service_Consumables!$A$5:$A$856,$A9,Service_Consumables!$E$5:$E$856,M$5,Service_Consumables!$H$5:$H$856,"Auto-deduct")</f>
        <v>0</v>
      </c>
      <c r="N9" s="15" t="n">
        <f aca="false">SUMIFS(Service_Consumables!$L$5:$L$856,Service_Consumables!$A$5:$A$856,$A9,Service_Consumables!$E$5:$E$856,N$5,Service_Consumables!$H$5:$H$856,"Auto-deduct")</f>
        <v>0</v>
      </c>
      <c r="O9" s="15" t="n">
        <f aca="false">SUMIFS(Service_Consumables!$L$5:$L$856,Service_Consumables!$A$5:$A$856,$A9,Service_Consumables!$E$5:$E$856,O$5,Service_Consumables!$H$5:$H$856,"Auto-deduct")</f>
        <v>1</v>
      </c>
      <c r="P9" s="15" t="n">
        <f aca="false">SUMIFS(Service_Consumables!$L$5:$L$856,Service_Consumables!$A$5:$A$856,$A9,Service_Consumables!$E$5:$E$856,P$5,Service_Consumables!$H$5:$H$856,"Auto-deduct")</f>
        <v>1</v>
      </c>
      <c r="Q9" s="15" t="n">
        <f aca="false">SUMIFS(Service_Consumables!$L$5:$L$856,Service_Consumables!$A$5:$A$856,$A9,Service_Consumables!$E$5:$E$856,Q$5,Service_Consumables!$H$5:$H$856,"Auto-deduct")</f>
        <v>1</v>
      </c>
      <c r="R9" s="15" t="n">
        <f aca="false">SUMIFS(Service_Consumables!$L$5:$L$856,Service_Consumables!$A$5:$A$856,$A9,Service_Consumables!$E$5:$E$856,R$5,Service_Consumables!$H$5:$H$856,"Auto-deduct")</f>
        <v>0</v>
      </c>
      <c r="S9" s="15" t="n">
        <f aca="false">SUMIFS(Service_Consumables!$L$5:$L$856,Service_Consumables!$A$5:$A$856,$A9,Service_Consumables!$E$5:$E$856,S$5,Service_Consumables!$H$5:$H$856,"Auto-deduct")</f>
        <v>4</v>
      </c>
      <c r="T9" s="15" t="n">
        <f aca="false">SUMIFS(Service_Consumables!$L$5:$L$856,Service_Consumables!$A$5:$A$856,$A9,Service_Consumables!$E$5:$E$856,T$5,Service_Consumables!$H$5:$H$856,"Auto-deduct")</f>
        <v>0</v>
      </c>
      <c r="U9" s="15" t="n">
        <f aca="false">SUMIFS(Service_Consumables!$L$5:$L$856,Service_Consumables!$A$5:$A$856,$A9,Service_Consumables!$E$5:$E$856,U$5,Service_Consumables!$H$5:$H$856,"Auto-deduct")</f>
        <v>0</v>
      </c>
      <c r="V9" s="15" t="n">
        <f aca="false">SUMIFS(Service_Consumables!$L$5:$L$856,Service_Consumables!$A$5:$A$856,$A9,Service_Consumables!$E$5:$E$856,V$5,Service_Consumables!$H$5:$H$856,"Auto-deduct")</f>
        <v>3</v>
      </c>
      <c r="W9" s="15" t="n">
        <f aca="false">SUMIFS(Service_Consumables!$L$5:$L$856,Service_Consumables!$A$5:$A$856,$A9,Service_Consumables!$E$5:$E$856,W$5,Service_Consumables!$H$5:$H$856,"Auto-deduct")</f>
        <v>4</v>
      </c>
      <c r="X9" s="15" t="n">
        <f aca="false">SUMIFS(Service_Consumables!$L$5:$L$856,Service_Consumables!$A$5:$A$856,$A9,Service_Consumables!$E$5:$E$856,X$5,Service_Consumables!$H$5:$H$856,"Auto-deduct")</f>
        <v>0</v>
      </c>
      <c r="Y9" s="15" t="n">
        <f aca="false">SUMIFS(Service_Consumables!$L$5:$L$856,Service_Consumables!$A$5:$A$856,$A9,Service_Consumables!$E$5:$E$856,Y$5,Service_Consumables!$H$5:$H$856,"Auto-deduct")</f>
        <v>30</v>
      </c>
      <c r="Z9" s="15" t="n">
        <f aca="false">SUMIFS(Service_Consumables!$L$5:$L$856,Service_Consumables!$A$5:$A$856,$A9,Service_Consumables!$E$5:$E$856,Z$5,Service_Consumables!$H$5:$H$856,"Auto-deduct")</f>
        <v>0</v>
      </c>
      <c r="AA9" s="15" t="n">
        <f aca="false">SUMIFS(Service_Consumables!$L$5:$L$856,Service_Consumables!$A$5:$A$856,$A9,Service_Consumables!$E$5:$E$856,AA$5,Service_Consumables!$H$5:$H$856,"Auto-deduct")</f>
        <v>0</v>
      </c>
      <c r="AB9" s="15" t="n">
        <f aca="false">SUMIFS(Service_Consumables!$L$5:$L$856,Service_Consumables!$A$5:$A$856,$A9,Service_Consumables!$E$5:$E$856,AB$5,Service_Consumables!$H$5:$H$856,"Auto-deduct")</f>
        <v>0</v>
      </c>
      <c r="AC9" s="15" t="n">
        <f aca="false">SUMIFS(Service_Consumables!$L$5:$L$856,Service_Consumables!$A$5:$A$856,$A9,Service_Consumables!$E$5:$E$856,AC$5,Service_Consumables!$H$5:$H$856,"Auto-deduct")</f>
        <v>2</v>
      </c>
      <c r="AD9" s="15" t="n">
        <f aca="false">SUMIFS(Service_Consumables!$L$5:$L$856,Service_Consumables!$A$5:$A$856,$A9,Service_Consumables!$E$5:$E$856,AD$5,Service_Consumables!$H$5:$H$856,"Auto-deduct")</f>
        <v>10</v>
      </c>
      <c r="AE9" s="15" t="n">
        <f aca="false">SUMIFS(Service_Consumables!$L$5:$L$856,Service_Consumables!$A$5:$A$856,$A9,Service_Consumables!$E$5:$E$856,AE$5,Service_Consumables!$H$5:$H$856,"Auto-deduct")</f>
        <v>0</v>
      </c>
      <c r="AF9" s="15" t="n">
        <f aca="false">SUMIFS(Service_Consumables!$L$5:$L$856,Service_Consumables!$A$5:$A$856,$A9,Service_Consumables!$E$5:$E$856,AF$5,Service_Consumables!$H$5:$H$856,"Auto-deduct")</f>
        <v>0</v>
      </c>
      <c r="AG9" s="15" t="n">
        <f aca="false">SUMIFS(Service_Consumables!$L$5:$L$856,Service_Consumables!$A$5:$A$856,$A9,Service_Consumables!$E$5:$E$856,AG$5,Service_Consumables!$H$5:$H$856,"Auto-deduct")</f>
        <v>0</v>
      </c>
      <c r="AH9" s="15" t="n">
        <f aca="false">SUMIFS(Service_Consumables!$L$5:$L$856,Service_Consumables!$A$5:$A$856,$A9,Service_Consumables!$E$5:$E$856,AH$5,Service_Consumables!$H$5:$H$856,"Auto-deduct")</f>
        <v>0</v>
      </c>
      <c r="AI9" s="15" t="n">
        <f aca="false">SUMIFS(Service_Consumables!$L$5:$L$856,Service_Consumables!$A$5:$A$856,$A9,Service_Consumables!$E$5:$E$856,AI$5,Service_Consumables!$H$5:$H$856,"Auto-deduct")</f>
        <v>0</v>
      </c>
      <c r="AJ9" s="15" t="n">
        <f aca="false">SUMIFS(Service_Consumables!$L$5:$L$856,Service_Consumables!$A$5:$A$856,$A9,Service_Consumables!$E$5:$E$856,AJ$5,Service_Consumables!$H$5:$H$856,"Auto-deduct")</f>
        <v>0</v>
      </c>
      <c r="AK9" s="15" t="n">
        <f aca="false">SUMIFS(Service_Consumables!$L$5:$L$856,Service_Consumables!$A$5:$A$856,$A9,Service_Consumables!$E$5:$E$856,AK$5,Service_Consumables!$H$5:$H$856,"Auto-deduct")</f>
        <v>0</v>
      </c>
      <c r="AL9" s="15" t="n">
        <f aca="false">SUMIFS(Service_Consumables!$L$5:$L$856,Service_Consumables!$A$5:$A$856,$A9,Service_Consumables!$E$5:$E$856,AL$5,Service_Consumables!$H$5:$H$856,"Auto-deduct")</f>
        <v>0</v>
      </c>
      <c r="AM9" s="15" t="n">
        <f aca="false">SUMIFS(Service_Consumables!$L$5:$L$856,Service_Consumables!$A$5:$A$856,$A9,Service_Consumables!$E$5:$E$856,AM$5,Service_Consumables!$H$5:$H$856,"Auto-deduct")</f>
        <v>0</v>
      </c>
      <c r="AN9" s="15" t="n">
        <f aca="false">SUMIFS(Service_Consumables!$L$5:$L$856,Service_Consumables!$A$5:$A$856,$A9,Service_Consumables!$E$5:$E$856,AN$5,Service_Consumables!$H$5:$H$856,"Auto-deduct")</f>
        <v>0</v>
      </c>
      <c r="AO9" s="15" t="n">
        <f aca="false">SUMIFS(Service_Consumables!$L$5:$L$856,Service_Consumables!$A$5:$A$856,$A9,Service_Consumables!$E$5:$E$856,AO$5,Service_Consumables!$H$5:$H$856,"Auto-deduct")</f>
        <v>0</v>
      </c>
      <c r="AP9" s="15" t="n">
        <f aca="false">SUMIFS(Service_Consumables!$L$5:$L$856,Service_Consumables!$A$5:$A$856,$A9,Service_Consumables!$E$5:$E$856,AP$5,Service_Consumables!$H$5:$H$856,"Auto-deduct")</f>
        <v>0</v>
      </c>
      <c r="AQ9" s="15" t="n">
        <f aca="false">SUMIFS(Service_Consumables!$L$5:$L$856,Service_Consumables!$A$5:$A$856,$A9,Service_Consumables!$E$5:$E$856,AQ$5,Service_Consumables!$H$5:$H$856,"Auto-deduct")</f>
        <v>0</v>
      </c>
      <c r="AR9" s="15" t="n">
        <f aca="false">SUMIFS(Service_Consumables!$L$5:$L$856,Service_Consumables!$A$5:$A$856,$A9,Service_Consumables!$E$5:$E$856,AR$5,Service_Consumables!$H$5:$H$856,"Auto-deduct")</f>
        <v>0</v>
      </c>
      <c r="AS9" s="15" t="n">
        <f aca="false">SUMIFS(Service_Consumables!$L$5:$L$856,Service_Consumables!$A$5:$A$856,$A9,Service_Consumables!$E$5:$E$856,AS$5,Service_Consumables!$H$5:$H$856,"Auto-deduct")</f>
        <v>0</v>
      </c>
      <c r="AT9" s="15" t="n">
        <f aca="false">SUMIFS(Service_Consumables!$L$5:$L$856,Service_Consumables!$A$5:$A$856,$A9,Service_Consumables!$E$5:$E$856,AT$5,Service_Consumables!$H$5:$H$856,"Auto-deduct")</f>
        <v>0</v>
      </c>
      <c r="AU9" s="15" t="n">
        <f aca="false">SUMIFS(Service_Consumables!$L$5:$L$856,Service_Consumables!$A$5:$A$856,$A9,Service_Consumables!$E$5:$E$856,AU$5,Service_Consumables!$H$5:$H$856,"Auto-deduct")</f>
        <v>0</v>
      </c>
      <c r="AV9" s="15" t="n">
        <f aca="false">SUMIFS(Service_Consumables!$L$5:$L$856,Service_Consumables!$A$5:$A$856,$A9,Service_Consumables!$E$5:$E$856,AV$5,Service_Consumables!$H$5:$H$856,"Auto-deduct")</f>
        <v>0</v>
      </c>
      <c r="AW9" s="15" t="n">
        <f aca="false">SUMIFS(Service_Consumables!$L$5:$L$856,Service_Consumables!$A$5:$A$856,$A9,Service_Consumables!$E$5:$E$856,AW$5,Service_Consumables!$H$5:$H$856,"Auto-deduct")</f>
        <v>0</v>
      </c>
      <c r="AX9" s="15" t="n">
        <f aca="false">SUMIFS(Service_Consumables!$L$5:$L$856,Service_Consumables!$A$5:$A$856,$A9,Service_Consumables!$E$5:$E$856,AX$5,Service_Consumables!$H$5:$H$856,"Auto-deduct")</f>
        <v>0</v>
      </c>
      <c r="AY9" s="15" t="n">
        <f aca="false">SUMIFS(Service_Consumables!$L$5:$L$856,Service_Consumables!$A$5:$A$856,$A9,Service_Consumables!$E$5:$E$856,AY$5,Service_Consumables!$H$5:$H$856,"Auto-deduct")</f>
        <v>0</v>
      </c>
      <c r="AZ9" s="15" t="n">
        <f aca="false">SUMIFS(Service_Consumables!$L$5:$L$856,Service_Consumables!$A$5:$A$856,$A9,Service_Consumables!$E$5:$E$856,AZ$5,Service_Consumables!$H$5:$H$856,"Auto-deduct")</f>
        <v>0</v>
      </c>
      <c r="BA9" s="15" t="n">
        <f aca="false">SUMIFS(Service_Consumables!$L$5:$L$856,Service_Consumables!$A$5:$A$856,$A9,Service_Consumables!$E$5:$E$856,BA$5,Service_Consumables!$H$5:$H$856,"Auto-deduct")</f>
        <v>0</v>
      </c>
      <c r="BB9" s="15" t="n">
        <f aca="false">SUMIFS(Service_Consumables!$L$5:$L$856,Service_Consumables!$A$5:$A$856,$A9,Service_Consumables!$E$5:$E$856,BB$5,Service_Consumables!$H$5:$H$856,"Auto-deduct")</f>
        <v>0</v>
      </c>
      <c r="BC9" s="15" t="n">
        <f aca="false">SUMIFS(Service_Consumables!$L$5:$L$856,Service_Consumables!$A$5:$A$856,$A9,Service_Consumables!$E$5:$E$856,BC$5,Service_Consumables!$H$5:$H$856,"Auto-deduct")</f>
        <v>0</v>
      </c>
      <c r="BD9" s="15" t="n">
        <f aca="false">SUMIFS(Service_Consumables!$L$5:$L$856,Service_Consumables!$A$5:$A$856,$A9,Service_Consumables!$E$5:$E$856,BD$5,Service_Consumables!$H$5:$H$856,"Auto-deduct")</f>
        <v>0</v>
      </c>
      <c r="BE9" s="15" t="n">
        <f aca="false">SUMIFS(Service_Consumables!$L$5:$L$856,Service_Consumables!$A$5:$A$856,$A9,Service_Consumables!$E$5:$E$856,BE$5,Service_Consumables!$H$5:$H$856,"Auto-deduct")</f>
        <v>0</v>
      </c>
      <c r="BF9" s="15" t="n">
        <f aca="false">SUMIFS(Service_Consumables!$L$5:$L$856,Service_Consumables!$A$5:$A$856,$A9,Service_Consumables!$E$5:$E$856,BF$5,Service_Consumables!$H$5:$H$856,"Auto-deduct")</f>
        <v>0</v>
      </c>
      <c r="BG9" s="15" t="n">
        <f aca="false">SUMIFS(Service_Consumables!$L$5:$L$856,Service_Consumables!$A$5:$A$856,$A9,Service_Consumables!$E$5:$E$856,BG$5,Service_Consumables!$H$5:$H$856,"Auto-deduct")</f>
        <v>0</v>
      </c>
      <c r="BH9" s="15" t="n">
        <f aca="false">SUMIFS(Service_Consumables!$L$5:$L$856,Service_Consumables!$A$5:$A$856,$A9,Service_Consumables!$E$5:$E$856,BH$5,Service_Consumables!$H$5:$H$856,"Auto-deduct")</f>
        <v>0</v>
      </c>
      <c r="BI9" s="15" t="n">
        <f aca="false">SUMIFS(Service_Consumables!$L$5:$L$856,Service_Consumables!$A$5:$A$856,$A9,Service_Consumables!$E$5:$E$856,BI$5,Service_Consumables!$H$5:$H$856,"Auto-deduct")</f>
        <v>0</v>
      </c>
    </row>
    <row r="10" customFormat="false" ht="15" hidden="false" customHeight="false" outlineLevel="0" collapsed="false">
      <c r="A10" s="14" t="n">
        <f aca="false">Services!A9</f>
        <v>5</v>
      </c>
      <c r="B10" s="14" t="str">
        <f aca="false">Services!B9</f>
        <v>Eyelash Extension</v>
      </c>
      <c r="C10" s="14" t="str">
        <f aca="false">Services!C9</f>
        <v>Infill</v>
      </c>
      <c r="D10" s="15" t="n">
        <f aca="false">SUMIFS(Service_Consumables!$L$5:$L$856,Service_Consumables!$A$5:$A$856,$A10,Service_Consumables!$E$5:$E$856,D$5,Service_Consumables!$H$5:$H$856,"Auto-deduct")</f>
        <v>0</v>
      </c>
      <c r="E10" s="15" t="n">
        <f aca="false">SUMIFS(Service_Consumables!$L$5:$L$856,Service_Consumables!$A$5:$A$856,$A10,Service_Consumables!$E$5:$E$856,E$5,Service_Consumables!$H$5:$H$856,"Auto-deduct")</f>
        <v>0</v>
      </c>
      <c r="F10" s="15" t="n">
        <f aca="false">SUMIFS(Service_Consumables!$L$5:$L$856,Service_Consumables!$A$5:$A$856,$A10,Service_Consumables!$E$5:$E$856,F$5,Service_Consumables!$H$5:$H$856,"Auto-deduct")</f>
        <v>0</v>
      </c>
      <c r="G10" s="15" t="n">
        <f aca="false">SUMIFS(Service_Consumables!$L$5:$L$856,Service_Consumables!$A$5:$A$856,$A10,Service_Consumables!$E$5:$E$856,G$5,Service_Consumables!$H$5:$H$856,"Auto-deduct")</f>
        <v>0</v>
      </c>
      <c r="H10" s="15" t="n">
        <f aca="false">SUMIFS(Service_Consumables!$L$5:$L$856,Service_Consumables!$A$5:$A$856,$A10,Service_Consumables!$E$5:$E$856,H$5,Service_Consumables!$H$5:$H$856,"Auto-deduct")</f>
        <v>0</v>
      </c>
      <c r="I10" s="15" t="n">
        <f aca="false">SUMIFS(Service_Consumables!$L$5:$L$856,Service_Consumables!$A$5:$A$856,$A10,Service_Consumables!$E$5:$E$856,I$5,Service_Consumables!$H$5:$H$856,"Auto-deduct")</f>
        <v>0</v>
      </c>
      <c r="J10" s="15" t="n">
        <f aca="false">SUMIFS(Service_Consumables!$L$5:$L$856,Service_Consumables!$A$5:$A$856,$A10,Service_Consumables!$E$5:$E$856,J$5,Service_Consumables!$H$5:$H$856,"Auto-deduct")</f>
        <v>0</v>
      </c>
      <c r="K10" s="15" t="n">
        <f aca="false">SUMIFS(Service_Consumables!$L$5:$L$856,Service_Consumables!$A$5:$A$856,$A10,Service_Consumables!$E$5:$E$856,K$5,Service_Consumables!$H$5:$H$856,"Auto-deduct")</f>
        <v>0</v>
      </c>
      <c r="L10" s="15" t="n">
        <f aca="false">SUMIFS(Service_Consumables!$L$5:$L$856,Service_Consumables!$A$5:$A$856,$A10,Service_Consumables!$E$5:$E$856,L$5,Service_Consumables!$H$5:$H$856,"Auto-deduct")</f>
        <v>0</v>
      </c>
      <c r="M10" s="15" t="n">
        <f aca="false">SUMIFS(Service_Consumables!$L$5:$L$856,Service_Consumables!$A$5:$A$856,$A10,Service_Consumables!$E$5:$E$856,M$5,Service_Consumables!$H$5:$H$856,"Auto-deduct")</f>
        <v>0</v>
      </c>
      <c r="N10" s="15" t="n">
        <f aca="false">SUMIFS(Service_Consumables!$L$5:$L$856,Service_Consumables!$A$5:$A$856,$A10,Service_Consumables!$E$5:$E$856,N$5,Service_Consumables!$H$5:$H$856,"Auto-deduct")</f>
        <v>0</v>
      </c>
      <c r="O10" s="15" t="n">
        <f aca="false">SUMIFS(Service_Consumables!$L$5:$L$856,Service_Consumables!$A$5:$A$856,$A10,Service_Consumables!$E$5:$E$856,O$5,Service_Consumables!$H$5:$H$856,"Auto-deduct")</f>
        <v>1</v>
      </c>
      <c r="P10" s="15" t="n">
        <f aca="false">SUMIFS(Service_Consumables!$L$5:$L$856,Service_Consumables!$A$5:$A$856,$A10,Service_Consumables!$E$5:$E$856,P$5,Service_Consumables!$H$5:$H$856,"Auto-deduct")</f>
        <v>1</v>
      </c>
      <c r="Q10" s="15" t="n">
        <f aca="false">SUMIFS(Service_Consumables!$L$5:$L$856,Service_Consumables!$A$5:$A$856,$A10,Service_Consumables!$E$5:$E$856,Q$5,Service_Consumables!$H$5:$H$856,"Auto-deduct")</f>
        <v>1</v>
      </c>
      <c r="R10" s="15" t="n">
        <f aca="false">SUMIFS(Service_Consumables!$L$5:$L$856,Service_Consumables!$A$5:$A$856,$A10,Service_Consumables!$E$5:$E$856,R$5,Service_Consumables!$H$5:$H$856,"Auto-deduct")</f>
        <v>0</v>
      </c>
      <c r="S10" s="15" t="n">
        <f aca="false">SUMIFS(Service_Consumables!$L$5:$L$856,Service_Consumables!$A$5:$A$856,$A10,Service_Consumables!$E$5:$E$856,S$5,Service_Consumables!$H$5:$H$856,"Auto-deduct")</f>
        <v>4</v>
      </c>
      <c r="T10" s="15" t="n">
        <f aca="false">SUMIFS(Service_Consumables!$L$5:$L$856,Service_Consumables!$A$5:$A$856,$A10,Service_Consumables!$E$5:$E$856,T$5,Service_Consumables!$H$5:$H$856,"Auto-deduct")</f>
        <v>0</v>
      </c>
      <c r="U10" s="15" t="n">
        <f aca="false">SUMIFS(Service_Consumables!$L$5:$L$856,Service_Consumables!$A$5:$A$856,$A10,Service_Consumables!$E$5:$E$856,U$5,Service_Consumables!$H$5:$H$856,"Auto-deduct")</f>
        <v>0</v>
      </c>
      <c r="V10" s="15" t="n">
        <f aca="false">SUMIFS(Service_Consumables!$L$5:$L$856,Service_Consumables!$A$5:$A$856,$A10,Service_Consumables!$E$5:$E$856,V$5,Service_Consumables!$H$5:$H$856,"Auto-deduct")</f>
        <v>3</v>
      </c>
      <c r="W10" s="15" t="n">
        <f aca="false">SUMIFS(Service_Consumables!$L$5:$L$856,Service_Consumables!$A$5:$A$856,$A10,Service_Consumables!$E$5:$E$856,W$5,Service_Consumables!$H$5:$H$856,"Auto-deduct")</f>
        <v>4</v>
      </c>
      <c r="X10" s="15" t="n">
        <f aca="false">SUMIFS(Service_Consumables!$L$5:$L$856,Service_Consumables!$A$5:$A$856,$A10,Service_Consumables!$E$5:$E$856,X$5,Service_Consumables!$H$5:$H$856,"Auto-deduct")</f>
        <v>0</v>
      </c>
      <c r="Y10" s="15" t="n">
        <f aca="false">SUMIFS(Service_Consumables!$L$5:$L$856,Service_Consumables!$A$5:$A$856,$A10,Service_Consumables!$E$5:$E$856,Y$5,Service_Consumables!$H$5:$H$856,"Auto-deduct")</f>
        <v>30</v>
      </c>
      <c r="Z10" s="15" t="n">
        <f aca="false">SUMIFS(Service_Consumables!$L$5:$L$856,Service_Consumables!$A$5:$A$856,$A10,Service_Consumables!$E$5:$E$856,Z$5,Service_Consumables!$H$5:$H$856,"Auto-deduct")</f>
        <v>0</v>
      </c>
      <c r="AA10" s="15" t="n">
        <f aca="false">SUMIFS(Service_Consumables!$L$5:$L$856,Service_Consumables!$A$5:$A$856,$A10,Service_Consumables!$E$5:$E$856,AA$5,Service_Consumables!$H$5:$H$856,"Auto-deduct")</f>
        <v>0</v>
      </c>
      <c r="AB10" s="15" t="n">
        <f aca="false">SUMIFS(Service_Consumables!$L$5:$L$856,Service_Consumables!$A$5:$A$856,$A10,Service_Consumables!$E$5:$E$856,AB$5,Service_Consumables!$H$5:$H$856,"Auto-deduct")</f>
        <v>0</v>
      </c>
      <c r="AC10" s="15" t="n">
        <f aca="false">SUMIFS(Service_Consumables!$L$5:$L$856,Service_Consumables!$A$5:$A$856,$A10,Service_Consumables!$E$5:$E$856,AC$5,Service_Consumables!$H$5:$H$856,"Auto-deduct")</f>
        <v>2</v>
      </c>
      <c r="AD10" s="15" t="n">
        <f aca="false">SUMIFS(Service_Consumables!$L$5:$L$856,Service_Consumables!$A$5:$A$856,$A10,Service_Consumables!$E$5:$E$856,AD$5,Service_Consumables!$H$5:$H$856,"Auto-deduct")</f>
        <v>10</v>
      </c>
      <c r="AE10" s="15" t="n">
        <f aca="false">SUMIFS(Service_Consumables!$L$5:$L$856,Service_Consumables!$A$5:$A$856,$A10,Service_Consumables!$E$5:$E$856,AE$5,Service_Consumables!$H$5:$H$856,"Auto-deduct")</f>
        <v>0</v>
      </c>
      <c r="AF10" s="15" t="n">
        <f aca="false">SUMIFS(Service_Consumables!$L$5:$L$856,Service_Consumables!$A$5:$A$856,$A10,Service_Consumables!$E$5:$E$856,AF$5,Service_Consumables!$H$5:$H$856,"Auto-deduct")</f>
        <v>0</v>
      </c>
      <c r="AG10" s="15" t="n">
        <f aca="false">SUMIFS(Service_Consumables!$L$5:$L$856,Service_Consumables!$A$5:$A$856,$A10,Service_Consumables!$E$5:$E$856,AG$5,Service_Consumables!$H$5:$H$856,"Auto-deduct")</f>
        <v>0</v>
      </c>
      <c r="AH10" s="15" t="n">
        <f aca="false">SUMIFS(Service_Consumables!$L$5:$L$856,Service_Consumables!$A$5:$A$856,$A10,Service_Consumables!$E$5:$E$856,AH$5,Service_Consumables!$H$5:$H$856,"Auto-deduct")</f>
        <v>0</v>
      </c>
      <c r="AI10" s="15" t="n">
        <f aca="false">SUMIFS(Service_Consumables!$L$5:$L$856,Service_Consumables!$A$5:$A$856,$A10,Service_Consumables!$E$5:$E$856,AI$5,Service_Consumables!$H$5:$H$856,"Auto-deduct")</f>
        <v>0</v>
      </c>
      <c r="AJ10" s="15" t="n">
        <f aca="false">SUMIFS(Service_Consumables!$L$5:$L$856,Service_Consumables!$A$5:$A$856,$A10,Service_Consumables!$E$5:$E$856,AJ$5,Service_Consumables!$H$5:$H$856,"Auto-deduct")</f>
        <v>0</v>
      </c>
      <c r="AK10" s="15" t="n">
        <f aca="false">SUMIFS(Service_Consumables!$L$5:$L$856,Service_Consumables!$A$5:$A$856,$A10,Service_Consumables!$E$5:$E$856,AK$5,Service_Consumables!$H$5:$H$856,"Auto-deduct")</f>
        <v>0</v>
      </c>
      <c r="AL10" s="15" t="n">
        <f aca="false">SUMIFS(Service_Consumables!$L$5:$L$856,Service_Consumables!$A$5:$A$856,$A10,Service_Consumables!$E$5:$E$856,AL$5,Service_Consumables!$H$5:$H$856,"Auto-deduct")</f>
        <v>0</v>
      </c>
      <c r="AM10" s="15" t="n">
        <f aca="false">SUMIFS(Service_Consumables!$L$5:$L$856,Service_Consumables!$A$5:$A$856,$A10,Service_Consumables!$E$5:$E$856,AM$5,Service_Consumables!$H$5:$H$856,"Auto-deduct")</f>
        <v>0</v>
      </c>
      <c r="AN10" s="15" t="n">
        <f aca="false">SUMIFS(Service_Consumables!$L$5:$L$856,Service_Consumables!$A$5:$A$856,$A10,Service_Consumables!$E$5:$E$856,AN$5,Service_Consumables!$H$5:$H$856,"Auto-deduct")</f>
        <v>0</v>
      </c>
      <c r="AO10" s="15" t="n">
        <f aca="false">SUMIFS(Service_Consumables!$L$5:$L$856,Service_Consumables!$A$5:$A$856,$A10,Service_Consumables!$E$5:$E$856,AO$5,Service_Consumables!$H$5:$H$856,"Auto-deduct")</f>
        <v>0</v>
      </c>
      <c r="AP10" s="15" t="n">
        <f aca="false">SUMIFS(Service_Consumables!$L$5:$L$856,Service_Consumables!$A$5:$A$856,$A10,Service_Consumables!$E$5:$E$856,AP$5,Service_Consumables!$H$5:$H$856,"Auto-deduct")</f>
        <v>0</v>
      </c>
      <c r="AQ10" s="15" t="n">
        <f aca="false">SUMIFS(Service_Consumables!$L$5:$L$856,Service_Consumables!$A$5:$A$856,$A10,Service_Consumables!$E$5:$E$856,AQ$5,Service_Consumables!$H$5:$H$856,"Auto-deduct")</f>
        <v>0</v>
      </c>
      <c r="AR10" s="15" t="n">
        <f aca="false">SUMIFS(Service_Consumables!$L$5:$L$856,Service_Consumables!$A$5:$A$856,$A10,Service_Consumables!$E$5:$E$856,AR$5,Service_Consumables!$H$5:$H$856,"Auto-deduct")</f>
        <v>0</v>
      </c>
      <c r="AS10" s="15" t="n">
        <f aca="false">SUMIFS(Service_Consumables!$L$5:$L$856,Service_Consumables!$A$5:$A$856,$A10,Service_Consumables!$E$5:$E$856,AS$5,Service_Consumables!$H$5:$H$856,"Auto-deduct")</f>
        <v>0</v>
      </c>
      <c r="AT10" s="15" t="n">
        <f aca="false">SUMIFS(Service_Consumables!$L$5:$L$856,Service_Consumables!$A$5:$A$856,$A10,Service_Consumables!$E$5:$E$856,AT$5,Service_Consumables!$H$5:$H$856,"Auto-deduct")</f>
        <v>0</v>
      </c>
      <c r="AU10" s="15" t="n">
        <f aca="false">SUMIFS(Service_Consumables!$L$5:$L$856,Service_Consumables!$A$5:$A$856,$A10,Service_Consumables!$E$5:$E$856,AU$5,Service_Consumables!$H$5:$H$856,"Auto-deduct")</f>
        <v>0</v>
      </c>
      <c r="AV10" s="15" t="n">
        <f aca="false">SUMIFS(Service_Consumables!$L$5:$L$856,Service_Consumables!$A$5:$A$856,$A10,Service_Consumables!$E$5:$E$856,AV$5,Service_Consumables!$H$5:$H$856,"Auto-deduct")</f>
        <v>0</v>
      </c>
      <c r="AW10" s="15" t="n">
        <f aca="false">SUMIFS(Service_Consumables!$L$5:$L$856,Service_Consumables!$A$5:$A$856,$A10,Service_Consumables!$E$5:$E$856,AW$5,Service_Consumables!$H$5:$H$856,"Auto-deduct")</f>
        <v>0</v>
      </c>
      <c r="AX10" s="15" t="n">
        <f aca="false">SUMIFS(Service_Consumables!$L$5:$L$856,Service_Consumables!$A$5:$A$856,$A10,Service_Consumables!$E$5:$E$856,AX$5,Service_Consumables!$H$5:$H$856,"Auto-deduct")</f>
        <v>0</v>
      </c>
      <c r="AY10" s="15" t="n">
        <f aca="false">SUMIFS(Service_Consumables!$L$5:$L$856,Service_Consumables!$A$5:$A$856,$A10,Service_Consumables!$E$5:$E$856,AY$5,Service_Consumables!$H$5:$H$856,"Auto-deduct")</f>
        <v>0</v>
      </c>
      <c r="AZ10" s="15" t="n">
        <f aca="false">SUMIFS(Service_Consumables!$L$5:$L$856,Service_Consumables!$A$5:$A$856,$A10,Service_Consumables!$E$5:$E$856,AZ$5,Service_Consumables!$H$5:$H$856,"Auto-deduct")</f>
        <v>0</v>
      </c>
      <c r="BA10" s="15" t="n">
        <f aca="false">SUMIFS(Service_Consumables!$L$5:$L$856,Service_Consumables!$A$5:$A$856,$A10,Service_Consumables!$E$5:$E$856,BA$5,Service_Consumables!$H$5:$H$856,"Auto-deduct")</f>
        <v>0</v>
      </c>
      <c r="BB10" s="15" t="n">
        <f aca="false">SUMIFS(Service_Consumables!$L$5:$L$856,Service_Consumables!$A$5:$A$856,$A10,Service_Consumables!$E$5:$E$856,BB$5,Service_Consumables!$H$5:$H$856,"Auto-deduct")</f>
        <v>0</v>
      </c>
      <c r="BC10" s="15" t="n">
        <f aca="false">SUMIFS(Service_Consumables!$L$5:$L$856,Service_Consumables!$A$5:$A$856,$A10,Service_Consumables!$E$5:$E$856,BC$5,Service_Consumables!$H$5:$H$856,"Auto-deduct")</f>
        <v>0</v>
      </c>
      <c r="BD10" s="15" t="n">
        <f aca="false">SUMIFS(Service_Consumables!$L$5:$L$856,Service_Consumables!$A$5:$A$856,$A10,Service_Consumables!$E$5:$E$856,BD$5,Service_Consumables!$H$5:$H$856,"Auto-deduct")</f>
        <v>0</v>
      </c>
      <c r="BE10" s="15" t="n">
        <f aca="false">SUMIFS(Service_Consumables!$L$5:$L$856,Service_Consumables!$A$5:$A$856,$A10,Service_Consumables!$E$5:$E$856,BE$5,Service_Consumables!$H$5:$H$856,"Auto-deduct")</f>
        <v>0</v>
      </c>
      <c r="BF10" s="15" t="n">
        <f aca="false">SUMIFS(Service_Consumables!$L$5:$L$856,Service_Consumables!$A$5:$A$856,$A10,Service_Consumables!$E$5:$E$856,BF$5,Service_Consumables!$H$5:$H$856,"Auto-deduct")</f>
        <v>0</v>
      </c>
      <c r="BG10" s="15" t="n">
        <f aca="false">SUMIFS(Service_Consumables!$L$5:$L$856,Service_Consumables!$A$5:$A$856,$A10,Service_Consumables!$E$5:$E$856,BG$5,Service_Consumables!$H$5:$H$856,"Auto-deduct")</f>
        <v>0</v>
      </c>
      <c r="BH10" s="15" t="n">
        <f aca="false">SUMIFS(Service_Consumables!$L$5:$L$856,Service_Consumables!$A$5:$A$856,$A10,Service_Consumables!$E$5:$E$856,BH$5,Service_Consumables!$H$5:$H$856,"Auto-deduct")</f>
        <v>0</v>
      </c>
      <c r="BI10" s="15" t="n">
        <f aca="false">SUMIFS(Service_Consumables!$L$5:$L$856,Service_Consumables!$A$5:$A$856,$A10,Service_Consumables!$E$5:$E$856,BI$5,Service_Consumables!$H$5:$H$856,"Auto-deduct")</f>
        <v>0</v>
      </c>
    </row>
    <row r="11" customFormat="false" ht="15" hidden="false" customHeight="false" outlineLevel="0" collapsed="false">
      <c r="A11" s="14" t="n">
        <f aca="false">Services!A10</f>
        <v>6</v>
      </c>
      <c r="B11" s="14" t="str">
        <f aca="false">Services!B10</f>
        <v>Eyelash Extension</v>
      </c>
      <c r="C11" s="14" t="str">
        <f aca="false">Services!C10</f>
        <v>Removal</v>
      </c>
      <c r="D11" s="15" t="n">
        <f aca="false">SUMIFS(Service_Consumables!$L$5:$L$856,Service_Consumables!$A$5:$A$856,$A11,Service_Consumables!$E$5:$E$856,D$5,Service_Consumables!$H$5:$H$856,"Auto-deduct")</f>
        <v>0</v>
      </c>
      <c r="E11" s="15" t="n">
        <f aca="false">SUMIFS(Service_Consumables!$L$5:$L$856,Service_Consumables!$A$5:$A$856,$A11,Service_Consumables!$E$5:$E$856,E$5,Service_Consumables!$H$5:$H$856,"Auto-deduct")</f>
        <v>0</v>
      </c>
      <c r="F11" s="15" t="n">
        <f aca="false">SUMIFS(Service_Consumables!$L$5:$L$856,Service_Consumables!$A$5:$A$856,$A11,Service_Consumables!$E$5:$E$856,F$5,Service_Consumables!$H$5:$H$856,"Auto-deduct")</f>
        <v>0</v>
      </c>
      <c r="G11" s="15" t="n">
        <f aca="false">SUMIFS(Service_Consumables!$L$5:$L$856,Service_Consumables!$A$5:$A$856,$A11,Service_Consumables!$E$5:$E$856,G$5,Service_Consumables!$H$5:$H$856,"Auto-deduct")</f>
        <v>0</v>
      </c>
      <c r="H11" s="15" t="n">
        <f aca="false">SUMIFS(Service_Consumables!$L$5:$L$856,Service_Consumables!$A$5:$A$856,$A11,Service_Consumables!$E$5:$E$856,H$5,Service_Consumables!$H$5:$H$856,"Auto-deduct")</f>
        <v>0</v>
      </c>
      <c r="I11" s="15" t="n">
        <f aca="false">SUMIFS(Service_Consumables!$L$5:$L$856,Service_Consumables!$A$5:$A$856,$A11,Service_Consumables!$E$5:$E$856,I$5,Service_Consumables!$H$5:$H$856,"Auto-deduct")</f>
        <v>0</v>
      </c>
      <c r="J11" s="15" t="n">
        <f aca="false">SUMIFS(Service_Consumables!$L$5:$L$856,Service_Consumables!$A$5:$A$856,$A11,Service_Consumables!$E$5:$E$856,J$5,Service_Consumables!$H$5:$H$856,"Auto-deduct")</f>
        <v>0</v>
      </c>
      <c r="K11" s="15" t="n">
        <f aca="false">SUMIFS(Service_Consumables!$L$5:$L$856,Service_Consumables!$A$5:$A$856,$A11,Service_Consumables!$E$5:$E$856,K$5,Service_Consumables!$H$5:$H$856,"Auto-deduct")</f>
        <v>0</v>
      </c>
      <c r="L11" s="15" t="n">
        <f aca="false">SUMIFS(Service_Consumables!$L$5:$L$856,Service_Consumables!$A$5:$A$856,$A11,Service_Consumables!$E$5:$E$856,L$5,Service_Consumables!$H$5:$H$856,"Auto-deduct")</f>
        <v>0</v>
      </c>
      <c r="M11" s="15" t="n">
        <f aca="false">SUMIFS(Service_Consumables!$L$5:$L$856,Service_Consumables!$A$5:$A$856,$A11,Service_Consumables!$E$5:$E$856,M$5,Service_Consumables!$H$5:$H$856,"Auto-deduct")</f>
        <v>0</v>
      </c>
      <c r="N11" s="15" t="n">
        <f aca="false">SUMIFS(Service_Consumables!$L$5:$L$856,Service_Consumables!$A$5:$A$856,$A11,Service_Consumables!$E$5:$E$856,N$5,Service_Consumables!$H$5:$H$856,"Auto-deduct")</f>
        <v>0</v>
      </c>
      <c r="O11" s="15" t="n">
        <f aca="false">SUMIFS(Service_Consumables!$L$5:$L$856,Service_Consumables!$A$5:$A$856,$A11,Service_Consumables!$E$5:$E$856,O$5,Service_Consumables!$H$5:$H$856,"Auto-deduct")</f>
        <v>1</v>
      </c>
      <c r="P11" s="15" t="n">
        <f aca="false">SUMIFS(Service_Consumables!$L$5:$L$856,Service_Consumables!$A$5:$A$856,$A11,Service_Consumables!$E$5:$E$856,P$5,Service_Consumables!$H$5:$H$856,"Auto-deduct")</f>
        <v>1</v>
      </c>
      <c r="Q11" s="15" t="n">
        <f aca="false">SUMIFS(Service_Consumables!$L$5:$L$856,Service_Consumables!$A$5:$A$856,$A11,Service_Consumables!$E$5:$E$856,Q$5,Service_Consumables!$H$5:$H$856,"Auto-deduct")</f>
        <v>1</v>
      </c>
      <c r="R11" s="15" t="n">
        <f aca="false">SUMIFS(Service_Consumables!$L$5:$L$856,Service_Consumables!$A$5:$A$856,$A11,Service_Consumables!$E$5:$E$856,R$5,Service_Consumables!$H$5:$H$856,"Auto-deduct")</f>
        <v>0</v>
      </c>
      <c r="S11" s="15" t="n">
        <f aca="false">SUMIFS(Service_Consumables!$L$5:$L$856,Service_Consumables!$A$5:$A$856,$A11,Service_Consumables!$E$5:$E$856,S$5,Service_Consumables!$H$5:$H$856,"Auto-deduct")</f>
        <v>0</v>
      </c>
      <c r="T11" s="15" t="n">
        <f aca="false">SUMIFS(Service_Consumables!$L$5:$L$856,Service_Consumables!$A$5:$A$856,$A11,Service_Consumables!$E$5:$E$856,T$5,Service_Consumables!$H$5:$H$856,"Auto-deduct")</f>
        <v>0</v>
      </c>
      <c r="U11" s="15" t="n">
        <f aca="false">SUMIFS(Service_Consumables!$L$5:$L$856,Service_Consumables!$A$5:$A$856,$A11,Service_Consumables!$E$5:$E$856,U$5,Service_Consumables!$H$5:$H$856,"Auto-deduct")</f>
        <v>0</v>
      </c>
      <c r="V11" s="15" t="n">
        <f aca="false">SUMIFS(Service_Consumables!$L$5:$L$856,Service_Consumables!$A$5:$A$856,$A11,Service_Consumables!$E$5:$E$856,V$5,Service_Consumables!$H$5:$H$856,"Auto-deduct")</f>
        <v>5</v>
      </c>
      <c r="W11" s="15" t="n">
        <f aca="false">SUMIFS(Service_Consumables!$L$5:$L$856,Service_Consumables!$A$5:$A$856,$A11,Service_Consumables!$E$5:$E$856,W$5,Service_Consumables!$H$5:$H$856,"Auto-deduct")</f>
        <v>4</v>
      </c>
      <c r="X11" s="15" t="n">
        <f aca="false">SUMIFS(Service_Consumables!$L$5:$L$856,Service_Consumables!$A$5:$A$856,$A11,Service_Consumables!$E$5:$E$856,X$5,Service_Consumables!$H$5:$H$856,"Auto-deduct")</f>
        <v>0</v>
      </c>
      <c r="Y11" s="15" t="n">
        <f aca="false">SUMIFS(Service_Consumables!$L$5:$L$856,Service_Consumables!$A$5:$A$856,$A11,Service_Consumables!$E$5:$E$856,Y$5,Service_Consumables!$H$5:$H$856,"Auto-deduct")</f>
        <v>30</v>
      </c>
      <c r="Z11" s="15" t="n">
        <f aca="false">SUMIFS(Service_Consumables!$L$5:$L$856,Service_Consumables!$A$5:$A$856,$A11,Service_Consumables!$E$5:$E$856,Z$5,Service_Consumables!$H$5:$H$856,"Auto-deduct")</f>
        <v>0</v>
      </c>
      <c r="AA11" s="15" t="n">
        <f aca="false">SUMIFS(Service_Consumables!$L$5:$L$856,Service_Consumables!$A$5:$A$856,$A11,Service_Consumables!$E$5:$E$856,AA$5,Service_Consumables!$H$5:$H$856,"Auto-deduct")</f>
        <v>0</v>
      </c>
      <c r="AB11" s="15" t="n">
        <f aca="false">SUMIFS(Service_Consumables!$L$5:$L$856,Service_Consumables!$A$5:$A$856,$A11,Service_Consumables!$E$5:$E$856,AB$5,Service_Consumables!$H$5:$H$856,"Auto-deduct")</f>
        <v>0</v>
      </c>
      <c r="AC11" s="15" t="n">
        <f aca="false">SUMIFS(Service_Consumables!$L$5:$L$856,Service_Consumables!$A$5:$A$856,$A11,Service_Consumables!$E$5:$E$856,AC$5,Service_Consumables!$H$5:$H$856,"Auto-deduct")</f>
        <v>2</v>
      </c>
      <c r="AD11" s="15" t="n">
        <f aca="false">SUMIFS(Service_Consumables!$L$5:$L$856,Service_Consumables!$A$5:$A$856,$A11,Service_Consumables!$E$5:$E$856,AD$5,Service_Consumables!$H$5:$H$856,"Auto-deduct")</f>
        <v>5</v>
      </c>
      <c r="AE11" s="15" t="n">
        <f aca="false">SUMIFS(Service_Consumables!$L$5:$L$856,Service_Consumables!$A$5:$A$856,$A11,Service_Consumables!$E$5:$E$856,AE$5,Service_Consumables!$H$5:$H$856,"Auto-deduct")</f>
        <v>0</v>
      </c>
      <c r="AF11" s="15" t="n">
        <f aca="false">SUMIFS(Service_Consumables!$L$5:$L$856,Service_Consumables!$A$5:$A$856,$A11,Service_Consumables!$E$5:$E$856,AF$5,Service_Consumables!$H$5:$H$856,"Auto-deduct")</f>
        <v>0</v>
      </c>
      <c r="AG11" s="15" t="n">
        <f aca="false">SUMIFS(Service_Consumables!$L$5:$L$856,Service_Consumables!$A$5:$A$856,$A11,Service_Consumables!$E$5:$E$856,AG$5,Service_Consumables!$H$5:$H$856,"Auto-deduct")</f>
        <v>0</v>
      </c>
      <c r="AH11" s="15" t="n">
        <f aca="false">SUMIFS(Service_Consumables!$L$5:$L$856,Service_Consumables!$A$5:$A$856,$A11,Service_Consumables!$E$5:$E$856,AH$5,Service_Consumables!$H$5:$H$856,"Auto-deduct")</f>
        <v>0</v>
      </c>
      <c r="AI11" s="15" t="n">
        <f aca="false">SUMIFS(Service_Consumables!$L$5:$L$856,Service_Consumables!$A$5:$A$856,$A11,Service_Consumables!$E$5:$E$856,AI$5,Service_Consumables!$H$5:$H$856,"Auto-deduct")</f>
        <v>0</v>
      </c>
      <c r="AJ11" s="15" t="n">
        <f aca="false">SUMIFS(Service_Consumables!$L$5:$L$856,Service_Consumables!$A$5:$A$856,$A11,Service_Consumables!$E$5:$E$856,AJ$5,Service_Consumables!$H$5:$H$856,"Auto-deduct")</f>
        <v>0</v>
      </c>
      <c r="AK11" s="15" t="n">
        <f aca="false">SUMIFS(Service_Consumables!$L$5:$L$856,Service_Consumables!$A$5:$A$856,$A11,Service_Consumables!$E$5:$E$856,AK$5,Service_Consumables!$H$5:$H$856,"Auto-deduct")</f>
        <v>0</v>
      </c>
      <c r="AL11" s="15" t="n">
        <f aca="false">SUMIFS(Service_Consumables!$L$5:$L$856,Service_Consumables!$A$5:$A$856,$A11,Service_Consumables!$E$5:$E$856,AL$5,Service_Consumables!$H$5:$H$856,"Auto-deduct")</f>
        <v>0</v>
      </c>
      <c r="AM11" s="15" t="n">
        <f aca="false">SUMIFS(Service_Consumables!$L$5:$L$856,Service_Consumables!$A$5:$A$856,$A11,Service_Consumables!$E$5:$E$856,AM$5,Service_Consumables!$H$5:$H$856,"Auto-deduct")</f>
        <v>0</v>
      </c>
      <c r="AN11" s="15" t="n">
        <f aca="false">SUMIFS(Service_Consumables!$L$5:$L$856,Service_Consumables!$A$5:$A$856,$A11,Service_Consumables!$E$5:$E$856,AN$5,Service_Consumables!$H$5:$H$856,"Auto-deduct")</f>
        <v>0</v>
      </c>
      <c r="AO11" s="15" t="n">
        <f aca="false">SUMIFS(Service_Consumables!$L$5:$L$856,Service_Consumables!$A$5:$A$856,$A11,Service_Consumables!$E$5:$E$856,AO$5,Service_Consumables!$H$5:$H$856,"Auto-deduct")</f>
        <v>0</v>
      </c>
      <c r="AP11" s="15" t="n">
        <f aca="false">SUMIFS(Service_Consumables!$L$5:$L$856,Service_Consumables!$A$5:$A$856,$A11,Service_Consumables!$E$5:$E$856,AP$5,Service_Consumables!$H$5:$H$856,"Auto-deduct")</f>
        <v>0</v>
      </c>
      <c r="AQ11" s="15" t="n">
        <f aca="false">SUMIFS(Service_Consumables!$L$5:$L$856,Service_Consumables!$A$5:$A$856,$A11,Service_Consumables!$E$5:$E$856,AQ$5,Service_Consumables!$H$5:$H$856,"Auto-deduct")</f>
        <v>0</v>
      </c>
      <c r="AR11" s="15" t="n">
        <f aca="false">SUMIFS(Service_Consumables!$L$5:$L$856,Service_Consumables!$A$5:$A$856,$A11,Service_Consumables!$E$5:$E$856,AR$5,Service_Consumables!$H$5:$H$856,"Auto-deduct")</f>
        <v>0</v>
      </c>
      <c r="AS11" s="15" t="n">
        <f aca="false">SUMIFS(Service_Consumables!$L$5:$L$856,Service_Consumables!$A$5:$A$856,$A11,Service_Consumables!$E$5:$E$856,AS$5,Service_Consumables!$H$5:$H$856,"Auto-deduct")</f>
        <v>0</v>
      </c>
      <c r="AT11" s="15" t="n">
        <f aca="false">SUMIFS(Service_Consumables!$L$5:$L$856,Service_Consumables!$A$5:$A$856,$A11,Service_Consumables!$E$5:$E$856,AT$5,Service_Consumables!$H$5:$H$856,"Auto-deduct")</f>
        <v>0</v>
      </c>
      <c r="AU11" s="15" t="n">
        <f aca="false">SUMIFS(Service_Consumables!$L$5:$L$856,Service_Consumables!$A$5:$A$856,$A11,Service_Consumables!$E$5:$E$856,AU$5,Service_Consumables!$H$5:$H$856,"Auto-deduct")</f>
        <v>0</v>
      </c>
      <c r="AV11" s="15" t="n">
        <f aca="false">SUMIFS(Service_Consumables!$L$5:$L$856,Service_Consumables!$A$5:$A$856,$A11,Service_Consumables!$E$5:$E$856,AV$5,Service_Consumables!$H$5:$H$856,"Auto-deduct")</f>
        <v>0</v>
      </c>
      <c r="AW11" s="15" t="n">
        <f aca="false">SUMIFS(Service_Consumables!$L$5:$L$856,Service_Consumables!$A$5:$A$856,$A11,Service_Consumables!$E$5:$E$856,AW$5,Service_Consumables!$H$5:$H$856,"Auto-deduct")</f>
        <v>0</v>
      </c>
      <c r="AX11" s="15" t="n">
        <f aca="false">SUMIFS(Service_Consumables!$L$5:$L$856,Service_Consumables!$A$5:$A$856,$A11,Service_Consumables!$E$5:$E$856,AX$5,Service_Consumables!$H$5:$H$856,"Auto-deduct")</f>
        <v>0</v>
      </c>
      <c r="AY11" s="15" t="n">
        <f aca="false">SUMIFS(Service_Consumables!$L$5:$L$856,Service_Consumables!$A$5:$A$856,$A11,Service_Consumables!$E$5:$E$856,AY$5,Service_Consumables!$H$5:$H$856,"Auto-deduct")</f>
        <v>0</v>
      </c>
      <c r="AZ11" s="15" t="n">
        <f aca="false">SUMIFS(Service_Consumables!$L$5:$L$856,Service_Consumables!$A$5:$A$856,$A11,Service_Consumables!$E$5:$E$856,AZ$5,Service_Consumables!$H$5:$H$856,"Auto-deduct")</f>
        <v>0</v>
      </c>
      <c r="BA11" s="15" t="n">
        <f aca="false">SUMIFS(Service_Consumables!$L$5:$L$856,Service_Consumables!$A$5:$A$856,$A11,Service_Consumables!$E$5:$E$856,BA$5,Service_Consumables!$H$5:$H$856,"Auto-deduct")</f>
        <v>0</v>
      </c>
      <c r="BB11" s="15" t="n">
        <f aca="false">SUMIFS(Service_Consumables!$L$5:$L$856,Service_Consumables!$A$5:$A$856,$A11,Service_Consumables!$E$5:$E$856,BB$5,Service_Consumables!$H$5:$H$856,"Auto-deduct")</f>
        <v>0</v>
      </c>
      <c r="BC11" s="15" t="n">
        <f aca="false">SUMIFS(Service_Consumables!$L$5:$L$856,Service_Consumables!$A$5:$A$856,$A11,Service_Consumables!$E$5:$E$856,BC$5,Service_Consumables!$H$5:$H$856,"Auto-deduct")</f>
        <v>0</v>
      </c>
      <c r="BD11" s="15" t="n">
        <f aca="false">SUMIFS(Service_Consumables!$L$5:$L$856,Service_Consumables!$A$5:$A$856,$A11,Service_Consumables!$E$5:$E$856,BD$5,Service_Consumables!$H$5:$H$856,"Auto-deduct")</f>
        <v>0</v>
      </c>
      <c r="BE11" s="15" t="n">
        <f aca="false">SUMIFS(Service_Consumables!$L$5:$L$856,Service_Consumables!$A$5:$A$856,$A11,Service_Consumables!$E$5:$E$856,BE$5,Service_Consumables!$H$5:$H$856,"Auto-deduct")</f>
        <v>0</v>
      </c>
      <c r="BF11" s="15" t="n">
        <f aca="false">SUMIFS(Service_Consumables!$L$5:$L$856,Service_Consumables!$A$5:$A$856,$A11,Service_Consumables!$E$5:$E$856,BF$5,Service_Consumables!$H$5:$H$856,"Auto-deduct")</f>
        <v>0</v>
      </c>
      <c r="BG11" s="15" t="n">
        <f aca="false">SUMIFS(Service_Consumables!$L$5:$L$856,Service_Consumables!$A$5:$A$856,$A11,Service_Consumables!$E$5:$E$856,BG$5,Service_Consumables!$H$5:$H$856,"Auto-deduct")</f>
        <v>0</v>
      </c>
      <c r="BH11" s="15" t="n">
        <f aca="false">SUMIFS(Service_Consumables!$L$5:$L$856,Service_Consumables!$A$5:$A$856,$A11,Service_Consumables!$E$5:$E$856,BH$5,Service_Consumables!$H$5:$H$856,"Auto-deduct")</f>
        <v>0</v>
      </c>
      <c r="BI11" s="15" t="n">
        <f aca="false">SUMIFS(Service_Consumables!$L$5:$L$856,Service_Consumables!$A$5:$A$856,$A11,Service_Consumables!$E$5:$E$856,BI$5,Service_Consumables!$H$5:$H$856,"Auto-deduct")</f>
        <v>0</v>
      </c>
    </row>
    <row r="12" customFormat="false" ht="15" hidden="false" customHeight="false" outlineLevel="0" collapsed="false">
      <c r="A12" s="14" t="n">
        <f aca="false">Services!A11</f>
        <v>7</v>
      </c>
      <c r="B12" s="14" t="str">
        <f aca="false">Services!B11</f>
        <v>Threading Services</v>
      </c>
      <c r="C12" s="14" t="str">
        <f aca="false">Services!C11</f>
        <v>Eyebrow</v>
      </c>
      <c r="D12" s="15" t="n">
        <f aca="false">SUMIFS(Service_Consumables!$L$5:$L$856,Service_Consumables!$A$5:$A$856,$A12,Service_Consumables!$E$5:$E$856,D$5,Service_Consumables!$H$5:$H$856,"Auto-deduct")</f>
        <v>0</v>
      </c>
      <c r="E12" s="15" t="n">
        <f aca="false">SUMIFS(Service_Consumables!$L$5:$L$856,Service_Consumables!$A$5:$A$856,$A12,Service_Consumables!$E$5:$E$856,E$5,Service_Consumables!$H$5:$H$856,"Auto-deduct")</f>
        <v>0</v>
      </c>
      <c r="F12" s="15" t="n">
        <f aca="false">SUMIFS(Service_Consumables!$L$5:$L$856,Service_Consumables!$A$5:$A$856,$A12,Service_Consumables!$E$5:$E$856,F$5,Service_Consumables!$H$5:$H$856,"Auto-deduct")</f>
        <v>0</v>
      </c>
      <c r="G12" s="15" t="n">
        <f aca="false">SUMIFS(Service_Consumables!$L$5:$L$856,Service_Consumables!$A$5:$A$856,$A12,Service_Consumables!$E$5:$E$856,G$5,Service_Consumables!$H$5:$H$856,"Auto-deduct")</f>
        <v>0</v>
      </c>
      <c r="H12" s="15" t="n">
        <f aca="false">SUMIFS(Service_Consumables!$L$5:$L$856,Service_Consumables!$A$5:$A$856,$A12,Service_Consumables!$E$5:$E$856,H$5,Service_Consumables!$H$5:$H$856,"Auto-deduct")</f>
        <v>0</v>
      </c>
      <c r="I12" s="15" t="n">
        <f aca="false">SUMIFS(Service_Consumables!$L$5:$L$856,Service_Consumables!$A$5:$A$856,$A12,Service_Consumables!$E$5:$E$856,I$5,Service_Consumables!$H$5:$H$856,"Auto-deduct")</f>
        <v>0</v>
      </c>
      <c r="J12" s="15" t="n">
        <f aca="false">SUMIFS(Service_Consumables!$L$5:$L$856,Service_Consumables!$A$5:$A$856,$A12,Service_Consumables!$E$5:$E$856,J$5,Service_Consumables!$H$5:$H$856,"Auto-deduct")</f>
        <v>0</v>
      </c>
      <c r="K12" s="15" t="n">
        <f aca="false">SUMIFS(Service_Consumables!$L$5:$L$856,Service_Consumables!$A$5:$A$856,$A12,Service_Consumables!$E$5:$E$856,K$5,Service_Consumables!$H$5:$H$856,"Auto-deduct")</f>
        <v>0</v>
      </c>
      <c r="L12" s="15" t="n">
        <f aca="false">SUMIFS(Service_Consumables!$L$5:$L$856,Service_Consumables!$A$5:$A$856,$A12,Service_Consumables!$E$5:$E$856,L$5,Service_Consumables!$H$5:$H$856,"Auto-deduct")</f>
        <v>0</v>
      </c>
      <c r="M12" s="15" t="n">
        <f aca="false">SUMIFS(Service_Consumables!$L$5:$L$856,Service_Consumables!$A$5:$A$856,$A12,Service_Consumables!$E$5:$E$856,M$5,Service_Consumables!$H$5:$H$856,"Auto-deduct")</f>
        <v>0</v>
      </c>
      <c r="N12" s="15" t="n">
        <f aca="false">SUMIFS(Service_Consumables!$L$5:$L$856,Service_Consumables!$A$5:$A$856,$A12,Service_Consumables!$E$5:$E$856,N$5,Service_Consumables!$H$5:$H$856,"Auto-deduct")</f>
        <v>0</v>
      </c>
      <c r="O12" s="15" t="n">
        <f aca="false">SUMIFS(Service_Consumables!$L$5:$L$856,Service_Consumables!$A$5:$A$856,$A12,Service_Consumables!$E$5:$E$856,O$5,Service_Consumables!$H$5:$H$856,"Auto-deduct")</f>
        <v>1</v>
      </c>
      <c r="P12" s="15" t="n">
        <f aca="false">SUMIFS(Service_Consumables!$L$5:$L$856,Service_Consumables!$A$5:$A$856,$A12,Service_Consumables!$E$5:$E$856,P$5,Service_Consumables!$H$5:$H$856,"Auto-deduct")</f>
        <v>1</v>
      </c>
      <c r="Q12" s="15" t="n">
        <f aca="false">SUMIFS(Service_Consumables!$L$5:$L$856,Service_Consumables!$A$5:$A$856,$A12,Service_Consumables!$E$5:$E$856,Q$5,Service_Consumables!$H$5:$H$856,"Auto-deduct")</f>
        <v>1</v>
      </c>
      <c r="R12" s="15" t="n">
        <f aca="false">SUMIFS(Service_Consumables!$L$5:$L$856,Service_Consumables!$A$5:$A$856,$A12,Service_Consumables!$E$5:$E$856,R$5,Service_Consumables!$H$5:$H$856,"Auto-deduct")</f>
        <v>0</v>
      </c>
      <c r="S12" s="15" t="n">
        <f aca="false">SUMIFS(Service_Consumables!$L$5:$L$856,Service_Consumables!$A$5:$A$856,$A12,Service_Consumables!$E$5:$E$856,S$5,Service_Consumables!$H$5:$H$856,"Auto-deduct")</f>
        <v>2</v>
      </c>
      <c r="T12" s="15" t="n">
        <f aca="false">SUMIFS(Service_Consumables!$L$5:$L$856,Service_Consumables!$A$5:$A$856,$A12,Service_Consumables!$E$5:$E$856,T$5,Service_Consumables!$H$5:$H$856,"Auto-deduct")</f>
        <v>0</v>
      </c>
      <c r="U12" s="15" t="n">
        <f aca="false">SUMIFS(Service_Consumables!$L$5:$L$856,Service_Consumables!$A$5:$A$856,$A12,Service_Consumables!$E$5:$E$856,U$5,Service_Consumables!$H$5:$H$856,"Auto-deduct")</f>
        <v>0</v>
      </c>
      <c r="V12" s="15" t="n">
        <f aca="false">SUMIFS(Service_Consumables!$L$5:$L$856,Service_Consumables!$A$5:$A$856,$A12,Service_Consumables!$E$5:$E$856,V$5,Service_Consumables!$H$5:$H$856,"Auto-deduct")</f>
        <v>3</v>
      </c>
      <c r="W12" s="15" t="n">
        <f aca="false">SUMIFS(Service_Consumables!$L$5:$L$856,Service_Consumables!$A$5:$A$856,$A12,Service_Consumables!$E$5:$E$856,W$5,Service_Consumables!$H$5:$H$856,"Auto-deduct")</f>
        <v>0</v>
      </c>
      <c r="X12" s="15" t="n">
        <f aca="false">SUMIFS(Service_Consumables!$L$5:$L$856,Service_Consumables!$A$5:$A$856,$A12,Service_Consumables!$E$5:$E$856,X$5,Service_Consumables!$H$5:$H$856,"Auto-deduct")</f>
        <v>0</v>
      </c>
      <c r="Y12" s="15" t="n">
        <f aca="false">SUMIFS(Service_Consumables!$L$5:$L$856,Service_Consumables!$A$5:$A$856,$A12,Service_Consumables!$E$5:$E$856,Y$5,Service_Consumables!$H$5:$H$856,"Auto-deduct")</f>
        <v>0</v>
      </c>
      <c r="Z12" s="15" t="n">
        <f aca="false">SUMIFS(Service_Consumables!$L$5:$L$856,Service_Consumables!$A$5:$A$856,$A12,Service_Consumables!$E$5:$E$856,Z$5,Service_Consumables!$H$5:$H$856,"Auto-deduct")</f>
        <v>0</v>
      </c>
      <c r="AA12" s="15" t="n">
        <f aca="false">SUMIFS(Service_Consumables!$L$5:$L$856,Service_Consumables!$A$5:$A$856,$A12,Service_Consumables!$E$5:$E$856,AA$5,Service_Consumables!$H$5:$H$856,"Auto-deduct")</f>
        <v>0</v>
      </c>
      <c r="AB12" s="15" t="n">
        <f aca="false">SUMIFS(Service_Consumables!$L$5:$L$856,Service_Consumables!$A$5:$A$856,$A12,Service_Consumables!$E$5:$E$856,AB$5,Service_Consumables!$H$5:$H$856,"Auto-deduct")</f>
        <v>0</v>
      </c>
      <c r="AC12" s="15" t="n">
        <f aca="false">SUMIFS(Service_Consumables!$L$5:$L$856,Service_Consumables!$A$5:$A$856,$A12,Service_Consumables!$E$5:$E$856,AC$5,Service_Consumables!$H$5:$H$856,"Auto-deduct")</f>
        <v>2</v>
      </c>
      <c r="AD12" s="15" t="n">
        <f aca="false">SUMIFS(Service_Consumables!$L$5:$L$856,Service_Consumables!$A$5:$A$856,$A12,Service_Consumables!$E$5:$E$856,AD$5,Service_Consumables!$H$5:$H$856,"Auto-deduct")</f>
        <v>5</v>
      </c>
      <c r="AE12" s="15" t="n">
        <f aca="false">SUMIFS(Service_Consumables!$L$5:$L$856,Service_Consumables!$A$5:$A$856,$A12,Service_Consumables!$E$5:$E$856,AE$5,Service_Consumables!$H$5:$H$856,"Auto-deduct")</f>
        <v>0</v>
      </c>
      <c r="AF12" s="15" t="n">
        <f aca="false">SUMIFS(Service_Consumables!$L$5:$L$856,Service_Consumables!$A$5:$A$856,$A12,Service_Consumables!$E$5:$E$856,AF$5,Service_Consumables!$H$5:$H$856,"Auto-deduct")</f>
        <v>0</v>
      </c>
      <c r="AG12" s="15" t="n">
        <f aca="false">SUMIFS(Service_Consumables!$L$5:$L$856,Service_Consumables!$A$5:$A$856,$A12,Service_Consumables!$E$5:$E$856,AG$5,Service_Consumables!$H$5:$H$856,"Auto-deduct")</f>
        <v>0</v>
      </c>
      <c r="AH12" s="15" t="n">
        <f aca="false">SUMIFS(Service_Consumables!$L$5:$L$856,Service_Consumables!$A$5:$A$856,$A12,Service_Consumables!$E$5:$E$856,AH$5,Service_Consumables!$H$5:$H$856,"Auto-deduct")</f>
        <v>0</v>
      </c>
      <c r="AI12" s="15" t="n">
        <f aca="false">SUMIFS(Service_Consumables!$L$5:$L$856,Service_Consumables!$A$5:$A$856,$A12,Service_Consumables!$E$5:$E$856,AI$5,Service_Consumables!$H$5:$H$856,"Auto-deduct")</f>
        <v>0</v>
      </c>
      <c r="AJ12" s="15" t="n">
        <f aca="false">SUMIFS(Service_Consumables!$L$5:$L$856,Service_Consumables!$A$5:$A$856,$A12,Service_Consumables!$E$5:$E$856,AJ$5,Service_Consumables!$H$5:$H$856,"Auto-deduct")</f>
        <v>0</v>
      </c>
      <c r="AK12" s="15" t="n">
        <f aca="false">SUMIFS(Service_Consumables!$L$5:$L$856,Service_Consumables!$A$5:$A$856,$A12,Service_Consumables!$E$5:$E$856,AK$5,Service_Consumables!$H$5:$H$856,"Auto-deduct")</f>
        <v>0</v>
      </c>
      <c r="AL12" s="15" t="n">
        <f aca="false">SUMIFS(Service_Consumables!$L$5:$L$856,Service_Consumables!$A$5:$A$856,$A12,Service_Consumables!$E$5:$E$856,AL$5,Service_Consumables!$H$5:$H$856,"Auto-deduct")</f>
        <v>0</v>
      </c>
      <c r="AM12" s="15" t="n">
        <f aca="false">SUMIFS(Service_Consumables!$L$5:$L$856,Service_Consumables!$A$5:$A$856,$A12,Service_Consumables!$E$5:$E$856,AM$5,Service_Consumables!$H$5:$H$856,"Auto-deduct")</f>
        <v>0</v>
      </c>
      <c r="AN12" s="15" t="n">
        <f aca="false">SUMIFS(Service_Consumables!$L$5:$L$856,Service_Consumables!$A$5:$A$856,$A12,Service_Consumables!$E$5:$E$856,AN$5,Service_Consumables!$H$5:$H$856,"Auto-deduct")</f>
        <v>0</v>
      </c>
      <c r="AO12" s="15" t="n">
        <f aca="false">SUMIFS(Service_Consumables!$L$5:$L$856,Service_Consumables!$A$5:$A$856,$A12,Service_Consumables!$E$5:$E$856,AO$5,Service_Consumables!$H$5:$H$856,"Auto-deduct")</f>
        <v>0</v>
      </c>
      <c r="AP12" s="15" t="n">
        <f aca="false">SUMIFS(Service_Consumables!$L$5:$L$856,Service_Consumables!$A$5:$A$856,$A12,Service_Consumables!$E$5:$E$856,AP$5,Service_Consumables!$H$5:$H$856,"Auto-deduct")</f>
        <v>0</v>
      </c>
      <c r="AQ12" s="15" t="n">
        <f aca="false">SUMIFS(Service_Consumables!$L$5:$L$856,Service_Consumables!$A$5:$A$856,$A12,Service_Consumables!$E$5:$E$856,AQ$5,Service_Consumables!$H$5:$H$856,"Auto-deduct")</f>
        <v>0</v>
      </c>
      <c r="AR12" s="15" t="n">
        <f aca="false">SUMIFS(Service_Consumables!$L$5:$L$856,Service_Consumables!$A$5:$A$856,$A12,Service_Consumables!$E$5:$E$856,AR$5,Service_Consumables!$H$5:$H$856,"Auto-deduct")</f>
        <v>0</v>
      </c>
      <c r="AS12" s="15" t="n">
        <f aca="false">SUMIFS(Service_Consumables!$L$5:$L$856,Service_Consumables!$A$5:$A$856,$A12,Service_Consumables!$E$5:$E$856,AS$5,Service_Consumables!$H$5:$H$856,"Auto-deduct")</f>
        <v>0</v>
      </c>
      <c r="AT12" s="15" t="n">
        <f aca="false">SUMIFS(Service_Consumables!$L$5:$L$856,Service_Consumables!$A$5:$A$856,$A12,Service_Consumables!$E$5:$E$856,AT$5,Service_Consumables!$H$5:$H$856,"Auto-deduct")</f>
        <v>0</v>
      </c>
      <c r="AU12" s="15" t="n">
        <f aca="false">SUMIFS(Service_Consumables!$L$5:$L$856,Service_Consumables!$A$5:$A$856,$A12,Service_Consumables!$E$5:$E$856,AU$5,Service_Consumables!$H$5:$H$856,"Auto-deduct")</f>
        <v>0</v>
      </c>
      <c r="AV12" s="15" t="n">
        <f aca="false">SUMIFS(Service_Consumables!$L$5:$L$856,Service_Consumables!$A$5:$A$856,$A12,Service_Consumables!$E$5:$E$856,AV$5,Service_Consumables!$H$5:$H$856,"Auto-deduct")</f>
        <v>0</v>
      </c>
      <c r="AW12" s="15" t="n">
        <f aca="false">SUMIFS(Service_Consumables!$L$5:$L$856,Service_Consumables!$A$5:$A$856,$A12,Service_Consumables!$E$5:$E$856,AW$5,Service_Consumables!$H$5:$H$856,"Auto-deduct")</f>
        <v>0</v>
      </c>
      <c r="AX12" s="15" t="n">
        <f aca="false">SUMIFS(Service_Consumables!$L$5:$L$856,Service_Consumables!$A$5:$A$856,$A12,Service_Consumables!$E$5:$E$856,AX$5,Service_Consumables!$H$5:$H$856,"Auto-deduct")</f>
        <v>0</v>
      </c>
      <c r="AY12" s="15" t="n">
        <f aca="false">SUMIFS(Service_Consumables!$L$5:$L$856,Service_Consumables!$A$5:$A$856,$A12,Service_Consumables!$E$5:$E$856,AY$5,Service_Consumables!$H$5:$H$856,"Auto-deduct")</f>
        <v>0</v>
      </c>
      <c r="AZ12" s="15" t="n">
        <f aca="false">SUMIFS(Service_Consumables!$L$5:$L$856,Service_Consumables!$A$5:$A$856,$A12,Service_Consumables!$E$5:$E$856,AZ$5,Service_Consumables!$H$5:$H$856,"Auto-deduct")</f>
        <v>0</v>
      </c>
      <c r="BA12" s="15" t="n">
        <f aca="false">SUMIFS(Service_Consumables!$L$5:$L$856,Service_Consumables!$A$5:$A$856,$A12,Service_Consumables!$E$5:$E$856,BA$5,Service_Consumables!$H$5:$H$856,"Auto-deduct")</f>
        <v>0</v>
      </c>
      <c r="BB12" s="15" t="n">
        <f aca="false">SUMIFS(Service_Consumables!$L$5:$L$856,Service_Consumables!$A$5:$A$856,$A12,Service_Consumables!$E$5:$E$856,BB$5,Service_Consumables!$H$5:$H$856,"Auto-deduct")</f>
        <v>0</v>
      </c>
      <c r="BC12" s="15" t="n">
        <f aca="false">SUMIFS(Service_Consumables!$L$5:$L$856,Service_Consumables!$A$5:$A$856,$A12,Service_Consumables!$E$5:$E$856,BC$5,Service_Consumables!$H$5:$H$856,"Auto-deduct")</f>
        <v>0</v>
      </c>
      <c r="BD12" s="15" t="n">
        <f aca="false">SUMIFS(Service_Consumables!$L$5:$L$856,Service_Consumables!$A$5:$A$856,$A12,Service_Consumables!$E$5:$E$856,BD$5,Service_Consumables!$H$5:$H$856,"Auto-deduct")</f>
        <v>0</v>
      </c>
      <c r="BE12" s="15" t="n">
        <f aca="false">SUMIFS(Service_Consumables!$L$5:$L$856,Service_Consumables!$A$5:$A$856,$A12,Service_Consumables!$E$5:$E$856,BE$5,Service_Consumables!$H$5:$H$856,"Auto-deduct")</f>
        <v>0</v>
      </c>
      <c r="BF12" s="15" t="n">
        <f aca="false">SUMIFS(Service_Consumables!$L$5:$L$856,Service_Consumables!$A$5:$A$856,$A12,Service_Consumables!$E$5:$E$856,BF$5,Service_Consumables!$H$5:$H$856,"Auto-deduct")</f>
        <v>0</v>
      </c>
      <c r="BG12" s="15" t="n">
        <f aca="false">SUMIFS(Service_Consumables!$L$5:$L$856,Service_Consumables!$A$5:$A$856,$A12,Service_Consumables!$E$5:$E$856,BG$5,Service_Consumables!$H$5:$H$856,"Auto-deduct")</f>
        <v>0</v>
      </c>
      <c r="BH12" s="15" t="n">
        <f aca="false">SUMIFS(Service_Consumables!$L$5:$L$856,Service_Consumables!$A$5:$A$856,$A12,Service_Consumables!$E$5:$E$856,BH$5,Service_Consumables!$H$5:$H$856,"Auto-deduct")</f>
        <v>0</v>
      </c>
      <c r="BI12" s="15" t="n">
        <f aca="false">SUMIFS(Service_Consumables!$L$5:$L$856,Service_Consumables!$A$5:$A$856,$A12,Service_Consumables!$E$5:$E$856,BI$5,Service_Consumables!$H$5:$H$856,"Auto-deduct")</f>
        <v>0</v>
      </c>
    </row>
    <row r="13" customFormat="false" ht="15" hidden="false" customHeight="false" outlineLevel="0" collapsed="false">
      <c r="A13" s="14" t="n">
        <f aca="false">Services!A12</f>
        <v>8</v>
      </c>
      <c r="B13" s="14" t="str">
        <f aca="false">Services!B12</f>
        <v>Threading Services</v>
      </c>
      <c r="C13" s="14" t="str">
        <f aca="false">Services!C12</f>
        <v>Upper Lip</v>
      </c>
      <c r="D13" s="15" t="n">
        <f aca="false">SUMIFS(Service_Consumables!$L$5:$L$856,Service_Consumables!$A$5:$A$856,$A13,Service_Consumables!$E$5:$E$856,D$5,Service_Consumables!$H$5:$H$856,"Auto-deduct")</f>
        <v>0</v>
      </c>
      <c r="E13" s="15" t="n">
        <f aca="false">SUMIFS(Service_Consumables!$L$5:$L$856,Service_Consumables!$A$5:$A$856,$A13,Service_Consumables!$E$5:$E$856,E$5,Service_Consumables!$H$5:$H$856,"Auto-deduct")</f>
        <v>0</v>
      </c>
      <c r="F13" s="15" t="n">
        <f aca="false">SUMIFS(Service_Consumables!$L$5:$L$856,Service_Consumables!$A$5:$A$856,$A13,Service_Consumables!$E$5:$E$856,F$5,Service_Consumables!$H$5:$H$856,"Auto-deduct")</f>
        <v>0</v>
      </c>
      <c r="G13" s="15" t="n">
        <f aca="false">SUMIFS(Service_Consumables!$L$5:$L$856,Service_Consumables!$A$5:$A$856,$A13,Service_Consumables!$E$5:$E$856,G$5,Service_Consumables!$H$5:$H$856,"Auto-deduct")</f>
        <v>0</v>
      </c>
      <c r="H13" s="15" t="n">
        <f aca="false">SUMIFS(Service_Consumables!$L$5:$L$856,Service_Consumables!$A$5:$A$856,$A13,Service_Consumables!$E$5:$E$856,H$5,Service_Consumables!$H$5:$H$856,"Auto-deduct")</f>
        <v>0</v>
      </c>
      <c r="I13" s="15" t="n">
        <f aca="false">SUMIFS(Service_Consumables!$L$5:$L$856,Service_Consumables!$A$5:$A$856,$A13,Service_Consumables!$E$5:$E$856,I$5,Service_Consumables!$H$5:$H$856,"Auto-deduct")</f>
        <v>0</v>
      </c>
      <c r="J13" s="15" t="n">
        <f aca="false">SUMIFS(Service_Consumables!$L$5:$L$856,Service_Consumables!$A$5:$A$856,$A13,Service_Consumables!$E$5:$E$856,J$5,Service_Consumables!$H$5:$H$856,"Auto-deduct")</f>
        <v>0</v>
      </c>
      <c r="K13" s="15" t="n">
        <f aca="false">SUMIFS(Service_Consumables!$L$5:$L$856,Service_Consumables!$A$5:$A$856,$A13,Service_Consumables!$E$5:$E$856,K$5,Service_Consumables!$H$5:$H$856,"Auto-deduct")</f>
        <v>0</v>
      </c>
      <c r="L13" s="15" t="n">
        <f aca="false">SUMIFS(Service_Consumables!$L$5:$L$856,Service_Consumables!$A$5:$A$856,$A13,Service_Consumables!$E$5:$E$856,L$5,Service_Consumables!$H$5:$H$856,"Auto-deduct")</f>
        <v>0</v>
      </c>
      <c r="M13" s="15" t="n">
        <f aca="false">SUMIFS(Service_Consumables!$L$5:$L$856,Service_Consumables!$A$5:$A$856,$A13,Service_Consumables!$E$5:$E$856,M$5,Service_Consumables!$H$5:$H$856,"Auto-deduct")</f>
        <v>0</v>
      </c>
      <c r="N13" s="15" t="n">
        <f aca="false">SUMIFS(Service_Consumables!$L$5:$L$856,Service_Consumables!$A$5:$A$856,$A13,Service_Consumables!$E$5:$E$856,N$5,Service_Consumables!$H$5:$H$856,"Auto-deduct")</f>
        <v>0</v>
      </c>
      <c r="O13" s="15" t="n">
        <f aca="false">SUMIFS(Service_Consumables!$L$5:$L$856,Service_Consumables!$A$5:$A$856,$A13,Service_Consumables!$E$5:$E$856,O$5,Service_Consumables!$H$5:$H$856,"Auto-deduct")</f>
        <v>1</v>
      </c>
      <c r="P13" s="15" t="n">
        <f aca="false">SUMIFS(Service_Consumables!$L$5:$L$856,Service_Consumables!$A$5:$A$856,$A13,Service_Consumables!$E$5:$E$856,P$5,Service_Consumables!$H$5:$H$856,"Auto-deduct")</f>
        <v>1</v>
      </c>
      <c r="Q13" s="15" t="n">
        <f aca="false">SUMIFS(Service_Consumables!$L$5:$L$856,Service_Consumables!$A$5:$A$856,$A13,Service_Consumables!$E$5:$E$856,Q$5,Service_Consumables!$H$5:$H$856,"Auto-deduct")</f>
        <v>1</v>
      </c>
      <c r="R13" s="15" t="n">
        <f aca="false">SUMIFS(Service_Consumables!$L$5:$L$856,Service_Consumables!$A$5:$A$856,$A13,Service_Consumables!$E$5:$E$856,R$5,Service_Consumables!$H$5:$H$856,"Auto-deduct")</f>
        <v>0</v>
      </c>
      <c r="S13" s="15" t="n">
        <f aca="false">SUMIFS(Service_Consumables!$L$5:$L$856,Service_Consumables!$A$5:$A$856,$A13,Service_Consumables!$E$5:$E$856,S$5,Service_Consumables!$H$5:$H$856,"Auto-deduct")</f>
        <v>2</v>
      </c>
      <c r="T13" s="15" t="n">
        <f aca="false">SUMIFS(Service_Consumables!$L$5:$L$856,Service_Consumables!$A$5:$A$856,$A13,Service_Consumables!$E$5:$E$856,T$5,Service_Consumables!$H$5:$H$856,"Auto-deduct")</f>
        <v>0</v>
      </c>
      <c r="U13" s="15" t="n">
        <f aca="false">SUMIFS(Service_Consumables!$L$5:$L$856,Service_Consumables!$A$5:$A$856,$A13,Service_Consumables!$E$5:$E$856,U$5,Service_Consumables!$H$5:$H$856,"Auto-deduct")</f>
        <v>0</v>
      </c>
      <c r="V13" s="15" t="n">
        <f aca="false">SUMIFS(Service_Consumables!$L$5:$L$856,Service_Consumables!$A$5:$A$856,$A13,Service_Consumables!$E$5:$E$856,V$5,Service_Consumables!$H$5:$H$856,"Auto-deduct")</f>
        <v>3</v>
      </c>
      <c r="W13" s="15" t="n">
        <f aca="false">SUMIFS(Service_Consumables!$L$5:$L$856,Service_Consumables!$A$5:$A$856,$A13,Service_Consumables!$E$5:$E$856,W$5,Service_Consumables!$H$5:$H$856,"Auto-deduct")</f>
        <v>0</v>
      </c>
      <c r="X13" s="15" t="n">
        <f aca="false">SUMIFS(Service_Consumables!$L$5:$L$856,Service_Consumables!$A$5:$A$856,$A13,Service_Consumables!$E$5:$E$856,X$5,Service_Consumables!$H$5:$H$856,"Auto-deduct")</f>
        <v>0</v>
      </c>
      <c r="Y13" s="15" t="n">
        <f aca="false">SUMIFS(Service_Consumables!$L$5:$L$856,Service_Consumables!$A$5:$A$856,$A13,Service_Consumables!$E$5:$E$856,Y$5,Service_Consumables!$H$5:$H$856,"Auto-deduct")</f>
        <v>0</v>
      </c>
      <c r="Z13" s="15" t="n">
        <f aca="false">SUMIFS(Service_Consumables!$L$5:$L$856,Service_Consumables!$A$5:$A$856,$A13,Service_Consumables!$E$5:$E$856,Z$5,Service_Consumables!$H$5:$H$856,"Auto-deduct")</f>
        <v>0</v>
      </c>
      <c r="AA13" s="15" t="n">
        <f aca="false">SUMIFS(Service_Consumables!$L$5:$L$856,Service_Consumables!$A$5:$A$856,$A13,Service_Consumables!$E$5:$E$856,AA$5,Service_Consumables!$H$5:$H$856,"Auto-deduct")</f>
        <v>0</v>
      </c>
      <c r="AB13" s="15" t="n">
        <f aca="false">SUMIFS(Service_Consumables!$L$5:$L$856,Service_Consumables!$A$5:$A$856,$A13,Service_Consumables!$E$5:$E$856,AB$5,Service_Consumables!$H$5:$H$856,"Auto-deduct")</f>
        <v>0</v>
      </c>
      <c r="AC13" s="15" t="n">
        <f aca="false">SUMIFS(Service_Consumables!$L$5:$L$856,Service_Consumables!$A$5:$A$856,$A13,Service_Consumables!$E$5:$E$856,AC$5,Service_Consumables!$H$5:$H$856,"Auto-deduct")</f>
        <v>2</v>
      </c>
      <c r="AD13" s="15" t="n">
        <f aca="false">SUMIFS(Service_Consumables!$L$5:$L$856,Service_Consumables!$A$5:$A$856,$A13,Service_Consumables!$E$5:$E$856,AD$5,Service_Consumables!$H$5:$H$856,"Auto-deduct")</f>
        <v>5</v>
      </c>
      <c r="AE13" s="15" t="n">
        <f aca="false">SUMIFS(Service_Consumables!$L$5:$L$856,Service_Consumables!$A$5:$A$856,$A13,Service_Consumables!$E$5:$E$856,AE$5,Service_Consumables!$H$5:$H$856,"Auto-deduct")</f>
        <v>0</v>
      </c>
      <c r="AF13" s="15" t="n">
        <f aca="false">SUMIFS(Service_Consumables!$L$5:$L$856,Service_Consumables!$A$5:$A$856,$A13,Service_Consumables!$E$5:$E$856,AF$5,Service_Consumables!$H$5:$H$856,"Auto-deduct")</f>
        <v>0</v>
      </c>
      <c r="AG13" s="15" t="n">
        <f aca="false">SUMIFS(Service_Consumables!$L$5:$L$856,Service_Consumables!$A$5:$A$856,$A13,Service_Consumables!$E$5:$E$856,AG$5,Service_Consumables!$H$5:$H$856,"Auto-deduct")</f>
        <v>0</v>
      </c>
      <c r="AH13" s="15" t="n">
        <f aca="false">SUMIFS(Service_Consumables!$L$5:$L$856,Service_Consumables!$A$5:$A$856,$A13,Service_Consumables!$E$5:$E$856,AH$5,Service_Consumables!$H$5:$H$856,"Auto-deduct")</f>
        <v>0</v>
      </c>
      <c r="AI13" s="15" t="n">
        <f aca="false">SUMIFS(Service_Consumables!$L$5:$L$856,Service_Consumables!$A$5:$A$856,$A13,Service_Consumables!$E$5:$E$856,AI$5,Service_Consumables!$H$5:$H$856,"Auto-deduct")</f>
        <v>0</v>
      </c>
      <c r="AJ13" s="15" t="n">
        <f aca="false">SUMIFS(Service_Consumables!$L$5:$L$856,Service_Consumables!$A$5:$A$856,$A13,Service_Consumables!$E$5:$E$856,AJ$5,Service_Consumables!$H$5:$H$856,"Auto-deduct")</f>
        <v>0</v>
      </c>
      <c r="AK13" s="15" t="n">
        <f aca="false">SUMIFS(Service_Consumables!$L$5:$L$856,Service_Consumables!$A$5:$A$856,$A13,Service_Consumables!$E$5:$E$856,AK$5,Service_Consumables!$H$5:$H$856,"Auto-deduct")</f>
        <v>0</v>
      </c>
      <c r="AL13" s="15" t="n">
        <f aca="false">SUMIFS(Service_Consumables!$L$5:$L$856,Service_Consumables!$A$5:$A$856,$A13,Service_Consumables!$E$5:$E$856,AL$5,Service_Consumables!$H$5:$H$856,"Auto-deduct")</f>
        <v>0</v>
      </c>
      <c r="AM13" s="15" t="n">
        <f aca="false">SUMIFS(Service_Consumables!$L$5:$L$856,Service_Consumables!$A$5:$A$856,$A13,Service_Consumables!$E$5:$E$856,AM$5,Service_Consumables!$H$5:$H$856,"Auto-deduct")</f>
        <v>0</v>
      </c>
      <c r="AN13" s="15" t="n">
        <f aca="false">SUMIFS(Service_Consumables!$L$5:$L$856,Service_Consumables!$A$5:$A$856,$A13,Service_Consumables!$E$5:$E$856,AN$5,Service_Consumables!$H$5:$H$856,"Auto-deduct")</f>
        <v>0</v>
      </c>
      <c r="AO13" s="15" t="n">
        <f aca="false">SUMIFS(Service_Consumables!$L$5:$L$856,Service_Consumables!$A$5:$A$856,$A13,Service_Consumables!$E$5:$E$856,AO$5,Service_Consumables!$H$5:$H$856,"Auto-deduct")</f>
        <v>0</v>
      </c>
      <c r="AP13" s="15" t="n">
        <f aca="false">SUMIFS(Service_Consumables!$L$5:$L$856,Service_Consumables!$A$5:$A$856,$A13,Service_Consumables!$E$5:$E$856,AP$5,Service_Consumables!$H$5:$H$856,"Auto-deduct")</f>
        <v>0</v>
      </c>
      <c r="AQ13" s="15" t="n">
        <f aca="false">SUMIFS(Service_Consumables!$L$5:$L$856,Service_Consumables!$A$5:$A$856,$A13,Service_Consumables!$E$5:$E$856,AQ$5,Service_Consumables!$H$5:$H$856,"Auto-deduct")</f>
        <v>0</v>
      </c>
      <c r="AR13" s="15" t="n">
        <f aca="false">SUMIFS(Service_Consumables!$L$5:$L$856,Service_Consumables!$A$5:$A$856,$A13,Service_Consumables!$E$5:$E$856,AR$5,Service_Consumables!$H$5:$H$856,"Auto-deduct")</f>
        <v>0</v>
      </c>
      <c r="AS13" s="15" t="n">
        <f aca="false">SUMIFS(Service_Consumables!$L$5:$L$856,Service_Consumables!$A$5:$A$856,$A13,Service_Consumables!$E$5:$E$856,AS$5,Service_Consumables!$H$5:$H$856,"Auto-deduct")</f>
        <v>0</v>
      </c>
      <c r="AT13" s="15" t="n">
        <f aca="false">SUMIFS(Service_Consumables!$L$5:$L$856,Service_Consumables!$A$5:$A$856,$A13,Service_Consumables!$E$5:$E$856,AT$5,Service_Consumables!$H$5:$H$856,"Auto-deduct")</f>
        <v>0</v>
      </c>
      <c r="AU13" s="15" t="n">
        <f aca="false">SUMIFS(Service_Consumables!$L$5:$L$856,Service_Consumables!$A$5:$A$856,$A13,Service_Consumables!$E$5:$E$856,AU$5,Service_Consumables!$H$5:$H$856,"Auto-deduct")</f>
        <v>0</v>
      </c>
      <c r="AV13" s="15" t="n">
        <f aca="false">SUMIFS(Service_Consumables!$L$5:$L$856,Service_Consumables!$A$5:$A$856,$A13,Service_Consumables!$E$5:$E$856,AV$5,Service_Consumables!$H$5:$H$856,"Auto-deduct")</f>
        <v>0</v>
      </c>
      <c r="AW13" s="15" t="n">
        <f aca="false">SUMIFS(Service_Consumables!$L$5:$L$856,Service_Consumables!$A$5:$A$856,$A13,Service_Consumables!$E$5:$E$856,AW$5,Service_Consumables!$H$5:$H$856,"Auto-deduct")</f>
        <v>0</v>
      </c>
      <c r="AX13" s="15" t="n">
        <f aca="false">SUMIFS(Service_Consumables!$L$5:$L$856,Service_Consumables!$A$5:$A$856,$A13,Service_Consumables!$E$5:$E$856,AX$5,Service_Consumables!$H$5:$H$856,"Auto-deduct")</f>
        <v>0</v>
      </c>
      <c r="AY13" s="15" t="n">
        <f aca="false">SUMIFS(Service_Consumables!$L$5:$L$856,Service_Consumables!$A$5:$A$856,$A13,Service_Consumables!$E$5:$E$856,AY$5,Service_Consumables!$H$5:$H$856,"Auto-deduct")</f>
        <v>0</v>
      </c>
      <c r="AZ13" s="15" t="n">
        <f aca="false">SUMIFS(Service_Consumables!$L$5:$L$856,Service_Consumables!$A$5:$A$856,$A13,Service_Consumables!$E$5:$E$856,AZ$5,Service_Consumables!$H$5:$H$856,"Auto-deduct")</f>
        <v>0</v>
      </c>
      <c r="BA13" s="15" t="n">
        <f aca="false">SUMIFS(Service_Consumables!$L$5:$L$856,Service_Consumables!$A$5:$A$856,$A13,Service_Consumables!$E$5:$E$856,BA$5,Service_Consumables!$H$5:$H$856,"Auto-deduct")</f>
        <v>0</v>
      </c>
      <c r="BB13" s="15" t="n">
        <f aca="false">SUMIFS(Service_Consumables!$L$5:$L$856,Service_Consumables!$A$5:$A$856,$A13,Service_Consumables!$E$5:$E$856,BB$5,Service_Consumables!$H$5:$H$856,"Auto-deduct")</f>
        <v>0</v>
      </c>
      <c r="BC13" s="15" t="n">
        <f aca="false">SUMIFS(Service_Consumables!$L$5:$L$856,Service_Consumables!$A$5:$A$856,$A13,Service_Consumables!$E$5:$E$856,BC$5,Service_Consumables!$H$5:$H$856,"Auto-deduct")</f>
        <v>0</v>
      </c>
      <c r="BD13" s="15" t="n">
        <f aca="false">SUMIFS(Service_Consumables!$L$5:$L$856,Service_Consumables!$A$5:$A$856,$A13,Service_Consumables!$E$5:$E$856,BD$5,Service_Consumables!$H$5:$H$856,"Auto-deduct")</f>
        <v>0</v>
      </c>
      <c r="BE13" s="15" t="n">
        <f aca="false">SUMIFS(Service_Consumables!$L$5:$L$856,Service_Consumables!$A$5:$A$856,$A13,Service_Consumables!$E$5:$E$856,BE$5,Service_Consumables!$H$5:$H$856,"Auto-deduct")</f>
        <v>0</v>
      </c>
      <c r="BF13" s="15" t="n">
        <f aca="false">SUMIFS(Service_Consumables!$L$5:$L$856,Service_Consumables!$A$5:$A$856,$A13,Service_Consumables!$E$5:$E$856,BF$5,Service_Consumables!$H$5:$H$856,"Auto-deduct")</f>
        <v>0</v>
      </c>
      <c r="BG13" s="15" t="n">
        <f aca="false">SUMIFS(Service_Consumables!$L$5:$L$856,Service_Consumables!$A$5:$A$856,$A13,Service_Consumables!$E$5:$E$856,BG$5,Service_Consumables!$H$5:$H$856,"Auto-deduct")</f>
        <v>0</v>
      </c>
      <c r="BH13" s="15" t="n">
        <f aca="false">SUMIFS(Service_Consumables!$L$5:$L$856,Service_Consumables!$A$5:$A$856,$A13,Service_Consumables!$E$5:$E$856,BH$5,Service_Consumables!$H$5:$H$856,"Auto-deduct")</f>
        <v>0</v>
      </c>
      <c r="BI13" s="15" t="n">
        <f aca="false">SUMIFS(Service_Consumables!$L$5:$L$856,Service_Consumables!$A$5:$A$856,$A13,Service_Consumables!$E$5:$E$856,BI$5,Service_Consumables!$H$5:$H$856,"Auto-deduct")</f>
        <v>0</v>
      </c>
    </row>
    <row r="14" customFormat="false" ht="15" hidden="false" customHeight="false" outlineLevel="0" collapsed="false">
      <c r="A14" s="14" t="n">
        <f aca="false">Services!A13</f>
        <v>9</v>
      </c>
      <c r="B14" s="14" t="str">
        <f aca="false">Services!B13</f>
        <v>Threading Services</v>
      </c>
      <c r="C14" s="14" t="str">
        <f aca="false">Services!C13</f>
        <v>Lower Lip</v>
      </c>
      <c r="D14" s="15" t="n">
        <f aca="false">SUMIFS(Service_Consumables!$L$5:$L$856,Service_Consumables!$A$5:$A$856,$A14,Service_Consumables!$E$5:$E$856,D$5,Service_Consumables!$H$5:$H$856,"Auto-deduct")</f>
        <v>0</v>
      </c>
      <c r="E14" s="15" t="n">
        <f aca="false">SUMIFS(Service_Consumables!$L$5:$L$856,Service_Consumables!$A$5:$A$856,$A14,Service_Consumables!$E$5:$E$856,E$5,Service_Consumables!$H$5:$H$856,"Auto-deduct")</f>
        <v>0</v>
      </c>
      <c r="F14" s="15" t="n">
        <f aca="false">SUMIFS(Service_Consumables!$L$5:$L$856,Service_Consumables!$A$5:$A$856,$A14,Service_Consumables!$E$5:$E$856,F$5,Service_Consumables!$H$5:$H$856,"Auto-deduct")</f>
        <v>0</v>
      </c>
      <c r="G14" s="15" t="n">
        <f aca="false">SUMIFS(Service_Consumables!$L$5:$L$856,Service_Consumables!$A$5:$A$856,$A14,Service_Consumables!$E$5:$E$856,G$5,Service_Consumables!$H$5:$H$856,"Auto-deduct")</f>
        <v>0</v>
      </c>
      <c r="H14" s="15" t="n">
        <f aca="false">SUMIFS(Service_Consumables!$L$5:$L$856,Service_Consumables!$A$5:$A$856,$A14,Service_Consumables!$E$5:$E$856,H$5,Service_Consumables!$H$5:$H$856,"Auto-deduct")</f>
        <v>0</v>
      </c>
      <c r="I14" s="15" t="n">
        <f aca="false">SUMIFS(Service_Consumables!$L$5:$L$856,Service_Consumables!$A$5:$A$856,$A14,Service_Consumables!$E$5:$E$856,I$5,Service_Consumables!$H$5:$H$856,"Auto-deduct")</f>
        <v>0</v>
      </c>
      <c r="J14" s="15" t="n">
        <f aca="false">SUMIFS(Service_Consumables!$L$5:$L$856,Service_Consumables!$A$5:$A$856,$A14,Service_Consumables!$E$5:$E$856,J$5,Service_Consumables!$H$5:$H$856,"Auto-deduct")</f>
        <v>0</v>
      </c>
      <c r="K14" s="15" t="n">
        <f aca="false">SUMIFS(Service_Consumables!$L$5:$L$856,Service_Consumables!$A$5:$A$856,$A14,Service_Consumables!$E$5:$E$856,K$5,Service_Consumables!$H$5:$H$856,"Auto-deduct")</f>
        <v>0</v>
      </c>
      <c r="L14" s="15" t="n">
        <f aca="false">SUMIFS(Service_Consumables!$L$5:$L$856,Service_Consumables!$A$5:$A$856,$A14,Service_Consumables!$E$5:$E$856,L$5,Service_Consumables!$H$5:$H$856,"Auto-deduct")</f>
        <v>0</v>
      </c>
      <c r="M14" s="15" t="n">
        <f aca="false">SUMIFS(Service_Consumables!$L$5:$L$856,Service_Consumables!$A$5:$A$856,$A14,Service_Consumables!$E$5:$E$856,M$5,Service_Consumables!$H$5:$H$856,"Auto-deduct")</f>
        <v>0</v>
      </c>
      <c r="N14" s="15" t="n">
        <f aca="false">SUMIFS(Service_Consumables!$L$5:$L$856,Service_Consumables!$A$5:$A$856,$A14,Service_Consumables!$E$5:$E$856,N$5,Service_Consumables!$H$5:$H$856,"Auto-deduct")</f>
        <v>0</v>
      </c>
      <c r="O14" s="15" t="n">
        <f aca="false">SUMIFS(Service_Consumables!$L$5:$L$856,Service_Consumables!$A$5:$A$856,$A14,Service_Consumables!$E$5:$E$856,O$5,Service_Consumables!$H$5:$H$856,"Auto-deduct")</f>
        <v>1</v>
      </c>
      <c r="P14" s="15" t="n">
        <f aca="false">SUMIFS(Service_Consumables!$L$5:$L$856,Service_Consumables!$A$5:$A$856,$A14,Service_Consumables!$E$5:$E$856,P$5,Service_Consumables!$H$5:$H$856,"Auto-deduct")</f>
        <v>1</v>
      </c>
      <c r="Q14" s="15" t="n">
        <f aca="false">SUMIFS(Service_Consumables!$L$5:$L$856,Service_Consumables!$A$5:$A$856,$A14,Service_Consumables!$E$5:$E$856,Q$5,Service_Consumables!$H$5:$H$856,"Auto-deduct")</f>
        <v>1</v>
      </c>
      <c r="R14" s="15" t="n">
        <f aca="false">SUMIFS(Service_Consumables!$L$5:$L$856,Service_Consumables!$A$5:$A$856,$A14,Service_Consumables!$E$5:$E$856,R$5,Service_Consumables!$H$5:$H$856,"Auto-deduct")</f>
        <v>0</v>
      </c>
      <c r="S14" s="15" t="n">
        <f aca="false">SUMIFS(Service_Consumables!$L$5:$L$856,Service_Consumables!$A$5:$A$856,$A14,Service_Consumables!$E$5:$E$856,S$5,Service_Consumables!$H$5:$H$856,"Auto-deduct")</f>
        <v>2</v>
      </c>
      <c r="T14" s="15" t="n">
        <f aca="false">SUMIFS(Service_Consumables!$L$5:$L$856,Service_Consumables!$A$5:$A$856,$A14,Service_Consumables!$E$5:$E$856,T$5,Service_Consumables!$H$5:$H$856,"Auto-deduct")</f>
        <v>0</v>
      </c>
      <c r="U14" s="15" t="n">
        <f aca="false">SUMIFS(Service_Consumables!$L$5:$L$856,Service_Consumables!$A$5:$A$856,$A14,Service_Consumables!$E$5:$E$856,U$5,Service_Consumables!$H$5:$H$856,"Auto-deduct")</f>
        <v>0</v>
      </c>
      <c r="V14" s="15" t="n">
        <f aca="false">SUMIFS(Service_Consumables!$L$5:$L$856,Service_Consumables!$A$5:$A$856,$A14,Service_Consumables!$E$5:$E$856,V$5,Service_Consumables!$H$5:$H$856,"Auto-deduct")</f>
        <v>3</v>
      </c>
      <c r="W14" s="15" t="n">
        <f aca="false">SUMIFS(Service_Consumables!$L$5:$L$856,Service_Consumables!$A$5:$A$856,$A14,Service_Consumables!$E$5:$E$856,W$5,Service_Consumables!$H$5:$H$856,"Auto-deduct")</f>
        <v>0</v>
      </c>
      <c r="X14" s="15" t="n">
        <f aca="false">SUMIFS(Service_Consumables!$L$5:$L$856,Service_Consumables!$A$5:$A$856,$A14,Service_Consumables!$E$5:$E$856,X$5,Service_Consumables!$H$5:$H$856,"Auto-deduct")</f>
        <v>0</v>
      </c>
      <c r="Y14" s="15" t="n">
        <f aca="false">SUMIFS(Service_Consumables!$L$5:$L$856,Service_Consumables!$A$5:$A$856,$A14,Service_Consumables!$E$5:$E$856,Y$5,Service_Consumables!$H$5:$H$856,"Auto-deduct")</f>
        <v>0</v>
      </c>
      <c r="Z14" s="15" t="n">
        <f aca="false">SUMIFS(Service_Consumables!$L$5:$L$856,Service_Consumables!$A$5:$A$856,$A14,Service_Consumables!$E$5:$E$856,Z$5,Service_Consumables!$H$5:$H$856,"Auto-deduct")</f>
        <v>0</v>
      </c>
      <c r="AA14" s="15" t="n">
        <f aca="false">SUMIFS(Service_Consumables!$L$5:$L$856,Service_Consumables!$A$5:$A$856,$A14,Service_Consumables!$E$5:$E$856,AA$5,Service_Consumables!$H$5:$H$856,"Auto-deduct")</f>
        <v>0</v>
      </c>
      <c r="AB14" s="15" t="n">
        <f aca="false">SUMIFS(Service_Consumables!$L$5:$L$856,Service_Consumables!$A$5:$A$856,$A14,Service_Consumables!$E$5:$E$856,AB$5,Service_Consumables!$H$5:$H$856,"Auto-deduct")</f>
        <v>0</v>
      </c>
      <c r="AC14" s="15" t="n">
        <f aca="false">SUMIFS(Service_Consumables!$L$5:$L$856,Service_Consumables!$A$5:$A$856,$A14,Service_Consumables!$E$5:$E$856,AC$5,Service_Consumables!$H$5:$H$856,"Auto-deduct")</f>
        <v>2</v>
      </c>
      <c r="AD14" s="15" t="n">
        <f aca="false">SUMIFS(Service_Consumables!$L$5:$L$856,Service_Consumables!$A$5:$A$856,$A14,Service_Consumables!$E$5:$E$856,AD$5,Service_Consumables!$H$5:$H$856,"Auto-deduct")</f>
        <v>5</v>
      </c>
      <c r="AE14" s="15" t="n">
        <f aca="false">SUMIFS(Service_Consumables!$L$5:$L$856,Service_Consumables!$A$5:$A$856,$A14,Service_Consumables!$E$5:$E$856,AE$5,Service_Consumables!$H$5:$H$856,"Auto-deduct")</f>
        <v>0</v>
      </c>
      <c r="AF14" s="15" t="n">
        <f aca="false">SUMIFS(Service_Consumables!$L$5:$L$856,Service_Consumables!$A$5:$A$856,$A14,Service_Consumables!$E$5:$E$856,AF$5,Service_Consumables!$H$5:$H$856,"Auto-deduct")</f>
        <v>0</v>
      </c>
      <c r="AG14" s="15" t="n">
        <f aca="false">SUMIFS(Service_Consumables!$L$5:$L$856,Service_Consumables!$A$5:$A$856,$A14,Service_Consumables!$E$5:$E$856,AG$5,Service_Consumables!$H$5:$H$856,"Auto-deduct")</f>
        <v>0</v>
      </c>
      <c r="AH14" s="15" t="n">
        <f aca="false">SUMIFS(Service_Consumables!$L$5:$L$856,Service_Consumables!$A$5:$A$856,$A14,Service_Consumables!$E$5:$E$856,AH$5,Service_Consumables!$H$5:$H$856,"Auto-deduct")</f>
        <v>0</v>
      </c>
      <c r="AI14" s="15" t="n">
        <f aca="false">SUMIFS(Service_Consumables!$L$5:$L$856,Service_Consumables!$A$5:$A$856,$A14,Service_Consumables!$E$5:$E$856,AI$5,Service_Consumables!$H$5:$H$856,"Auto-deduct")</f>
        <v>0</v>
      </c>
      <c r="AJ14" s="15" t="n">
        <f aca="false">SUMIFS(Service_Consumables!$L$5:$L$856,Service_Consumables!$A$5:$A$856,$A14,Service_Consumables!$E$5:$E$856,AJ$5,Service_Consumables!$H$5:$H$856,"Auto-deduct")</f>
        <v>0</v>
      </c>
      <c r="AK14" s="15" t="n">
        <f aca="false">SUMIFS(Service_Consumables!$L$5:$L$856,Service_Consumables!$A$5:$A$856,$A14,Service_Consumables!$E$5:$E$856,AK$5,Service_Consumables!$H$5:$H$856,"Auto-deduct")</f>
        <v>0</v>
      </c>
      <c r="AL14" s="15" t="n">
        <f aca="false">SUMIFS(Service_Consumables!$L$5:$L$856,Service_Consumables!$A$5:$A$856,$A14,Service_Consumables!$E$5:$E$856,AL$5,Service_Consumables!$H$5:$H$856,"Auto-deduct")</f>
        <v>0</v>
      </c>
      <c r="AM14" s="15" t="n">
        <f aca="false">SUMIFS(Service_Consumables!$L$5:$L$856,Service_Consumables!$A$5:$A$856,$A14,Service_Consumables!$E$5:$E$856,AM$5,Service_Consumables!$H$5:$H$856,"Auto-deduct")</f>
        <v>0</v>
      </c>
      <c r="AN14" s="15" t="n">
        <f aca="false">SUMIFS(Service_Consumables!$L$5:$L$856,Service_Consumables!$A$5:$A$856,$A14,Service_Consumables!$E$5:$E$856,AN$5,Service_Consumables!$H$5:$H$856,"Auto-deduct")</f>
        <v>0</v>
      </c>
      <c r="AO14" s="15" t="n">
        <f aca="false">SUMIFS(Service_Consumables!$L$5:$L$856,Service_Consumables!$A$5:$A$856,$A14,Service_Consumables!$E$5:$E$856,AO$5,Service_Consumables!$H$5:$H$856,"Auto-deduct")</f>
        <v>0</v>
      </c>
      <c r="AP14" s="15" t="n">
        <f aca="false">SUMIFS(Service_Consumables!$L$5:$L$856,Service_Consumables!$A$5:$A$856,$A14,Service_Consumables!$E$5:$E$856,AP$5,Service_Consumables!$H$5:$H$856,"Auto-deduct")</f>
        <v>0</v>
      </c>
      <c r="AQ14" s="15" t="n">
        <f aca="false">SUMIFS(Service_Consumables!$L$5:$L$856,Service_Consumables!$A$5:$A$856,$A14,Service_Consumables!$E$5:$E$856,AQ$5,Service_Consumables!$H$5:$H$856,"Auto-deduct")</f>
        <v>0</v>
      </c>
      <c r="AR14" s="15" t="n">
        <f aca="false">SUMIFS(Service_Consumables!$L$5:$L$856,Service_Consumables!$A$5:$A$856,$A14,Service_Consumables!$E$5:$E$856,AR$5,Service_Consumables!$H$5:$H$856,"Auto-deduct")</f>
        <v>0</v>
      </c>
      <c r="AS14" s="15" t="n">
        <f aca="false">SUMIFS(Service_Consumables!$L$5:$L$856,Service_Consumables!$A$5:$A$856,$A14,Service_Consumables!$E$5:$E$856,AS$5,Service_Consumables!$H$5:$H$856,"Auto-deduct")</f>
        <v>0</v>
      </c>
      <c r="AT14" s="15" t="n">
        <f aca="false">SUMIFS(Service_Consumables!$L$5:$L$856,Service_Consumables!$A$5:$A$856,$A14,Service_Consumables!$E$5:$E$856,AT$5,Service_Consumables!$H$5:$H$856,"Auto-deduct")</f>
        <v>0</v>
      </c>
      <c r="AU14" s="15" t="n">
        <f aca="false">SUMIFS(Service_Consumables!$L$5:$L$856,Service_Consumables!$A$5:$A$856,$A14,Service_Consumables!$E$5:$E$856,AU$5,Service_Consumables!$H$5:$H$856,"Auto-deduct")</f>
        <v>0</v>
      </c>
      <c r="AV14" s="15" t="n">
        <f aca="false">SUMIFS(Service_Consumables!$L$5:$L$856,Service_Consumables!$A$5:$A$856,$A14,Service_Consumables!$E$5:$E$856,AV$5,Service_Consumables!$H$5:$H$856,"Auto-deduct")</f>
        <v>0</v>
      </c>
      <c r="AW14" s="15" t="n">
        <f aca="false">SUMIFS(Service_Consumables!$L$5:$L$856,Service_Consumables!$A$5:$A$856,$A14,Service_Consumables!$E$5:$E$856,AW$5,Service_Consumables!$H$5:$H$856,"Auto-deduct")</f>
        <v>0</v>
      </c>
      <c r="AX14" s="15" t="n">
        <f aca="false">SUMIFS(Service_Consumables!$L$5:$L$856,Service_Consumables!$A$5:$A$856,$A14,Service_Consumables!$E$5:$E$856,AX$5,Service_Consumables!$H$5:$H$856,"Auto-deduct")</f>
        <v>0</v>
      </c>
      <c r="AY14" s="15" t="n">
        <f aca="false">SUMIFS(Service_Consumables!$L$5:$L$856,Service_Consumables!$A$5:$A$856,$A14,Service_Consumables!$E$5:$E$856,AY$5,Service_Consumables!$H$5:$H$856,"Auto-deduct")</f>
        <v>0</v>
      </c>
      <c r="AZ14" s="15" t="n">
        <f aca="false">SUMIFS(Service_Consumables!$L$5:$L$856,Service_Consumables!$A$5:$A$856,$A14,Service_Consumables!$E$5:$E$856,AZ$5,Service_Consumables!$H$5:$H$856,"Auto-deduct")</f>
        <v>0</v>
      </c>
      <c r="BA14" s="15" t="n">
        <f aca="false">SUMIFS(Service_Consumables!$L$5:$L$856,Service_Consumables!$A$5:$A$856,$A14,Service_Consumables!$E$5:$E$856,BA$5,Service_Consumables!$H$5:$H$856,"Auto-deduct")</f>
        <v>0</v>
      </c>
      <c r="BB14" s="15" t="n">
        <f aca="false">SUMIFS(Service_Consumables!$L$5:$L$856,Service_Consumables!$A$5:$A$856,$A14,Service_Consumables!$E$5:$E$856,BB$5,Service_Consumables!$H$5:$H$856,"Auto-deduct")</f>
        <v>0</v>
      </c>
      <c r="BC14" s="15" t="n">
        <f aca="false">SUMIFS(Service_Consumables!$L$5:$L$856,Service_Consumables!$A$5:$A$856,$A14,Service_Consumables!$E$5:$E$856,BC$5,Service_Consumables!$H$5:$H$856,"Auto-deduct")</f>
        <v>0</v>
      </c>
      <c r="BD14" s="15" t="n">
        <f aca="false">SUMIFS(Service_Consumables!$L$5:$L$856,Service_Consumables!$A$5:$A$856,$A14,Service_Consumables!$E$5:$E$856,BD$5,Service_Consumables!$H$5:$H$856,"Auto-deduct")</f>
        <v>0</v>
      </c>
      <c r="BE14" s="15" t="n">
        <f aca="false">SUMIFS(Service_Consumables!$L$5:$L$856,Service_Consumables!$A$5:$A$856,$A14,Service_Consumables!$E$5:$E$856,BE$5,Service_Consumables!$H$5:$H$856,"Auto-deduct")</f>
        <v>0</v>
      </c>
      <c r="BF14" s="15" t="n">
        <f aca="false">SUMIFS(Service_Consumables!$L$5:$L$856,Service_Consumables!$A$5:$A$856,$A14,Service_Consumables!$E$5:$E$856,BF$5,Service_Consumables!$H$5:$H$856,"Auto-deduct")</f>
        <v>0</v>
      </c>
      <c r="BG14" s="15" t="n">
        <f aca="false">SUMIFS(Service_Consumables!$L$5:$L$856,Service_Consumables!$A$5:$A$856,$A14,Service_Consumables!$E$5:$E$856,BG$5,Service_Consumables!$H$5:$H$856,"Auto-deduct")</f>
        <v>0</v>
      </c>
      <c r="BH14" s="15" t="n">
        <f aca="false">SUMIFS(Service_Consumables!$L$5:$L$856,Service_Consumables!$A$5:$A$856,$A14,Service_Consumables!$E$5:$E$856,BH$5,Service_Consumables!$H$5:$H$856,"Auto-deduct")</f>
        <v>0</v>
      </c>
      <c r="BI14" s="15" t="n">
        <f aca="false">SUMIFS(Service_Consumables!$L$5:$L$856,Service_Consumables!$A$5:$A$856,$A14,Service_Consumables!$E$5:$E$856,BI$5,Service_Consumables!$H$5:$H$856,"Auto-deduct")</f>
        <v>0</v>
      </c>
    </row>
    <row r="15" customFormat="false" ht="15" hidden="false" customHeight="false" outlineLevel="0" collapsed="false">
      <c r="A15" s="14" t="n">
        <f aca="false">Services!A14</f>
        <v>10</v>
      </c>
      <c r="B15" s="14" t="str">
        <f aca="false">Services!B14</f>
        <v>Threading Services</v>
      </c>
      <c r="C15" s="14" t="str">
        <f aca="false">Services!C14</f>
        <v>Combo</v>
      </c>
      <c r="D15" s="15" t="n">
        <f aca="false">SUMIFS(Service_Consumables!$L$5:$L$856,Service_Consumables!$A$5:$A$856,$A15,Service_Consumables!$E$5:$E$856,D$5,Service_Consumables!$H$5:$H$856,"Auto-deduct")</f>
        <v>0</v>
      </c>
      <c r="E15" s="15" t="n">
        <f aca="false">SUMIFS(Service_Consumables!$L$5:$L$856,Service_Consumables!$A$5:$A$856,$A15,Service_Consumables!$E$5:$E$856,E$5,Service_Consumables!$H$5:$H$856,"Auto-deduct")</f>
        <v>0</v>
      </c>
      <c r="F15" s="15" t="n">
        <f aca="false">SUMIFS(Service_Consumables!$L$5:$L$856,Service_Consumables!$A$5:$A$856,$A15,Service_Consumables!$E$5:$E$856,F$5,Service_Consumables!$H$5:$H$856,"Auto-deduct")</f>
        <v>0</v>
      </c>
      <c r="G15" s="15" t="n">
        <f aca="false">SUMIFS(Service_Consumables!$L$5:$L$856,Service_Consumables!$A$5:$A$856,$A15,Service_Consumables!$E$5:$E$856,G$5,Service_Consumables!$H$5:$H$856,"Auto-deduct")</f>
        <v>0</v>
      </c>
      <c r="H15" s="15" t="n">
        <f aca="false">SUMIFS(Service_Consumables!$L$5:$L$856,Service_Consumables!$A$5:$A$856,$A15,Service_Consumables!$E$5:$E$856,H$5,Service_Consumables!$H$5:$H$856,"Auto-deduct")</f>
        <v>0</v>
      </c>
      <c r="I15" s="15" t="n">
        <f aca="false">SUMIFS(Service_Consumables!$L$5:$L$856,Service_Consumables!$A$5:$A$856,$A15,Service_Consumables!$E$5:$E$856,I$5,Service_Consumables!$H$5:$H$856,"Auto-deduct")</f>
        <v>0</v>
      </c>
      <c r="J15" s="15" t="n">
        <f aca="false">SUMIFS(Service_Consumables!$L$5:$L$856,Service_Consumables!$A$5:$A$856,$A15,Service_Consumables!$E$5:$E$856,J$5,Service_Consumables!$H$5:$H$856,"Auto-deduct")</f>
        <v>0</v>
      </c>
      <c r="K15" s="15" t="n">
        <f aca="false">SUMIFS(Service_Consumables!$L$5:$L$856,Service_Consumables!$A$5:$A$856,$A15,Service_Consumables!$E$5:$E$856,K$5,Service_Consumables!$H$5:$H$856,"Auto-deduct")</f>
        <v>0</v>
      </c>
      <c r="L15" s="15" t="n">
        <f aca="false">SUMIFS(Service_Consumables!$L$5:$L$856,Service_Consumables!$A$5:$A$856,$A15,Service_Consumables!$E$5:$E$856,L$5,Service_Consumables!$H$5:$H$856,"Auto-deduct")</f>
        <v>0</v>
      </c>
      <c r="M15" s="15" t="n">
        <f aca="false">SUMIFS(Service_Consumables!$L$5:$L$856,Service_Consumables!$A$5:$A$856,$A15,Service_Consumables!$E$5:$E$856,M$5,Service_Consumables!$H$5:$H$856,"Auto-deduct")</f>
        <v>0</v>
      </c>
      <c r="N15" s="15" t="n">
        <f aca="false">SUMIFS(Service_Consumables!$L$5:$L$856,Service_Consumables!$A$5:$A$856,$A15,Service_Consumables!$E$5:$E$856,N$5,Service_Consumables!$H$5:$H$856,"Auto-deduct")</f>
        <v>0</v>
      </c>
      <c r="O15" s="15" t="n">
        <f aca="false">SUMIFS(Service_Consumables!$L$5:$L$856,Service_Consumables!$A$5:$A$856,$A15,Service_Consumables!$E$5:$E$856,O$5,Service_Consumables!$H$5:$H$856,"Auto-deduct")</f>
        <v>1</v>
      </c>
      <c r="P15" s="15" t="n">
        <f aca="false">SUMIFS(Service_Consumables!$L$5:$L$856,Service_Consumables!$A$5:$A$856,$A15,Service_Consumables!$E$5:$E$856,P$5,Service_Consumables!$H$5:$H$856,"Auto-deduct")</f>
        <v>1</v>
      </c>
      <c r="Q15" s="15" t="n">
        <f aca="false">SUMIFS(Service_Consumables!$L$5:$L$856,Service_Consumables!$A$5:$A$856,$A15,Service_Consumables!$E$5:$E$856,Q$5,Service_Consumables!$H$5:$H$856,"Auto-deduct")</f>
        <v>1</v>
      </c>
      <c r="R15" s="15" t="n">
        <f aca="false">SUMIFS(Service_Consumables!$L$5:$L$856,Service_Consumables!$A$5:$A$856,$A15,Service_Consumables!$E$5:$E$856,R$5,Service_Consumables!$H$5:$H$856,"Auto-deduct")</f>
        <v>0</v>
      </c>
      <c r="S15" s="15" t="n">
        <f aca="false">SUMIFS(Service_Consumables!$L$5:$L$856,Service_Consumables!$A$5:$A$856,$A15,Service_Consumables!$E$5:$E$856,S$5,Service_Consumables!$H$5:$H$856,"Auto-deduct")</f>
        <v>5</v>
      </c>
      <c r="T15" s="15" t="n">
        <f aca="false">SUMIFS(Service_Consumables!$L$5:$L$856,Service_Consumables!$A$5:$A$856,$A15,Service_Consumables!$E$5:$E$856,T$5,Service_Consumables!$H$5:$H$856,"Auto-deduct")</f>
        <v>0</v>
      </c>
      <c r="U15" s="15" t="n">
        <f aca="false">SUMIFS(Service_Consumables!$L$5:$L$856,Service_Consumables!$A$5:$A$856,$A15,Service_Consumables!$E$5:$E$856,U$5,Service_Consumables!$H$5:$H$856,"Auto-deduct")</f>
        <v>0</v>
      </c>
      <c r="V15" s="15" t="n">
        <f aca="false">SUMIFS(Service_Consumables!$L$5:$L$856,Service_Consumables!$A$5:$A$856,$A15,Service_Consumables!$E$5:$E$856,V$5,Service_Consumables!$H$5:$H$856,"Auto-deduct")</f>
        <v>7.5</v>
      </c>
      <c r="W15" s="15" t="n">
        <f aca="false">SUMIFS(Service_Consumables!$L$5:$L$856,Service_Consumables!$A$5:$A$856,$A15,Service_Consumables!$E$5:$E$856,W$5,Service_Consumables!$H$5:$H$856,"Auto-deduct")</f>
        <v>0</v>
      </c>
      <c r="X15" s="15" t="n">
        <f aca="false">SUMIFS(Service_Consumables!$L$5:$L$856,Service_Consumables!$A$5:$A$856,$A15,Service_Consumables!$E$5:$E$856,X$5,Service_Consumables!$H$5:$H$856,"Auto-deduct")</f>
        <v>0</v>
      </c>
      <c r="Y15" s="15" t="n">
        <f aca="false">SUMIFS(Service_Consumables!$L$5:$L$856,Service_Consumables!$A$5:$A$856,$A15,Service_Consumables!$E$5:$E$856,Y$5,Service_Consumables!$H$5:$H$856,"Auto-deduct")</f>
        <v>0</v>
      </c>
      <c r="Z15" s="15" t="n">
        <f aca="false">SUMIFS(Service_Consumables!$L$5:$L$856,Service_Consumables!$A$5:$A$856,$A15,Service_Consumables!$E$5:$E$856,Z$5,Service_Consumables!$H$5:$H$856,"Auto-deduct")</f>
        <v>0</v>
      </c>
      <c r="AA15" s="15" t="n">
        <f aca="false">SUMIFS(Service_Consumables!$L$5:$L$856,Service_Consumables!$A$5:$A$856,$A15,Service_Consumables!$E$5:$E$856,AA$5,Service_Consumables!$H$5:$H$856,"Auto-deduct")</f>
        <v>0</v>
      </c>
      <c r="AB15" s="15" t="n">
        <f aca="false">SUMIFS(Service_Consumables!$L$5:$L$856,Service_Consumables!$A$5:$A$856,$A15,Service_Consumables!$E$5:$E$856,AB$5,Service_Consumables!$H$5:$H$856,"Auto-deduct")</f>
        <v>0</v>
      </c>
      <c r="AC15" s="15" t="n">
        <f aca="false">SUMIFS(Service_Consumables!$L$5:$L$856,Service_Consumables!$A$5:$A$856,$A15,Service_Consumables!$E$5:$E$856,AC$5,Service_Consumables!$H$5:$H$856,"Auto-deduct")</f>
        <v>5</v>
      </c>
      <c r="AD15" s="15" t="n">
        <f aca="false">SUMIFS(Service_Consumables!$L$5:$L$856,Service_Consumables!$A$5:$A$856,$A15,Service_Consumables!$E$5:$E$856,AD$5,Service_Consumables!$H$5:$H$856,"Auto-deduct")</f>
        <v>5</v>
      </c>
      <c r="AE15" s="15" t="n">
        <f aca="false">SUMIFS(Service_Consumables!$L$5:$L$856,Service_Consumables!$A$5:$A$856,$A15,Service_Consumables!$E$5:$E$856,AE$5,Service_Consumables!$H$5:$H$856,"Auto-deduct")</f>
        <v>0</v>
      </c>
      <c r="AF15" s="15" t="n">
        <f aca="false">SUMIFS(Service_Consumables!$L$5:$L$856,Service_Consumables!$A$5:$A$856,$A15,Service_Consumables!$E$5:$E$856,AF$5,Service_Consumables!$H$5:$H$856,"Auto-deduct")</f>
        <v>0</v>
      </c>
      <c r="AG15" s="15" t="n">
        <f aca="false">SUMIFS(Service_Consumables!$L$5:$L$856,Service_Consumables!$A$5:$A$856,$A15,Service_Consumables!$E$5:$E$856,AG$5,Service_Consumables!$H$5:$H$856,"Auto-deduct")</f>
        <v>0</v>
      </c>
      <c r="AH15" s="15" t="n">
        <f aca="false">SUMIFS(Service_Consumables!$L$5:$L$856,Service_Consumables!$A$5:$A$856,$A15,Service_Consumables!$E$5:$E$856,AH$5,Service_Consumables!$H$5:$H$856,"Auto-deduct")</f>
        <v>0</v>
      </c>
      <c r="AI15" s="15" t="n">
        <f aca="false">SUMIFS(Service_Consumables!$L$5:$L$856,Service_Consumables!$A$5:$A$856,$A15,Service_Consumables!$E$5:$E$856,AI$5,Service_Consumables!$H$5:$H$856,"Auto-deduct")</f>
        <v>0</v>
      </c>
      <c r="AJ15" s="15" t="n">
        <f aca="false">SUMIFS(Service_Consumables!$L$5:$L$856,Service_Consumables!$A$5:$A$856,$A15,Service_Consumables!$E$5:$E$856,AJ$5,Service_Consumables!$H$5:$H$856,"Auto-deduct")</f>
        <v>0</v>
      </c>
      <c r="AK15" s="15" t="n">
        <f aca="false">SUMIFS(Service_Consumables!$L$5:$L$856,Service_Consumables!$A$5:$A$856,$A15,Service_Consumables!$E$5:$E$856,AK$5,Service_Consumables!$H$5:$H$856,"Auto-deduct")</f>
        <v>0</v>
      </c>
      <c r="AL15" s="15" t="n">
        <f aca="false">SUMIFS(Service_Consumables!$L$5:$L$856,Service_Consumables!$A$5:$A$856,$A15,Service_Consumables!$E$5:$E$856,AL$5,Service_Consumables!$H$5:$H$856,"Auto-deduct")</f>
        <v>0</v>
      </c>
      <c r="AM15" s="15" t="n">
        <f aca="false">SUMIFS(Service_Consumables!$L$5:$L$856,Service_Consumables!$A$5:$A$856,$A15,Service_Consumables!$E$5:$E$856,AM$5,Service_Consumables!$H$5:$H$856,"Auto-deduct")</f>
        <v>0</v>
      </c>
      <c r="AN15" s="15" t="n">
        <f aca="false">SUMIFS(Service_Consumables!$L$5:$L$856,Service_Consumables!$A$5:$A$856,$A15,Service_Consumables!$E$5:$E$856,AN$5,Service_Consumables!$H$5:$H$856,"Auto-deduct")</f>
        <v>0</v>
      </c>
      <c r="AO15" s="15" t="n">
        <f aca="false">SUMIFS(Service_Consumables!$L$5:$L$856,Service_Consumables!$A$5:$A$856,$A15,Service_Consumables!$E$5:$E$856,AO$5,Service_Consumables!$H$5:$H$856,"Auto-deduct")</f>
        <v>0</v>
      </c>
      <c r="AP15" s="15" t="n">
        <f aca="false">SUMIFS(Service_Consumables!$L$5:$L$856,Service_Consumables!$A$5:$A$856,$A15,Service_Consumables!$E$5:$E$856,AP$5,Service_Consumables!$H$5:$H$856,"Auto-deduct")</f>
        <v>0</v>
      </c>
      <c r="AQ15" s="15" t="n">
        <f aca="false">SUMIFS(Service_Consumables!$L$5:$L$856,Service_Consumables!$A$5:$A$856,$A15,Service_Consumables!$E$5:$E$856,AQ$5,Service_Consumables!$H$5:$H$856,"Auto-deduct")</f>
        <v>0</v>
      </c>
      <c r="AR15" s="15" t="n">
        <f aca="false">SUMIFS(Service_Consumables!$L$5:$L$856,Service_Consumables!$A$5:$A$856,$A15,Service_Consumables!$E$5:$E$856,AR$5,Service_Consumables!$H$5:$H$856,"Auto-deduct")</f>
        <v>0</v>
      </c>
      <c r="AS15" s="15" t="n">
        <f aca="false">SUMIFS(Service_Consumables!$L$5:$L$856,Service_Consumables!$A$5:$A$856,$A15,Service_Consumables!$E$5:$E$856,AS$5,Service_Consumables!$H$5:$H$856,"Auto-deduct")</f>
        <v>0</v>
      </c>
      <c r="AT15" s="15" t="n">
        <f aca="false">SUMIFS(Service_Consumables!$L$5:$L$856,Service_Consumables!$A$5:$A$856,$A15,Service_Consumables!$E$5:$E$856,AT$5,Service_Consumables!$H$5:$H$856,"Auto-deduct")</f>
        <v>0</v>
      </c>
      <c r="AU15" s="15" t="n">
        <f aca="false">SUMIFS(Service_Consumables!$L$5:$L$856,Service_Consumables!$A$5:$A$856,$A15,Service_Consumables!$E$5:$E$856,AU$5,Service_Consumables!$H$5:$H$856,"Auto-deduct")</f>
        <v>0</v>
      </c>
      <c r="AV15" s="15" t="n">
        <f aca="false">SUMIFS(Service_Consumables!$L$5:$L$856,Service_Consumables!$A$5:$A$856,$A15,Service_Consumables!$E$5:$E$856,AV$5,Service_Consumables!$H$5:$H$856,"Auto-deduct")</f>
        <v>0</v>
      </c>
      <c r="AW15" s="15" t="n">
        <f aca="false">SUMIFS(Service_Consumables!$L$5:$L$856,Service_Consumables!$A$5:$A$856,$A15,Service_Consumables!$E$5:$E$856,AW$5,Service_Consumables!$H$5:$H$856,"Auto-deduct")</f>
        <v>0</v>
      </c>
      <c r="AX15" s="15" t="n">
        <f aca="false">SUMIFS(Service_Consumables!$L$5:$L$856,Service_Consumables!$A$5:$A$856,$A15,Service_Consumables!$E$5:$E$856,AX$5,Service_Consumables!$H$5:$H$856,"Auto-deduct")</f>
        <v>0</v>
      </c>
      <c r="AY15" s="15" t="n">
        <f aca="false">SUMIFS(Service_Consumables!$L$5:$L$856,Service_Consumables!$A$5:$A$856,$A15,Service_Consumables!$E$5:$E$856,AY$5,Service_Consumables!$H$5:$H$856,"Auto-deduct")</f>
        <v>0</v>
      </c>
      <c r="AZ15" s="15" t="n">
        <f aca="false">SUMIFS(Service_Consumables!$L$5:$L$856,Service_Consumables!$A$5:$A$856,$A15,Service_Consumables!$E$5:$E$856,AZ$5,Service_Consumables!$H$5:$H$856,"Auto-deduct")</f>
        <v>0</v>
      </c>
      <c r="BA15" s="15" t="n">
        <f aca="false">SUMIFS(Service_Consumables!$L$5:$L$856,Service_Consumables!$A$5:$A$856,$A15,Service_Consumables!$E$5:$E$856,BA$5,Service_Consumables!$H$5:$H$856,"Auto-deduct")</f>
        <v>0</v>
      </c>
      <c r="BB15" s="15" t="n">
        <f aca="false">SUMIFS(Service_Consumables!$L$5:$L$856,Service_Consumables!$A$5:$A$856,$A15,Service_Consumables!$E$5:$E$856,BB$5,Service_Consumables!$H$5:$H$856,"Auto-deduct")</f>
        <v>0</v>
      </c>
      <c r="BC15" s="15" t="n">
        <f aca="false">SUMIFS(Service_Consumables!$L$5:$L$856,Service_Consumables!$A$5:$A$856,$A15,Service_Consumables!$E$5:$E$856,BC$5,Service_Consumables!$H$5:$H$856,"Auto-deduct")</f>
        <v>0</v>
      </c>
      <c r="BD15" s="15" t="n">
        <f aca="false">SUMIFS(Service_Consumables!$L$5:$L$856,Service_Consumables!$A$5:$A$856,$A15,Service_Consumables!$E$5:$E$856,BD$5,Service_Consumables!$H$5:$H$856,"Auto-deduct")</f>
        <v>0</v>
      </c>
      <c r="BE15" s="15" t="n">
        <f aca="false">SUMIFS(Service_Consumables!$L$5:$L$856,Service_Consumables!$A$5:$A$856,$A15,Service_Consumables!$E$5:$E$856,BE$5,Service_Consumables!$H$5:$H$856,"Auto-deduct")</f>
        <v>0</v>
      </c>
      <c r="BF15" s="15" t="n">
        <f aca="false">SUMIFS(Service_Consumables!$L$5:$L$856,Service_Consumables!$A$5:$A$856,$A15,Service_Consumables!$E$5:$E$856,BF$5,Service_Consumables!$H$5:$H$856,"Auto-deduct")</f>
        <v>0</v>
      </c>
      <c r="BG15" s="15" t="n">
        <f aca="false">SUMIFS(Service_Consumables!$L$5:$L$856,Service_Consumables!$A$5:$A$856,$A15,Service_Consumables!$E$5:$E$856,BG$5,Service_Consumables!$H$5:$H$856,"Auto-deduct")</f>
        <v>0</v>
      </c>
      <c r="BH15" s="15" t="n">
        <f aca="false">SUMIFS(Service_Consumables!$L$5:$L$856,Service_Consumables!$A$5:$A$856,$A15,Service_Consumables!$E$5:$E$856,BH$5,Service_Consumables!$H$5:$H$856,"Auto-deduct")</f>
        <v>0</v>
      </c>
      <c r="BI15" s="15" t="n">
        <f aca="false">SUMIFS(Service_Consumables!$L$5:$L$856,Service_Consumables!$A$5:$A$856,$A15,Service_Consumables!$E$5:$E$856,BI$5,Service_Consumables!$H$5:$H$856,"Auto-deduct")</f>
        <v>0</v>
      </c>
    </row>
    <row r="16" customFormat="false" ht="15" hidden="false" customHeight="false" outlineLevel="0" collapsed="false">
      <c r="A16" s="14" t="n">
        <f aca="false">Services!A15</f>
        <v>11</v>
      </c>
      <c r="B16" s="14" t="str">
        <f aca="false">Services!B15</f>
        <v>Hair Removal (IPL-HR)</v>
      </c>
      <c r="C16" s="14" t="str">
        <f aca="false">Services!C15</f>
        <v>Underarms</v>
      </c>
      <c r="D16" s="15" t="n">
        <f aca="false">SUMIFS(Service_Consumables!$L$5:$L$856,Service_Consumables!$A$5:$A$856,$A16,Service_Consumables!$E$5:$E$856,D$5,Service_Consumables!$H$5:$H$856,"Auto-deduct")</f>
        <v>0</v>
      </c>
      <c r="E16" s="15" t="n">
        <f aca="false">SUMIFS(Service_Consumables!$L$5:$L$856,Service_Consumables!$A$5:$A$856,$A16,Service_Consumables!$E$5:$E$856,E$5,Service_Consumables!$H$5:$H$856,"Auto-deduct")</f>
        <v>0</v>
      </c>
      <c r="F16" s="15" t="n">
        <f aca="false">SUMIFS(Service_Consumables!$L$5:$L$856,Service_Consumables!$A$5:$A$856,$A16,Service_Consumables!$E$5:$E$856,F$5,Service_Consumables!$H$5:$H$856,"Auto-deduct")</f>
        <v>0</v>
      </c>
      <c r="G16" s="15" t="n">
        <f aca="false">SUMIFS(Service_Consumables!$L$5:$L$856,Service_Consumables!$A$5:$A$856,$A16,Service_Consumables!$E$5:$E$856,G$5,Service_Consumables!$H$5:$H$856,"Auto-deduct")</f>
        <v>0</v>
      </c>
      <c r="H16" s="15" t="n">
        <f aca="false">SUMIFS(Service_Consumables!$L$5:$L$856,Service_Consumables!$A$5:$A$856,$A16,Service_Consumables!$E$5:$E$856,H$5,Service_Consumables!$H$5:$H$856,"Auto-deduct")</f>
        <v>0</v>
      </c>
      <c r="I16" s="15" t="n">
        <f aca="false">SUMIFS(Service_Consumables!$L$5:$L$856,Service_Consumables!$A$5:$A$856,$A16,Service_Consumables!$E$5:$E$856,I$5,Service_Consumables!$H$5:$H$856,"Auto-deduct")</f>
        <v>0</v>
      </c>
      <c r="J16" s="15" t="n">
        <f aca="false">SUMIFS(Service_Consumables!$L$5:$L$856,Service_Consumables!$A$5:$A$856,$A16,Service_Consumables!$E$5:$E$856,J$5,Service_Consumables!$H$5:$H$856,"Auto-deduct")</f>
        <v>0</v>
      </c>
      <c r="K16" s="15" t="n">
        <f aca="false">SUMIFS(Service_Consumables!$L$5:$L$856,Service_Consumables!$A$5:$A$856,$A16,Service_Consumables!$E$5:$E$856,K$5,Service_Consumables!$H$5:$H$856,"Auto-deduct")</f>
        <v>0</v>
      </c>
      <c r="L16" s="15" t="n">
        <f aca="false">SUMIFS(Service_Consumables!$L$5:$L$856,Service_Consumables!$A$5:$A$856,$A16,Service_Consumables!$E$5:$E$856,L$5,Service_Consumables!$H$5:$H$856,"Auto-deduct")</f>
        <v>0</v>
      </c>
      <c r="M16" s="15" t="n">
        <f aca="false">SUMIFS(Service_Consumables!$L$5:$L$856,Service_Consumables!$A$5:$A$856,$A16,Service_Consumables!$E$5:$E$856,M$5,Service_Consumables!$H$5:$H$856,"Auto-deduct")</f>
        <v>0</v>
      </c>
      <c r="N16" s="15" t="n">
        <f aca="false">SUMIFS(Service_Consumables!$L$5:$L$856,Service_Consumables!$A$5:$A$856,$A16,Service_Consumables!$E$5:$E$856,N$5,Service_Consumables!$H$5:$H$856,"Auto-deduct")</f>
        <v>0</v>
      </c>
      <c r="O16" s="15" t="n">
        <f aca="false">SUMIFS(Service_Consumables!$L$5:$L$856,Service_Consumables!$A$5:$A$856,$A16,Service_Consumables!$E$5:$E$856,O$5,Service_Consumables!$H$5:$H$856,"Auto-deduct")</f>
        <v>0</v>
      </c>
      <c r="P16" s="15" t="n">
        <f aca="false">SUMIFS(Service_Consumables!$L$5:$L$856,Service_Consumables!$A$5:$A$856,$A16,Service_Consumables!$E$5:$E$856,P$5,Service_Consumables!$H$5:$H$856,"Auto-deduct")</f>
        <v>1</v>
      </c>
      <c r="Q16" s="15" t="n">
        <f aca="false">SUMIFS(Service_Consumables!$L$5:$L$856,Service_Consumables!$A$5:$A$856,$A16,Service_Consumables!$E$5:$E$856,Q$5,Service_Consumables!$H$5:$H$856,"Auto-deduct")</f>
        <v>1</v>
      </c>
      <c r="R16" s="15" t="n">
        <f aca="false">SUMIFS(Service_Consumables!$L$5:$L$856,Service_Consumables!$A$5:$A$856,$A16,Service_Consumables!$E$5:$E$856,R$5,Service_Consumables!$H$5:$H$856,"Auto-deduct")</f>
        <v>0</v>
      </c>
      <c r="S16" s="15" t="n">
        <f aca="false">SUMIFS(Service_Consumables!$L$5:$L$856,Service_Consumables!$A$5:$A$856,$A16,Service_Consumables!$E$5:$E$856,S$5,Service_Consumables!$H$5:$H$856,"Auto-deduct")</f>
        <v>4</v>
      </c>
      <c r="T16" s="15" t="n">
        <f aca="false">SUMIFS(Service_Consumables!$L$5:$L$856,Service_Consumables!$A$5:$A$856,$A16,Service_Consumables!$E$5:$E$856,T$5,Service_Consumables!$H$5:$H$856,"Auto-deduct")</f>
        <v>0</v>
      </c>
      <c r="U16" s="15" t="n">
        <f aca="false">SUMIFS(Service_Consumables!$L$5:$L$856,Service_Consumables!$A$5:$A$856,$A16,Service_Consumables!$E$5:$E$856,U$5,Service_Consumables!$H$5:$H$856,"Auto-deduct")</f>
        <v>0</v>
      </c>
      <c r="V16" s="15" t="n">
        <f aca="false">SUMIFS(Service_Consumables!$L$5:$L$856,Service_Consumables!$A$5:$A$856,$A16,Service_Consumables!$E$5:$E$856,V$5,Service_Consumables!$H$5:$H$856,"Auto-deduct")</f>
        <v>0</v>
      </c>
      <c r="W16" s="15" t="n">
        <f aca="false">SUMIFS(Service_Consumables!$L$5:$L$856,Service_Consumables!$A$5:$A$856,$A16,Service_Consumables!$E$5:$E$856,W$5,Service_Consumables!$H$5:$H$856,"Auto-deduct")</f>
        <v>0</v>
      </c>
      <c r="X16" s="15" t="n">
        <f aca="false">SUMIFS(Service_Consumables!$L$5:$L$856,Service_Consumables!$A$5:$A$856,$A16,Service_Consumables!$E$5:$E$856,X$5,Service_Consumables!$H$5:$H$856,"Auto-deduct")</f>
        <v>0</v>
      </c>
      <c r="Y16" s="15" t="n">
        <f aca="false">SUMIFS(Service_Consumables!$L$5:$L$856,Service_Consumables!$A$5:$A$856,$A16,Service_Consumables!$E$5:$E$856,Y$5,Service_Consumables!$H$5:$H$856,"Auto-deduct")</f>
        <v>0</v>
      </c>
      <c r="Z16" s="15" t="n">
        <f aca="false">SUMIFS(Service_Consumables!$L$5:$L$856,Service_Consumables!$A$5:$A$856,$A16,Service_Consumables!$E$5:$E$856,Z$5,Service_Consumables!$H$5:$H$856,"Auto-deduct")</f>
        <v>0</v>
      </c>
      <c r="AA16" s="15" t="n">
        <f aca="false">SUMIFS(Service_Consumables!$L$5:$L$856,Service_Consumables!$A$5:$A$856,$A16,Service_Consumables!$E$5:$E$856,AA$5,Service_Consumables!$H$5:$H$856,"Auto-deduct")</f>
        <v>0</v>
      </c>
      <c r="AB16" s="15" t="n">
        <f aca="false">SUMIFS(Service_Consumables!$L$5:$L$856,Service_Consumables!$A$5:$A$856,$A16,Service_Consumables!$E$5:$E$856,AB$5,Service_Consumables!$H$5:$H$856,"Auto-deduct")</f>
        <v>0</v>
      </c>
      <c r="AC16" s="15" t="n">
        <f aca="false">SUMIFS(Service_Consumables!$L$5:$L$856,Service_Consumables!$A$5:$A$856,$A16,Service_Consumables!$E$5:$E$856,AC$5,Service_Consumables!$H$5:$H$856,"Auto-deduct")</f>
        <v>3</v>
      </c>
      <c r="AD16" s="15" t="n">
        <f aca="false">SUMIFS(Service_Consumables!$L$5:$L$856,Service_Consumables!$A$5:$A$856,$A16,Service_Consumables!$E$5:$E$856,AD$5,Service_Consumables!$H$5:$H$856,"Auto-deduct")</f>
        <v>5</v>
      </c>
      <c r="AE16" s="15" t="n">
        <f aca="false">SUMIFS(Service_Consumables!$L$5:$L$856,Service_Consumables!$A$5:$A$856,$A16,Service_Consumables!$E$5:$E$856,AE$5,Service_Consumables!$H$5:$H$856,"Auto-deduct")</f>
        <v>0</v>
      </c>
      <c r="AF16" s="15" t="n">
        <f aca="false">SUMIFS(Service_Consumables!$L$5:$L$856,Service_Consumables!$A$5:$A$856,$A16,Service_Consumables!$E$5:$E$856,AF$5,Service_Consumables!$H$5:$H$856,"Auto-deduct")</f>
        <v>0</v>
      </c>
      <c r="AG16" s="15" t="n">
        <f aca="false">SUMIFS(Service_Consumables!$L$5:$L$856,Service_Consumables!$A$5:$A$856,$A16,Service_Consumables!$E$5:$E$856,AG$5,Service_Consumables!$H$5:$H$856,"Auto-deduct")</f>
        <v>0</v>
      </c>
      <c r="AH16" s="15" t="n">
        <f aca="false">SUMIFS(Service_Consumables!$L$5:$L$856,Service_Consumables!$A$5:$A$856,$A16,Service_Consumables!$E$5:$E$856,AH$5,Service_Consumables!$H$5:$H$856,"Auto-deduct")</f>
        <v>0</v>
      </c>
      <c r="AI16" s="15" t="n">
        <f aca="false">SUMIFS(Service_Consumables!$L$5:$L$856,Service_Consumables!$A$5:$A$856,$A16,Service_Consumables!$E$5:$E$856,AI$5,Service_Consumables!$H$5:$H$856,"Auto-deduct")</f>
        <v>0</v>
      </c>
      <c r="AJ16" s="15" t="n">
        <f aca="false">SUMIFS(Service_Consumables!$L$5:$L$856,Service_Consumables!$A$5:$A$856,$A16,Service_Consumables!$E$5:$E$856,AJ$5,Service_Consumables!$H$5:$H$856,"Auto-deduct")</f>
        <v>0</v>
      </c>
      <c r="AK16" s="15" t="n">
        <f aca="false">SUMIFS(Service_Consumables!$L$5:$L$856,Service_Consumables!$A$5:$A$856,$A16,Service_Consumables!$E$5:$E$856,AK$5,Service_Consumables!$H$5:$H$856,"Auto-deduct")</f>
        <v>0</v>
      </c>
      <c r="AL16" s="15" t="n">
        <f aca="false">SUMIFS(Service_Consumables!$L$5:$L$856,Service_Consumables!$A$5:$A$856,$A16,Service_Consumables!$E$5:$E$856,AL$5,Service_Consumables!$H$5:$H$856,"Auto-deduct")</f>
        <v>0</v>
      </c>
      <c r="AM16" s="15" t="n">
        <f aca="false">SUMIFS(Service_Consumables!$L$5:$L$856,Service_Consumables!$A$5:$A$856,$A16,Service_Consumables!$E$5:$E$856,AM$5,Service_Consumables!$H$5:$H$856,"Auto-deduct")</f>
        <v>0</v>
      </c>
      <c r="AN16" s="15" t="n">
        <f aca="false">SUMIFS(Service_Consumables!$L$5:$L$856,Service_Consumables!$A$5:$A$856,$A16,Service_Consumables!$E$5:$E$856,AN$5,Service_Consumables!$H$5:$H$856,"Auto-deduct")</f>
        <v>0</v>
      </c>
      <c r="AO16" s="15" t="n">
        <f aca="false">SUMIFS(Service_Consumables!$L$5:$L$856,Service_Consumables!$A$5:$A$856,$A16,Service_Consumables!$E$5:$E$856,AO$5,Service_Consumables!$H$5:$H$856,"Auto-deduct")</f>
        <v>0</v>
      </c>
      <c r="AP16" s="15" t="n">
        <f aca="false">SUMIFS(Service_Consumables!$L$5:$L$856,Service_Consumables!$A$5:$A$856,$A16,Service_Consumables!$E$5:$E$856,AP$5,Service_Consumables!$H$5:$H$856,"Auto-deduct")</f>
        <v>0</v>
      </c>
      <c r="AQ16" s="15" t="n">
        <f aca="false">SUMIFS(Service_Consumables!$L$5:$L$856,Service_Consumables!$A$5:$A$856,$A16,Service_Consumables!$E$5:$E$856,AQ$5,Service_Consumables!$H$5:$H$856,"Auto-deduct")</f>
        <v>15</v>
      </c>
      <c r="AR16" s="15" t="n">
        <f aca="false">SUMIFS(Service_Consumables!$L$5:$L$856,Service_Consumables!$A$5:$A$856,$A16,Service_Consumables!$E$5:$E$856,AR$5,Service_Consumables!$H$5:$H$856,"Auto-deduct")</f>
        <v>0</v>
      </c>
      <c r="AS16" s="15" t="n">
        <f aca="false">SUMIFS(Service_Consumables!$L$5:$L$856,Service_Consumables!$A$5:$A$856,$A16,Service_Consumables!$E$5:$E$856,AS$5,Service_Consumables!$H$5:$H$856,"Auto-deduct")</f>
        <v>0</v>
      </c>
      <c r="AT16" s="15" t="n">
        <f aca="false">SUMIFS(Service_Consumables!$L$5:$L$856,Service_Consumables!$A$5:$A$856,$A16,Service_Consumables!$E$5:$E$856,AT$5,Service_Consumables!$H$5:$H$856,"Auto-deduct")</f>
        <v>0</v>
      </c>
      <c r="AU16" s="15" t="n">
        <f aca="false">SUMIFS(Service_Consumables!$L$5:$L$856,Service_Consumables!$A$5:$A$856,$A16,Service_Consumables!$E$5:$E$856,AU$5,Service_Consumables!$H$5:$H$856,"Auto-deduct")</f>
        <v>0</v>
      </c>
      <c r="AV16" s="15" t="n">
        <f aca="false">SUMIFS(Service_Consumables!$L$5:$L$856,Service_Consumables!$A$5:$A$856,$A16,Service_Consumables!$E$5:$E$856,AV$5,Service_Consumables!$H$5:$H$856,"Auto-deduct")</f>
        <v>0</v>
      </c>
      <c r="AW16" s="15" t="n">
        <f aca="false">SUMIFS(Service_Consumables!$L$5:$L$856,Service_Consumables!$A$5:$A$856,$A16,Service_Consumables!$E$5:$E$856,AW$5,Service_Consumables!$H$5:$H$856,"Auto-deduct")</f>
        <v>0</v>
      </c>
      <c r="AX16" s="15" t="n">
        <f aca="false">SUMIFS(Service_Consumables!$L$5:$L$856,Service_Consumables!$A$5:$A$856,$A16,Service_Consumables!$E$5:$E$856,AX$5,Service_Consumables!$H$5:$H$856,"Auto-deduct")</f>
        <v>0</v>
      </c>
      <c r="AY16" s="15" t="n">
        <f aca="false">SUMIFS(Service_Consumables!$L$5:$L$856,Service_Consumables!$A$5:$A$856,$A16,Service_Consumables!$E$5:$E$856,AY$5,Service_Consumables!$H$5:$H$856,"Auto-deduct")</f>
        <v>0</v>
      </c>
      <c r="AZ16" s="15" t="n">
        <f aca="false">SUMIFS(Service_Consumables!$L$5:$L$856,Service_Consumables!$A$5:$A$856,$A16,Service_Consumables!$E$5:$E$856,AZ$5,Service_Consumables!$H$5:$H$856,"Auto-deduct")</f>
        <v>0</v>
      </c>
      <c r="BA16" s="15" t="n">
        <f aca="false">SUMIFS(Service_Consumables!$L$5:$L$856,Service_Consumables!$A$5:$A$856,$A16,Service_Consumables!$E$5:$E$856,BA$5,Service_Consumables!$H$5:$H$856,"Auto-deduct")</f>
        <v>3</v>
      </c>
      <c r="BB16" s="15" t="n">
        <f aca="false">SUMIFS(Service_Consumables!$L$5:$L$856,Service_Consumables!$A$5:$A$856,$A16,Service_Consumables!$E$5:$E$856,BB$5,Service_Consumables!$H$5:$H$856,"Auto-deduct")</f>
        <v>0</v>
      </c>
      <c r="BC16" s="15" t="n">
        <f aca="false">SUMIFS(Service_Consumables!$L$5:$L$856,Service_Consumables!$A$5:$A$856,$A16,Service_Consumables!$E$5:$E$856,BC$5,Service_Consumables!$H$5:$H$856,"Auto-deduct")</f>
        <v>0</v>
      </c>
      <c r="BD16" s="15" t="n">
        <f aca="false">SUMIFS(Service_Consumables!$L$5:$L$856,Service_Consumables!$A$5:$A$856,$A16,Service_Consumables!$E$5:$E$856,BD$5,Service_Consumables!$H$5:$H$856,"Auto-deduct")</f>
        <v>0</v>
      </c>
      <c r="BE16" s="15" t="n">
        <f aca="false">SUMIFS(Service_Consumables!$L$5:$L$856,Service_Consumables!$A$5:$A$856,$A16,Service_Consumables!$E$5:$E$856,BE$5,Service_Consumables!$H$5:$H$856,"Auto-deduct")</f>
        <v>0</v>
      </c>
      <c r="BF16" s="15" t="n">
        <f aca="false">SUMIFS(Service_Consumables!$L$5:$L$856,Service_Consumables!$A$5:$A$856,$A16,Service_Consumables!$E$5:$E$856,BF$5,Service_Consumables!$H$5:$H$856,"Auto-deduct")</f>
        <v>0</v>
      </c>
      <c r="BG16" s="15" t="n">
        <f aca="false">SUMIFS(Service_Consumables!$L$5:$L$856,Service_Consumables!$A$5:$A$856,$A16,Service_Consumables!$E$5:$E$856,BG$5,Service_Consumables!$H$5:$H$856,"Auto-deduct")</f>
        <v>0</v>
      </c>
      <c r="BH16" s="15" t="n">
        <f aca="false">SUMIFS(Service_Consumables!$L$5:$L$856,Service_Consumables!$A$5:$A$856,$A16,Service_Consumables!$E$5:$E$856,BH$5,Service_Consumables!$H$5:$H$856,"Auto-deduct")</f>
        <v>1</v>
      </c>
      <c r="BI16" s="15" t="n">
        <f aca="false">SUMIFS(Service_Consumables!$L$5:$L$856,Service_Consumables!$A$5:$A$856,$A16,Service_Consumables!$E$5:$E$856,BI$5,Service_Consumables!$H$5:$H$856,"Auto-deduct")</f>
        <v>0</v>
      </c>
    </row>
    <row r="17" customFormat="false" ht="15" hidden="false" customHeight="false" outlineLevel="0" collapsed="false">
      <c r="A17" s="14" t="n">
        <f aca="false">Services!A16</f>
        <v>12</v>
      </c>
      <c r="B17" s="14" t="str">
        <f aca="false">Services!B16</f>
        <v>Hair Removal (IPL-HR)</v>
      </c>
      <c r="C17" s="14" t="str">
        <f aca="false">Services!C16</f>
        <v>Bikini Line</v>
      </c>
      <c r="D17" s="15" t="n">
        <f aca="false">SUMIFS(Service_Consumables!$L$5:$L$856,Service_Consumables!$A$5:$A$856,$A17,Service_Consumables!$E$5:$E$856,D$5,Service_Consumables!$H$5:$H$856,"Auto-deduct")</f>
        <v>0</v>
      </c>
      <c r="E17" s="15" t="n">
        <f aca="false">SUMIFS(Service_Consumables!$L$5:$L$856,Service_Consumables!$A$5:$A$856,$A17,Service_Consumables!$E$5:$E$856,E$5,Service_Consumables!$H$5:$H$856,"Auto-deduct")</f>
        <v>0</v>
      </c>
      <c r="F17" s="15" t="n">
        <f aca="false">SUMIFS(Service_Consumables!$L$5:$L$856,Service_Consumables!$A$5:$A$856,$A17,Service_Consumables!$E$5:$E$856,F$5,Service_Consumables!$H$5:$H$856,"Auto-deduct")</f>
        <v>0</v>
      </c>
      <c r="G17" s="15" t="n">
        <f aca="false">SUMIFS(Service_Consumables!$L$5:$L$856,Service_Consumables!$A$5:$A$856,$A17,Service_Consumables!$E$5:$E$856,G$5,Service_Consumables!$H$5:$H$856,"Auto-deduct")</f>
        <v>0</v>
      </c>
      <c r="H17" s="15" t="n">
        <f aca="false">SUMIFS(Service_Consumables!$L$5:$L$856,Service_Consumables!$A$5:$A$856,$A17,Service_Consumables!$E$5:$E$856,H$5,Service_Consumables!$H$5:$H$856,"Auto-deduct")</f>
        <v>0</v>
      </c>
      <c r="I17" s="15" t="n">
        <f aca="false">SUMIFS(Service_Consumables!$L$5:$L$856,Service_Consumables!$A$5:$A$856,$A17,Service_Consumables!$E$5:$E$856,I$5,Service_Consumables!$H$5:$H$856,"Auto-deduct")</f>
        <v>0</v>
      </c>
      <c r="J17" s="15" t="n">
        <f aca="false">SUMIFS(Service_Consumables!$L$5:$L$856,Service_Consumables!$A$5:$A$856,$A17,Service_Consumables!$E$5:$E$856,J$5,Service_Consumables!$H$5:$H$856,"Auto-deduct")</f>
        <v>0</v>
      </c>
      <c r="K17" s="15" t="n">
        <f aca="false">SUMIFS(Service_Consumables!$L$5:$L$856,Service_Consumables!$A$5:$A$856,$A17,Service_Consumables!$E$5:$E$856,K$5,Service_Consumables!$H$5:$H$856,"Auto-deduct")</f>
        <v>0</v>
      </c>
      <c r="L17" s="15" t="n">
        <f aca="false">SUMIFS(Service_Consumables!$L$5:$L$856,Service_Consumables!$A$5:$A$856,$A17,Service_Consumables!$E$5:$E$856,L$5,Service_Consumables!$H$5:$H$856,"Auto-deduct")</f>
        <v>0</v>
      </c>
      <c r="M17" s="15" t="n">
        <f aca="false">SUMIFS(Service_Consumables!$L$5:$L$856,Service_Consumables!$A$5:$A$856,$A17,Service_Consumables!$E$5:$E$856,M$5,Service_Consumables!$H$5:$H$856,"Auto-deduct")</f>
        <v>0</v>
      </c>
      <c r="N17" s="15" t="n">
        <f aca="false">SUMIFS(Service_Consumables!$L$5:$L$856,Service_Consumables!$A$5:$A$856,$A17,Service_Consumables!$E$5:$E$856,N$5,Service_Consumables!$H$5:$H$856,"Auto-deduct")</f>
        <v>0</v>
      </c>
      <c r="O17" s="15" t="n">
        <f aca="false">SUMIFS(Service_Consumables!$L$5:$L$856,Service_Consumables!$A$5:$A$856,$A17,Service_Consumables!$E$5:$E$856,O$5,Service_Consumables!$H$5:$H$856,"Auto-deduct")</f>
        <v>0</v>
      </c>
      <c r="P17" s="15" t="n">
        <f aca="false">SUMIFS(Service_Consumables!$L$5:$L$856,Service_Consumables!$A$5:$A$856,$A17,Service_Consumables!$E$5:$E$856,P$5,Service_Consumables!$H$5:$H$856,"Auto-deduct")</f>
        <v>1</v>
      </c>
      <c r="Q17" s="15" t="n">
        <f aca="false">SUMIFS(Service_Consumables!$L$5:$L$856,Service_Consumables!$A$5:$A$856,$A17,Service_Consumables!$E$5:$E$856,Q$5,Service_Consumables!$H$5:$H$856,"Auto-deduct")</f>
        <v>1</v>
      </c>
      <c r="R17" s="15" t="n">
        <f aca="false">SUMIFS(Service_Consumables!$L$5:$L$856,Service_Consumables!$A$5:$A$856,$A17,Service_Consumables!$E$5:$E$856,R$5,Service_Consumables!$H$5:$H$856,"Auto-deduct")</f>
        <v>0</v>
      </c>
      <c r="S17" s="15" t="n">
        <f aca="false">SUMIFS(Service_Consumables!$L$5:$L$856,Service_Consumables!$A$5:$A$856,$A17,Service_Consumables!$E$5:$E$856,S$5,Service_Consumables!$H$5:$H$856,"Auto-deduct")</f>
        <v>4</v>
      </c>
      <c r="T17" s="15" t="n">
        <f aca="false">SUMIFS(Service_Consumables!$L$5:$L$856,Service_Consumables!$A$5:$A$856,$A17,Service_Consumables!$E$5:$E$856,T$5,Service_Consumables!$H$5:$H$856,"Auto-deduct")</f>
        <v>0</v>
      </c>
      <c r="U17" s="15" t="n">
        <f aca="false">SUMIFS(Service_Consumables!$L$5:$L$856,Service_Consumables!$A$5:$A$856,$A17,Service_Consumables!$E$5:$E$856,U$5,Service_Consumables!$H$5:$H$856,"Auto-deduct")</f>
        <v>0</v>
      </c>
      <c r="V17" s="15" t="n">
        <f aca="false">SUMIFS(Service_Consumables!$L$5:$L$856,Service_Consumables!$A$5:$A$856,$A17,Service_Consumables!$E$5:$E$856,V$5,Service_Consumables!$H$5:$H$856,"Auto-deduct")</f>
        <v>0</v>
      </c>
      <c r="W17" s="15" t="n">
        <f aca="false">SUMIFS(Service_Consumables!$L$5:$L$856,Service_Consumables!$A$5:$A$856,$A17,Service_Consumables!$E$5:$E$856,W$5,Service_Consumables!$H$5:$H$856,"Auto-deduct")</f>
        <v>0</v>
      </c>
      <c r="X17" s="15" t="n">
        <f aca="false">SUMIFS(Service_Consumables!$L$5:$L$856,Service_Consumables!$A$5:$A$856,$A17,Service_Consumables!$E$5:$E$856,X$5,Service_Consumables!$H$5:$H$856,"Auto-deduct")</f>
        <v>0</v>
      </c>
      <c r="Y17" s="15" t="n">
        <f aca="false">SUMIFS(Service_Consumables!$L$5:$L$856,Service_Consumables!$A$5:$A$856,$A17,Service_Consumables!$E$5:$E$856,Y$5,Service_Consumables!$H$5:$H$856,"Auto-deduct")</f>
        <v>0</v>
      </c>
      <c r="Z17" s="15" t="n">
        <f aca="false">SUMIFS(Service_Consumables!$L$5:$L$856,Service_Consumables!$A$5:$A$856,$A17,Service_Consumables!$E$5:$E$856,Z$5,Service_Consumables!$H$5:$H$856,"Auto-deduct")</f>
        <v>30</v>
      </c>
      <c r="AA17" s="15" t="n">
        <f aca="false">SUMIFS(Service_Consumables!$L$5:$L$856,Service_Consumables!$A$5:$A$856,$A17,Service_Consumables!$E$5:$E$856,AA$5,Service_Consumables!$H$5:$H$856,"Auto-deduct")</f>
        <v>0</v>
      </c>
      <c r="AB17" s="15" t="n">
        <f aca="false">SUMIFS(Service_Consumables!$L$5:$L$856,Service_Consumables!$A$5:$A$856,$A17,Service_Consumables!$E$5:$E$856,AB$5,Service_Consumables!$H$5:$H$856,"Auto-deduct")</f>
        <v>0</v>
      </c>
      <c r="AC17" s="15" t="n">
        <f aca="false">SUMIFS(Service_Consumables!$L$5:$L$856,Service_Consumables!$A$5:$A$856,$A17,Service_Consumables!$E$5:$E$856,AC$5,Service_Consumables!$H$5:$H$856,"Auto-deduct")</f>
        <v>3</v>
      </c>
      <c r="AD17" s="15" t="n">
        <f aca="false">SUMIFS(Service_Consumables!$L$5:$L$856,Service_Consumables!$A$5:$A$856,$A17,Service_Consumables!$E$5:$E$856,AD$5,Service_Consumables!$H$5:$H$856,"Auto-deduct")</f>
        <v>5</v>
      </c>
      <c r="AE17" s="15" t="n">
        <f aca="false">SUMIFS(Service_Consumables!$L$5:$L$856,Service_Consumables!$A$5:$A$856,$A17,Service_Consumables!$E$5:$E$856,AE$5,Service_Consumables!$H$5:$H$856,"Auto-deduct")</f>
        <v>0</v>
      </c>
      <c r="AF17" s="15" t="n">
        <f aca="false">SUMIFS(Service_Consumables!$L$5:$L$856,Service_Consumables!$A$5:$A$856,$A17,Service_Consumables!$E$5:$E$856,AF$5,Service_Consumables!$H$5:$H$856,"Auto-deduct")</f>
        <v>0</v>
      </c>
      <c r="AG17" s="15" t="n">
        <f aca="false">SUMIFS(Service_Consumables!$L$5:$L$856,Service_Consumables!$A$5:$A$856,$A17,Service_Consumables!$E$5:$E$856,AG$5,Service_Consumables!$H$5:$H$856,"Auto-deduct")</f>
        <v>0</v>
      </c>
      <c r="AH17" s="15" t="n">
        <f aca="false">SUMIFS(Service_Consumables!$L$5:$L$856,Service_Consumables!$A$5:$A$856,$A17,Service_Consumables!$E$5:$E$856,AH$5,Service_Consumables!$H$5:$H$856,"Auto-deduct")</f>
        <v>0</v>
      </c>
      <c r="AI17" s="15" t="n">
        <f aca="false">SUMIFS(Service_Consumables!$L$5:$L$856,Service_Consumables!$A$5:$A$856,$A17,Service_Consumables!$E$5:$E$856,AI$5,Service_Consumables!$H$5:$H$856,"Auto-deduct")</f>
        <v>0</v>
      </c>
      <c r="AJ17" s="15" t="n">
        <f aca="false">SUMIFS(Service_Consumables!$L$5:$L$856,Service_Consumables!$A$5:$A$856,$A17,Service_Consumables!$E$5:$E$856,AJ$5,Service_Consumables!$H$5:$H$856,"Auto-deduct")</f>
        <v>0</v>
      </c>
      <c r="AK17" s="15" t="n">
        <f aca="false">SUMIFS(Service_Consumables!$L$5:$L$856,Service_Consumables!$A$5:$A$856,$A17,Service_Consumables!$E$5:$E$856,AK$5,Service_Consumables!$H$5:$H$856,"Auto-deduct")</f>
        <v>0</v>
      </c>
      <c r="AL17" s="15" t="n">
        <f aca="false">SUMIFS(Service_Consumables!$L$5:$L$856,Service_Consumables!$A$5:$A$856,$A17,Service_Consumables!$E$5:$E$856,AL$5,Service_Consumables!$H$5:$H$856,"Auto-deduct")</f>
        <v>0</v>
      </c>
      <c r="AM17" s="15" t="n">
        <f aca="false">SUMIFS(Service_Consumables!$L$5:$L$856,Service_Consumables!$A$5:$A$856,$A17,Service_Consumables!$E$5:$E$856,AM$5,Service_Consumables!$H$5:$H$856,"Auto-deduct")</f>
        <v>0</v>
      </c>
      <c r="AN17" s="15" t="n">
        <f aca="false">SUMIFS(Service_Consumables!$L$5:$L$856,Service_Consumables!$A$5:$A$856,$A17,Service_Consumables!$E$5:$E$856,AN$5,Service_Consumables!$H$5:$H$856,"Auto-deduct")</f>
        <v>0</v>
      </c>
      <c r="AO17" s="15" t="n">
        <f aca="false">SUMIFS(Service_Consumables!$L$5:$L$856,Service_Consumables!$A$5:$A$856,$A17,Service_Consumables!$E$5:$E$856,AO$5,Service_Consumables!$H$5:$H$856,"Auto-deduct")</f>
        <v>0</v>
      </c>
      <c r="AP17" s="15" t="n">
        <f aca="false">SUMIFS(Service_Consumables!$L$5:$L$856,Service_Consumables!$A$5:$A$856,$A17,Service_Consumables!$E$5:$E$856,AP$5,Service_Consumables!$H$5:$H$856,"Auto-deduct")</f>
        <v>0</v>
      </c>
      <c r="AQ17" s="15" t="n">
        <f aca="false">SUMIFS(Service_Consumables!$L$5:$L$856,Service_Consumables!$A$5:$A$856,$A17,Service_Consumables!$E$5:$E$856,AQ$5,Service_Consumables!$H$5:$H$856,"Auto-deduct")</f>
        <v>15</v>
      </c>
      <c r="AR17" s="15" t="n">
        <f aca="false">SUMIFS(Service_Consumables!$L$5:$L$856,Service_Consumables!$A$5:$A$856,$A17,Service_Consumables!$E$5:$E$856,AR$5,Service_Consumables!$H$5:$H$856,"Auto-deduct")</f>
        <v>0</v>
      </c>
      <c r="AS17" s="15" t="n">
        <f aca="false">SUMIFS(Service_Consumables!$L$5:$L$856,Service_Consumables!$A$5:$A$856,$A17,Service_Consumables!$E$5:$E$856,AS$5,Service_Consumables!$H$5:$H$856,"Auto-deduct")</f>
        <v>0</v>
      </c>
      <c r="AT17" s="15" t="n">
        <f aca="false">SUMIFS(Service_Consumables!$L$5:$L$856,Service_Consumables!$A$5:$A$856,$A17,Service_Consumables!$E$5:$E$856,AT$5,Service_Consumables!$H$5:$H$856,"Auto-deduct")</f>
        <v>0</v>
      </c>
      <c r="AU17" s="15" t="n">
        <f aca="false">SUMIFS(Service_Consumables!$L$5:$L$856,Service_Consumables!$A$5:$A$856,$A17,Service_Consumables!$E$5:$E$856,AU$5,Service_Consumables!$H$5:$H$856,"Auto-deduct")</f>
        <v>0</v>
      </c>
      <c r="AV17" s="15" t="n">
        <f aca="false">SUMIFS(Service_Consumables!$L$5:$L$856,Service_Consumables!$A$5:$A$856,$A17,Service_Consumables!$E$5:$E$856,AV$5,Service_Consumables!$H$5:$H$856,"Auto-deduct")</f>
        <v>0</v>
      </c>
      <c r="AW17" s="15" t="n">
        <f aca="false">SUMIFS(Service_Consumables!$L$5:$L$856,Service_Consumables!$A$5:$A$856,$A17,Service_Consumables!$E$5:$E$856,AW$5,Service_Consumables!$H$5:$H$856,"Auto-deduct")</f>
        <v>0</v>
      </c>
      <c r="AX17" s="15" t="n">
        <f aca="false">SUMIFS(Service_Consumables!$L$5:$L$856,Service_Consumables!$A$5:$A$856,$A17,Service_Consumables!$E$5:$E$856,AX$5,Service_Consumables!$H$5:$H$856,"Auto-deduct")</f>
        <v>0</v>
      </c>
      <c r="AY17" s="15" t="n">
        <f aca="false">SUMIFS(Service_Consumables!$L$5:$L$856,Service_Consumables!$A$5:$A$856,$A17,Service_Consumables!$E$5:$E$856,AY$5,Service_Consumables!$H$5:$H$856,"Auto-deduct")</f>
        <v>0</v>
      </c>
      <c r="AZ17" s="15" t="n">
        <f aca="false">SUMIFS(Service_Consumables!$L$5:$L$856,Service_Consumables!$A$5:$A$856,$A17,Service_Consumables!$E$5:$E$856,AZ$5,Service_Consumables!$H$5:$H$856,"Auto-deduct")</f>
        <v>0</v>
      </c>
      <c r="BA17" s="15" t="n">
        <f aca="false">SUMIFS(Service_Consumables!$L$5:$L$856,Service_Consumables!$A$5:$A$856,$A17,Service_Consumables!$E$5:$E$856,BA$5,Service_Consumables!$H$5:$H$856,"Auto-deduct")</f>
        <v>3</v>
      </c>
      <c r="BB17" s="15" t="n">
        <f aca="false">SUMIFS(Service_Consumables!$L$5:$L$856,Service_Consumables!$A$5:$A$856,$A17,Service_Consumables!$E$5:$E$856,BB$5,Service_Consumables!$H$5:$H$856,"Auto-deduct")</f>
        <v>0</v>
      </c>
      <c r="BC17" s="15" t="n">
        <f aca="false">SUMIFS(Service_Consumables!$L$5:$L$856,Service_Consumables!$A$5:$A$856,$A17,Service_Consumables!$E$5:$E$856,BC$5,Service_Consumables!$H$5:$H$856,"Auto-deduct")</f>
        <v>0</v>
      </c>
      <c r="BD17" s="15" t="n">
        <f aca="false">SUMIFS(Service_Consumables!$L$5:$L$856,Service_Consumables!$A$5:$A$856,$A17,Service_Consumables!$E$5:$E$856,BD$5,Service_Consumables!$H$5:$H$856,"Auto-deduct")</f>
        <v>0</v>
      </c>
      <c r="BE17" s="15" t="n">
        <f aca="false">SUMIFS(Service_Consumables!$L$5:$L$856,Service_Consumables!$A$5:$A$856,$A17,Service_Consumables!$E$5:$E$856,BE$5,Service_Consumables!$H$5:$H$856,"Auto-deduct")</f>
        <v>0</v>
      </c>
      <c r="BF17" s="15" t="n">
        <f aca="false">SUMIFS(Service_Consumables!$L$5:$L$856,Service_Consumables!$A$5:$A$856,$A17,Service_Consumables!$E$5:$E$856,BF$5,Service_Consumables!$H$5:$H$856,"Auto-deduct")</f>
        <v>0</v>
      </c>
      <c r="BG17" s="15" t="n">
        <f aca="false">SUMIFS(Service_Consumables!$L$5:$L$856,Service_Consumables!$A$5:$A$856,$A17,Service_Consumables!$E$5:$E$856,BG$5,Service_Consumables!$H$5:$H$856,"Auto-deduct")</f>
        <v>0</v>
      </c>
      <c r="BH17" s="15" t="n">
        <f aca="false">SUMIFS(Service_Consumables!$L$5:$L$856,Service_Consumables!$A$5:$A$856,$A17,Service_Consumables!$E$5:$E$856,BH$5,Service_Consumables!$H$5:$H$856,"Auto-deduct")</f>
        <v>1</v>
      </c>
      <c r="BI17" s="15" t="n">
        <f aca="false">SUMIFS(Service_Consumables!$L$5:$L$856,Service_Consumables!$A$5:$A$856,$A17,Service_Consumables!$E$5:$E$856,BI$5,Service_Consumables!$H$5:$H$856,"Auto-deduct")</f>
        <v>5</v>
      </c>
    </row>
    <row r="18" customFormat="false" ht="15" hidden="false" customHeight="false" outlineLevel="0" collapsed="false">
      <c r="A18" s="14" t="n">
        <f aca="false">Services!A17</f>
        <v>13</v>
      </c>
      <c r="B18" s="14" t="str">
        <f aca="false">Services!B17</f>
        <v>Hair Removal (IPL-HR)</v>
      </c>
      <c r="C18" s="14" t="str">
        <f aca="false">Services!C17</f>
        <v>Face</v>
      </c>
      <c r="D18" s="15" t="n">
        <f aca="false">SUMIFS(Service_Consumables!$L$5:$L$856,Service_Consumables!$A$5:$A$856,$A18,Service_Consumables!$E$5:$E$856,D$5,Service_Consumables!$H$5:$H$856,"Auto-deduct")</f>
        <v>0</v>
      </c>
      <c r="E18" s="15" t="n">
        <f aca="false">SUMIFS(Service_Consumables!$L$5:$L$856,Service_Consumables!$A$5:$A$856,$A18,Service_Consumables!$E$5:$E$856,E$5,Service_Consumables!$H$5:$H$856,"Auto-deduct")</f>
        <v>0</v>
      </c>
      <c r="F18" s="15" t="n">
        <f aca="false">SUMIFS(Service_Consumables!$L$5:$L$856,Service_Consumables!$A$5:$A$856,$A18,Service_Consumables!$E$5:$E$856,F$5,Service_Consumables!$H$5:$H$856,"Auto-deduct")</f>
        <v>0</v>
      </c>
      <c r="G18" s="15" t="n">
        <f aca="false">SUMIFS(Service_Consumables!$L$5:$L$856,Service_Consumables!$A$5:$A$856,$A18,Service_Consumables!$E$5:$E$856,G$5,Service_Consumables!$H$5:$H$856,"Auto-deduct")</f>
        <v>0</v>
      </c>
      <c r="H18" s="15" t="n">
        <f aca="false">SUMIFS(Service_Consumables!$L$5:$L$856,Service_Consumables!$A$5:$A$856,$A18,Service_Consumables!$E$5:$E$856,H$5,Service_Consumables!$H$5:$H$856,"Auto-deduct")</f>
        <v>0</v>
      </c>
      <c r="I18" s="15" t="n">
        <f aca="false">SUMIFS(Service_Consumables!$L$5:$L$856,Service_Consumables!$A$5:$A$856,$A18,Service_Consumables!$E$5:$E$856,I$5,Service_Consumables!$H$5:$H$856,"Auto-deduct")</f>
        <v>0</v>
      </c>
      <c r="J18" s="15" t="n">
        <f aca="false">SUMIFS(Service_Consumables!$L$5:$L$856,Service_Consumables!$A$5:$A$856,$A18,Service_Consumables!$E$5:$E$856,J$5,Service_Consumables!$H$5:$H$856,"Auto-deduct")</f>
        <v>0</v>
      </c>
      <c r="K18" s="15" t="n">
        <f aca="false">SUMIFS(Service_Consumables!$L$5:$L$856,Service_Consumables!$A$5:$A$856,$A18,Service_Consumables!$E$5:$E$856,K$5,Service_Consumables!$H$5:$H$856,"Auto-deduct")</f>
        <v>0</v>
      </c>
      <c r="L18" s="15" t="n">
        <f aca="false">SUMIFS(Service_Consumables!$L$5:$L$856,Service_Consumables!$A$5:$A$856,$A18,Service_Consumables!$E$5:$E$856,L$5,Service_Consumables!$H$5:$H$856,"Auto-deduct")</f>
        <v>0</v>
      </c>
      <c r="M18" s="15" t="n">
        <f aca="false">SUMIFS(Service_Consumables!$L$5:$L$856,Service_Consumables!$A$5:$A$856,$A18,Service_Consumables!$E$5:$E$856,M$5,Service_Consumables!$H$5:$H$856,"Auto-deduct")</f>
        <v>0</v>
      </c>
      <c r="N18" s="15" t="n">
        <f aca="false">SUMIFS(Service_Consumables!$L$5:$L$856,Service_Consumables!$A$5:$A$856,$A18,Service_Consumables!$E$5:$E$856,N$5,Service_Consumables!$H$5:$H$856,"Auto-deduct")</f>
        <v>0</v>
      </c>
      <c r="O18" s="15" t="n">
        <f aca="false">SUMIFS(Service_Consumables!$L$5:$L$856,Service_Consumables!$A$5:$A$856,$A18,Service_Consumables!$E$5:$E$856,O$5,Service_Consumables!$H$5:$H$856,"Auto-deduct")</f>
        <v>1</v>
      </c>
      <c r="P18" s="15" t="n">
        <f aca="false">SUMIFS(Service_Consumables!$L$5:$L$856,Service_Consumables!$A$5:$A$856,$A18,Service_Consumables!$E$5:$E$856,P$5,Service_Consumables!$H$5:$H$856,"Auto-deduct")</f>
        <v>1</v>
      </c>
      <c r="Q18" s="15" t="n">
        <f aca="false">SUMIFS(Service_Consumables!$L$5:$L$856,Service_Consumables!$A$5:$A$856,$A18,Service_Consumables!$E$5:$E$856,Q$5,Service_Consumables!$H$5:$H$856,"Auto-deduct")</f>
        <v>1</v>
      </c>
      <c r="R18" s="15" t="n">
        <f aca="false">SUMIFS(Service_Consumables!$L$5:$L$856,Service_Consumables!$A$5:$A$856,$A18,Service_Consumables!$E$5:$E$856,R$5,Service_Consumables!$H$5:$H$856,"Auto-deduct")</f>
        <v>0</v>
      </c>
      <c r="S18" s="15" t="n">
        <f aca="false">SUMIFS(Service_Consumables!$L$5:$L$856,Service_Consumables!$A$5:$A$856,$A18,Service_Consumables!$E$5:$E$856,S$5,Service_Consumables!$H$5:$H$856,"Auto-deduct")</f>
        <v>4</v>
      </c>
      <c r="T18" s="15" t="n">
        <f aca="false">SUMIFS(Service_Consumables!$L$5:$L$856,Service_Consumables!$A$5:$A$856,$A18,Service_Consumables!$E$5:$E$856,T$5,Service_Consumables!$H$5:$H$856,"Auto-deduct")</f>
        <v>0</v>
      </c>
      <c r="U18" s="15" t="n">
        <f aca="false">SUMIFS(Service_Consumables!$L$5:$L$856,Service_Consumables!$A$5:$A$856,$A18,Service_Consumables!$E$5:$E$856,U$5,Service_Consumables!$H$5:$H$856,"Auto-deduct")</f>
        <v>0</v>
      </c>
      <c r="V18" s="15" t="n">
        <f aca="false">SUMIFS(Service_Consumables!$L$5:$L$856,Service_Consumables!$A$5:$A$856,$A18,Service_Consumables!$E$5:$E$856,V$5,Service_Consumables!$H$5:$H$856,"Auto-deduct")</f>
        <v>0</v>
      </c>
      <c r="W18" s="15" t="n">
        <f aca="false">SUMIFS(Service_Consumables!$L$5:$L$856,Service_Consumables!$A$5:$A$856,$A18,Service_Consumables!$E$5:$E$856,W$5,Service_Consumables!$H$5:$H$856,"Auto-deduct")</f>
        <v>0</v>
      </c>
      <c r="X18" s="15" t="n">
        <f aca="false">SUMIFS(Service_Consumables!$L$5:$L$856,Service_Consumables!$A$5:$A$856,$A18,Service_Consumables!$E$5:$E$856,X$5,Service_Consumables!$H$5:$H$856,"Auto-deduct")</f>
        <v>0</v>
      </c>
      <c r="Y18" s="15" t="n">
        <f aca="false">SUMIFS(Service_Consumables!$L$5:$L$856,Service_Consumables!$A$5:$A$856,$A18,Service_Consumables!$E$5:$E$856,Y$5,Service_Consumables!$H$5:$H$856,"Auto-deduct")</f>
        <v>0</v>
      </c>
      <c r="Z18" s="15" t="n">
        <f aca="false">SUMIFS(Service_Consumables!$L$5:$L$856,Service_Consumables!$A$5:$A$856,$A18,Service_Consumables!$E$5:$E$856,Z$5,Service_Consumables!$H$5:$H$856,"Auto-deduct")</f>
        <v>0</v>
      </c>
      <c r="AA18" s="15" t="n">
        <f aca="false">SUMIFS(Service_Consumables!$L$5:$L$856,Service_Consumables!$A$5:$A$856,$A18,Service_Consumables!$E$5:$E$856,AA$5,Service_Consumables!$H$5:$H$856,"Auto-deduct")</f>
        <v>0</v>
      </c>
      <c r="AB18" s="15" t="n">
        <f aca="false">SUMIFS(Service_Consumables!$L$5:$L$856,Service_Consumables!$A$5:$A$856,$A18,Service_Consumables!$E$5:$E$856,AB$5,Service_Consumables!$H$5:$H$856,"Auto-deduct")</f>
        <v>0</v>
      </c>
      <c r="AC18" s="15" t="n">
        <f aca="false">SUMIFS(Service_Consumables!$L$5:$L$856,Service_Consumables!$A$5:$A$856,$A18,Service_Consumables!$E$5:$E$856,AC$5,Service_Consumables!$H$5:$H$856,"Auto-deduct")</f>
        <v>3</v>
      </c>
      <c r="AD18" s="15" t="n">
        <f aca="false">SUMIFS(Service_Consumables!$L$5:$L$856,Service_Consumables!$A$5:$A$856,$A18,Service_Consumables!$E$5:$E$856,AD$5,Service_Consumables!$H$5:$H$856,"Auto-deduct")</f>
        <v>5</v>
      </c>
      <c r="AE18" s="15" t="n">
        <f aca="false">SUMIFS(Service_Consumables!$L$5:$L$856,Service_Consumables!$A$5:$A$856,$A18,Service_Consumables!$E$5:$E$856,AE$5,Service_Consumables!$H$5:$H$856,"Auto-deduct")</f>
        <v>0</v>
      </c>
      <c r="AF18" s="15" t="n">
        <f aca="false">SUMIFS(Service_Consumables!$L$5:$L$856,Service_Consumables!$A$5:$A$856,$A18,Service_Consumables!$E$5:$E$856,AF$5,Service_Consumables!$H$5:$H$856,"Auto-deduct")</f>
        <v>0</v>
      </c>
      <c r="AG18" s="15" t="n">
        <f aca="false">SUMIFS(Service_Consumables!$L$5:$L$856,Service_Consumables!$A$5:$A$856,$A18,Service_Consumables!$E$5:$E$856,AG$5,Service_Consumables!$H$5:$H$856,"Auto-deduct")</f>
        <v>0</v>
      </c>
      <c r="AH18" s="15" t="n">
        <f aca="false">SUMIFS(Service_Consumables!$L$5:$L$856,Service_Consumables!$A$5:$A$856,$A18,Service_Consumables!$E$5:$E$856,AH$5,Service_Consumables!$H$5:$H$856,"Auto-deduct")</f>
        <v>0</v>
      </c>
      <c r="AI18" s="15" t="n">
        <f aca="false">SUMIFS(Service_Consumables!$L$5:$L$856,Service_Consumables!$A$5:$A$856,$A18,Service_Consumables!$E$5:$E$856,AI$5,Service_Consumables!$H$5:$H$856,"Auto-deduct")</f>
        <v>0</v>
      </c>
      <c r="AJ18" s="15" t="n">
        <f aca="false">SUMIFS(Service_Consumables!$L$5:$L$856,Service_Consumables!$A$5:$A$856,$A18,Service_Consumables!$E$5:$E$856,AJ$5,Service_Consumables!$H$5:$H$856,"Auto-deduct")</f>
        <v>0</v>
      </c>
      <c r="AK18" s="15" t="n">
        <f aca="false">SUMIFS(Service_Consumables!$L$5:$L$856,Service_Consumables!$A$5:$A$856,$A18,Service_Consumables!$E$5:$E$856,AK$5,Service_Consumables!$H$5:$H$856,"Auto-deduct")</f>
        <v>0</v>
      </c>
      <c r="AL18" s="15" t="n">
        <f aca="false">SUMIFS(Service_Consumables!$L$5:$L$856,Service_Consumables!$A$5:$A$856,$A18,Service_Consumables!$E$5:$E$856,AL$5,Service_Consumables!$H$5:$H$856,"Auto-deduct")</f>
        <v>0</v>
      </c>
      <c r="AM18" s="15" t="n">
        <f aca="false">SUMIFS(Service_Consumables!$L$5:$L$856,Service_Consumables!$A$5:$A$856,$A18,Service_Consumables!$E$5:$E$856,AM$5,Service_Consumables!$H$5:$H$856,"Auto-deduct")</f>
        <v>0</v>
      </c>
      <c r="AN18" s="15" t="n">
        <f aca="false">SUMIFS(Service_Consumables!$L$5:$L$856,Service_Consumables!$A$5:$A$856,$A18,Service_Consumables!$E$5:$E$856,AN$5,Service_Consumables!$H$5:$H$856,"Auto-deduct")</f>
        <v>0</v>
      </c>
      <c r="AO18" s="15" t="n">
        <f aca="false">SUMIFS(Service_Consumables!$L$5:$L$856,Service_Consumables!$A$5:$A$856,$A18,Service_Consumables!$E$5:$E$856,AO$5,Service_Consumables!$H$5:$H$856,"Auto-deduct")</f>
        <v>30</v>
      </c>
      <c r="AP18" s="15" t="n">
        <f aca="false">SUMIFS(Service_Consumables!$L$5:$L$856,Service_Consumables!$A$5:$A$856,$A18,Service_Consumables!$E$5:$E$856,AP$5,Service_Consumables!$H$5:$H$856,"Auto-deduct")</f>
        <v>0</v>
      </c>
      <c r="AQ18" s="15" t="n">
        <f aca="false">SUMIFS(Service_Consumables!$L$5:$L$856,Service_Consumables!$A$5:$A$856,$A18,Service_Consumables!$E$5:$E$856,AQ$5,Service_Consumables!$H$5:$H$856,"Auto-deduct")</f>
        <v>15</v>
      </c>
      <c r="AR18" s="15" t="n">
        <f aca="false">SUMIFS(Service_Consumables!$L$5:$L$856,Service_Consumables!$A$5:$A$856,$A18,Service_Consumables!$E$5:$E$856,AR$5,Service_Consumables!$H$5:$H$856,"Auto-deduct")</f>
        <v>0</v>
      </c>
      <c r="AS18" s="15" t="n">
        <f aca="false">SUMIFS(Service_Consumables!$L$5:$L$856,Service_Consumables!$A$5:$A$856,$A18,Service_Consumables!$E$5:$E$856,AS$5,Service_Consumables!$H$5:$H$856,"Auto-deduct")</f>
        <v>0</v>
      </c>
      <c r="AT18" s="15" t="n">
        <f aca="false">SUMIFS(Service_Consumables!$L$5:$L$856,Service_Consumables!$A$5:$A$856,$A18,Service_Consumables!$E$5:$E$856,AT$5,Service_Consumables!$H$5:$H$856,"Auto-deduct")</f>
        <v>0</v>
      </c>
      <c r="AU18" s="15" t="n">
        <f aca="false">SUMIFS(Service_Consumables!$L$5:$L$856,Service_Consumables!$A$5:$A$856,$A18,Service_Consumables!$E$5:$E$856,AU$5,Service_Consumables!$H$5:$H$856,"Auto-deduct")</f>
        <v>0</v>
      </c>
      <c r="AV18" s="15" t="n">
        <f aca="false">SUMIFS(Service_Consumables!$L$5:$L$856,Service_Consumables!$A$5:$A$856,$A18,Service_Consumables!$E$5:$E$856,AV$5,Service_Consumables!$H$5:$H$856,"Auto-deduct")</f>
        <v>0</v>
      </c>
      <c r="AW18" s="15" t="n">
        <f aca="false">SUMIFS(Service_Consumables!$L$5:$L$856,Service_Consumables!$A$5:$A$856,$A18,Service_Consumables!$E$5:$E$856,AW$5,Service_Consumables!$H$5:$H$856,"Auto-deduct")</f>
        <v>0</v>
      </c>
      <c r="AX18" s="15" t="n">
        <f aca="false">SUMIFS(Service_Consumables!$L$5:$L$856,Service_Consumables!$A$5:$A$856,$A18,Service_Consumables!$E$5:$E$856,AX$5,Service_Consumables!$H$5:$H$856,"Auto-deduct")</f>
        <v>0</v>
      </c>
      <c r="AY18" s="15" t="n">
        <f aca="false">SUMIFS(Service_Consumables!$L$5:$L$856,Service_Consumables!$A$5:$A$856,$A18,Service_Consumables!$E$5:$E$856,AY$5,Service_Consumables!$H$5:$H$856,"Auto-deduct")</f>
        <v>0</v>
      </c>
      <c r="AZ18" s="15" t="n">
        <f aca="false">SUMIFS(Service_Consumables!$L$5:$L$856,Service_Consumables!$A$5:$A$856,$A18,Service_Consumables!$E$5:$E$856,AZ$5,Service_Consumables!$H$5:$H$856,"Auto-deduct")</f>
        <v>0</v>
      </c>
      <c r="BA18" s="15" t="n">
        <f aca="false">SUMIFS(Service_Consumables!$L$5:$L$856,Service_Consumables!$A$5:$A$856,$A18,Service_Consumables!$E$5:$E$856,BA$5,Service_Consumables!$H$5:$H$856,"Auto-deduct")</f>
        <v>3</v>
      </c>
      <c r="BB18" s="15" t="n">
        <f aca="false">SUMIFS(Service_Consumables!$L$5:$L$856,Service_Consumables!$A$5:$A$856,$A18,Service_Consumables!$E$5:$E$856,BB$5,Service_Consumables!$H$5:$H$856,"Auto-deduct")</f>
        <v>0</v>
      </c>
      <c r="BC18" s="15" t="n">
        <f aca="false">SUMIFS(Service_Consumables!$L$5:$L$856,Service_Consumables!$A$5:$A$856,$A18,Service_Consumables!$E$5:$E$856,BC$5,Service_Consumables!$H$5:$H$856,"Auto-deduct")</f>
        <v>0</v>
      </c>
      <c r="BD18" s="15" t="n">
        <f aca="false">SUMIFS(Service_Consumables!$L$5:$L$856,Service_Consumables!$A$5:$A$856,$A18,Service_Consumables!$E$5:$E$856,BD$5,Service_Consumables!$H$5:$H$856,"Auto-deduct")</f>
        <v>0</v>
      </c>
      <c r="BE18" s="15" t="n">
        <f aca="false">SUMIFS(Service_Consumables!$L$5:$L$856,Service_Consumables!$A$5:$A$856,$A18,Service_Consumables!$E$5:$E$856,BE$5,Service_Consumables!$H$5:$H$856,"Auto-deduct")</f>
        <v>0</v>
      </c>
      <c r="BF18" s="15" t="n">
        <f aca="false">SUMIFS(Service_Consumables!$L$5:$L$856,Service_Consumables!$A$5:$A$856,$A18,Service_Consumables!$E$5:$E$856,BF$5,Service_Consumables!$H$5:$H$856,"Auto-deduct")</f>
        <v>0</v>
      </c>
      <c r="BG18" s="15" t="n">
        <f aca="false">SUMIFS(Service_Consumables!$L$5:$L$856,Service_Consumables!$A$5:$A$856,$A18,Service_Consumables!$E$5:$E$856,BG$5,Service_Consumables!$H$5:$H$856,"Auto-deduct")</f>
        <v>0</v>
      </c>
      <c r="BH18" s="15" t="n">
        <f aca="false">SUMIFS(Service_Consumables!$L$5:$L$856,Service_Consumables!$A$5:$A$856,$A18,Service_Consumables!$E$5:$E$856,BH$5,Service_Consumables!$H$5:$H$856,"Auto-deduct")</f>
        <v>1</v>
      </c>
      <c r="BI18" s="15" t="n">
        <f aca="false">SUMIFS(Service_Consumables!$L$5:$L$856,Service_Consumables!$A$5:$A$856,$A18,Service_Consumables!$E$5:$E$856,BI$5,Service_Consumables!$H$5:$H$856,"Auto-deduct")</f>
        <v>0</v>
      </c>
    </row>
    <row r="19" customFormat="false" ht="15" hidden="false" customHeight="false" outlineLevel="0" collapsed="false">
      <c r="A19" s="14" t="n">
        <f aca="false">Services!A18</f>
        <v>14</v>
      </c>
      <c r="B19" s="14" t="str">
        <f aca="false">Services!B18</f>
        <v>Hair Removal (IPL-HR)</v>
      </c>
      <c r="C19" s="14" t="str">
        <f aca="false">Services!C18</f>
        <v>Upper Lip</v>
      </c>
      <c r="D19" s="15" t="n">
        <f aca="false">SUMIFS(Service_Consumables!$L$5:$L$856,Service_Consumables!$A$5:$A$856,$A19,Service_Consumables!$E$5:$E$856,D$5,Service_Consumables!$H$5:$H$856,"Auto-deduct")</f>
        <v>0</v>
      </c>
      <c r="E19" s="15" t="n">
        <f aca="false">SUMIFS(Service_Consumables!$L$5:$L$856,Service_Consumables!$A$5:$A$856,$A19,Service_Consumables!$E$5:$E$856,E$5,Service_Consumables!$H$5:$H$856,"Auto-deduct")</f>
        <v>0</v>
      </c>
      <c r="F19" s="15" t="n">
        <f aca="false">SUMIFS(Service_Consumables!$L$5:$L$856,Service_Consumables!$A$5:$A$856,$A19,Service_Consumables!$E$5:$E$856,F$5,Service_Consumables!$H$5:$H$856,"Auto-deduct")</f>
        <v>0</v>
      </c>
      <c r="G19" s="15" t="n">
        <f aca="false">SUMIFS(Service_Consumables!$L$5:$L$856,Service_Consumables!$A$5:$A$856,$A19,Service_Consumables!$E$5:$E$856,G$5,Service_Consumables!$H$5:$H$856,"Auto-deduct")</f>
        <v>0</v>
      </c>
      <c r="H19" s="15" t="n">
        <f aca="false">SUMIFS(Service_Consumables!$L$5:$L$856,Service_Consumables!$A$5:$A$856,$A19,Service_Consumables!$E$5:$E$856,H$5,Service_Consumables!$H$5:$H$856,"Auto-deduct")</f>
        <v>0</v>
      </c>
      <c r="I19" s="15" t="n">
        <f aca="false">SUMIFS(Service_Consumables!$L$5:$L$856,Service_Consumables!$A$5:$A$856,$A19,Service_Consumables!$E$5:$E$856,I$5,Service_Consumables!$H$5:$H$856,"Auto-deduct")</f>
        <v>0</v>
      </c>
      <c r="J19" s="15" t="n">
        <f aca="false">SUMIFS(Service_Consumables!$L$5:$L$856,Service_Consumables!$A$5:$A$856,$A19,Service_Consumables!$E$5:$E$856,J$5,Service_Consumables!$H$5:$H$856,"Auto-deduct")</f>
        <v>0</v>
      </c>
      <c r="K19" s="15" t="n">
        <f aca="false">SUMIFS(Service_Consumables!$L$5:$L$856,Service_Consumables!$A$5:$A$856,$A19,Service_Consumables!$E$5:$E$856,K$5,Service_Consumables!$H$5:$H$856,"Auto-deduct")</f>
        <v>0</v>
      </c>
      <c r="L19" s="15" t="n">
        <f aca="false">SUMIFS(Service_Consumables!$L$5:$L$856,Service_Consumables!$A$5:$A$856,$A19,Service_Consumables!$E$5:$E$856,L$5,Service_Consumables!$H$5:$H$856,"Auto-deduct")</f>
        <v>0</v>
      </c>
      <c r="M19" s="15" t="n">
        <f aca="false">SUMIFS(Service_Consumables!$L$5:$L$856,Service_Consumables!$A$5:$A$856,$A19,Service_Consumables!$E$5:$E$856,M$5,Service_Consumables!$H$5:$H$856,"Auto-deduct")</f>
        <v>0</v>
      </c>
      <c r="N19" s="15" t="n">
        <f aca="false">SUMIFS(Service_Consumables!$L$5:$L$856,Service_Consumables!$A$5:$A$856,$A19,Service_Consumables!$E$5:$E$856,N$5,Service_Consumables!$H$5:$H$856,"Auto-deduct")</f>
        <v>0</v>
      </c>
      <c r="O19" s="15" t="n">
        <f aca="false">SUMIFS(Service_Consumables!$L$5:$L$856,Service_Consumables!$A$5:$A$856,$A19,Service_Consumables!$E$5:$E$856,O$5,Service_Consumables!$H$5:$H$856,"Auto-deduct")</f>
        <v>1</v>
      </c>
      <c r="P19" s="15" t="n">
        <f aca="false">SUMIFS(Service_Consumables!$L$5:$L$856,Service_Consumables!$A$5:$A$856,$A19,Service_Consumables!$E$5:$E$856,P$5,Service_Consumables!$H$5:$H$856,"Auto-deduct")</f>
        <v>1</v>
      </c>
      <c r="Q19" s="15" t="n">
        <f aca="false">SUMIFS(Service_Consumables!$L$5:$L$856,Service_Consumables!$A$5:$A$856,$A19,Service_Consumables!$E$5:$E$856,Q$5,Service_Consumables!$H$5:$H$856,"Auto-deduct")</f>
        <v>1</v>
      </c>
      <c r="R19" s="15" t="n">
        <f aca="false">SUMIFS(Service_Consumables!$L$5:$L$856,Service_Consumables!$A$5:$A$856,$A19,Service_Consumables!$E$5:$E$856,R$5,Service_Consumables!$H$5:$H$856,"Auto-deduct")</f>
        <v>0</v>
      </c>
      <c r="S19" s="15" t="n">
        <f aca="false">SUMIFS(Service_Consumables!$L$5:$L$856,Service_Consumables!$A$5:$A$856,$A19,Service_Consumables!$E$5:$E$856,S$5,Service_Consumables!$H$5:$H$856,"Auto-deduct")</f>
        <v>4</v>
      </c>
      <c r="T19" s="15" t="n">
        <f aca="false">SUMIFS(Service_Consumables!$L$5:$L$856,Service_Consumables!$A$5:$A$856,$A19,Service_Consumables!$E$5:$E$856,T$5,Service_Consumables!$H$5:$H$856,"Auto-deduct")</f>
        <v>0</v>
      </c>
      <c r="U19" s="15" t="n">
        <f aca="false">SUMIFS(Service_Consumables!$L$5:$L$856,Service_Consumables!$A$5:$A$856,$A19,Service_Consumables!$E$5:$E$856,U$5,Service_Consumables!$H$5:$H$856,"Auto-deduct")</f>
        <v>0</v>
      </c>
      <c r="V19" s="15" t="n">
        <f aca="false">SUMIFS(Service_Consumables!$L$5:$L$856,Service_Consumables!$A$5:$A$856,$A19,Service_Consumables!$E$5:$E$856,V$5,Service_Consumables!$H$5:$H$856,"Auto-deduct")</f>
        <v>0</v>
      </c>
      <c r="W19" s="15" t="n">
        <f aca="false">SUMIFS(Service_Consumables!$L$5:$L$856,Service_Consumables!$A$5:$A$856,$A19,Service_Consumables!$E$5:$E$856,W$5,Service_Consumables!$H$5:$H$856,"Auto-deduct")</f>
        <v>0</v>
      </c>
      <c r="X19" s="15" t="n">
        <f aca="false">SUMIFS(Service_Consumables!$L$5:$L$856,Service_Consumables!$A$5:$A$856,$A19,Service_Consumables!$E$5:$E$856,X$5,Service_Consumables!$H$5:$H$856,"Auto-deduct")</f>
        <v>0</v>
      </c>
      <c r="Y19" s="15" t="n">
        <f aca="false">SUMIFS(Service_Consumables!$L$5:$L$856,Service_Consumables!$A$5:$A$856,$A19,Service_Consumables!$E$5:$E$856,Y$5,Service_Consumables!$H$5:$H$856,"Auto-deduct")</f>
        <v>0</v>
      </c>
      <c r="Z19" s="15" t="n">
        <f aca="false">SUMIFS(Service_Consumables!$L$5:$L$856,Service_Consumables!$A$5:$A$856,$A19,Service_Consumables!$E$5:$E$856,Z$5,Service_Consumables!$H$5:$H$856,"Auto-deduct")</f>
        <v>0</v>
      </c>
      <c r="AA19" s="15" t="n">
        <f aca="false">SUMIFS(Service_Consumables!$L$5:$L$856,Service_Consumables!$A$5:$A$856,$A19,Service_Consumables!$E$5:$E$856,AA$5,Service_Consumables!$H$5:$H$856,"Auto-deduct")</f>
        <v>0</v>
      </c>
      <c r="AB19" s="15" t="n">
        <f aca="false">SUMIFS(Service_Consumables!$L$5:$L$856,Service_Consumables!$A$5:$A$856,$A19,Service_Consumables!$E$5:$E$856,AB$5,Service_Consumables!$H$5:$H$856,"Auto-deduct")</f>
        <v>0</v>
      </c>
      <c r="AC19" s="15" t="n">
        <f aca="false">SUMIFS(Service_Consumables!$L$5:$L$856,Service_Consumables!$A$5:$A$856,$A19,Service_Consumables!$E$5:$E$856,AC$5,Service_Consumables!$H$5:$H$856,"Auto-deduct")</f>
        <v>3</v>
      </c>
      <c r="AD19" s="15" t="n">
        <f aca="false">SUMIFS(Service_Consumables!$L$5:$L$856,Service_Consumables!$A$5:$A$856,$A19,Service_Consumables!$E$5:$E$856,AD$5,Service_Consumables!$H$5:$H$856,"Auto-deduct")</f>
        <v>5</v>
      </c>
      <c r="AE19" s="15" t="n">
        <f aca="false">SUMIFS(Service_Consumables!$L$5:$L$856,Service_Consumables!$A$5:$A$856,$A19,Service_Consumables!$E$5:$E$856,AE$5,Service_Consumables!$H$5:$H$856,"Auto-deduct")</f>
        <v>0</v>
      </c>
      <c r="AF19" s="15" t="n">
        <f aca="false">SUMIFS(Service_Consumables!$L$5:$L$856,Service_Consumables!$A$5:$A$856,$A19,Service_Consumables!$E$5:$E$856,AF$5,Service_Consumables!$H$5:$H$856,"Auto-deduct")</f>
        <v>0</v>
      </c>
      <c r="AG19" s="15" t="n">
        <f aca="false">SUMIFS(Service_Consumables!$L$5:$L$856,Service_Consumables!$A$5:$A$856,$A19,Service_Consumables!$E$5:$E$856,AG$5,Service_Consumables!$H$5:$H$856,"Auto-deduct")</f>
        <v>0</v>
      </c>
      <c r="AH19" s="15" t="n">
        <f aca="false">SUMIFS(Service_Consumables!$L$5:$L$856,Service_Consumables!$A$5:$A$856,$A19,Service_Consumables!$E$5:$E$856,AH$5,Service_Consumables!$H$5:$H$856,"Auto-deduct")</f>
        <v>0</v>
      </c>
      <c r="AI19" s="15" t="n">
        <f aca="false">SUMIFS(Service_Consumables!$L$5:$L$856,Service_Consumables!$A$5:$A$856,$A19,Service_Consumables!$E$5:$E$856,AI$5,Service_Consumables!$H$5:$H$856,"Auto-deduct")</f>
        <v>0</v>
      </c>
      <c r="AJ19" s="15" t="n">
        <f aca="false">SUMIFS(Service_Consumables!$L$5:$L$856,Service_Consumables!$A$5:$A$856,$A19,Service_Consumables!$E$5:$E$856,AJ$5,Service_Consumables!$H$5:$H$856,"Auto-deduct")</f>
        <v>0</v>
      </c>
      <c r="AK19" s="15" t="n">
        <f aca="false">SUMIFS(Service_Consumables!$L$5:$L$856,Service_Consumables!$A$5:$A$856,$A19,Service_Consumables!$E$5:$E$856,AK$5,Service_Consumables!$H$5:$H$856,"Auto-deduct")</f>
        <v>0</v>
      </c>
      <c r="AL19" s="15" t="n">
        <f aca="false">SUMIFS(Service_Consumables!$L$5:$L$856,Service_Consumables!$A$5:$A$856,$A19,Service_Consumables!$E$5:$E$856,AL$5,Service_Consumables!$H$5:$H$856,"Auto-deduct")</f>
        <v>0</v>
      </c>
      <c r="AM19" s="15" t="n">
        <f aca="false">SUMIFS(Service_Consumables!$L$5:$L$856,Service_Consumables!$A$5:$A$856,$A19,Service_Consumables!$E$5:$E$856,AM$5,Service_Consumables!$H$5:$H$856,"Auto-deduct")</f>
        <v>0</v>
      </c>
      <c r="AN19" s="15" t="n">
        <f aca="false">SUMIFS(Service_Consumables!$L$5:$L$856,Service_Consumables!$A$5:$A$856,$A19,Service_Consumables!$E$5:$E$856,AN$5,Service_Consumables!$H$5:$H$856,"Auto-deduct")</f>
        <v>0</v>
      </c>
      <c r="AO19" s="15" t="n">
        <f aca="false">SUMIFS(Service_Consumables!$L$5:$L$856,Service_Consumables!$A$5:$A$856,$A19,Service_Consumables!$E$5:$E$856,AO$5,Service_Consumables!$H$5:$H$856,"Auto-deduct")</f>
        <v>0</v>
      </c>
      <c r="AP19" s="15" t="n">
        <f aca="false">SUMIFS(Service_Consumables!$L$5:$L$856,Service_Consumables!$A$5:$A$856,$A19,Service_Consumables!$E$5:$E$856,AP$5,Service_Consumables!$H$5:$H$856,"Auto-deduct")</f>
        <v>0</v>
      </c>
      <c r="AQ19" s="15" t="n">
        <f aca="false">SUMIFS(Service_Consumables!$L$5:$L$856,Service_Consumables!$A$5:$A$856,$A19,Service_Consumables!$E$5:$E$856,AQ$5,Service_Consumables!$H$5:$H$856,"Auto-deduct")</f>
        <v>7.5</v>
      </c>
      <c r="AR19" s="15" t="n">
        <f aca="false">SUMIFS(Service_Consumables!$L$5:$L$856,Service_Consumables!$A$5:$A$856,$A19,Service_Consumables!$E$5:$E$856,AR$5,Service_Consumables!$H$5:$H$856,"Auto-deduct")</f>
        <v>0</v>
      </c>
      <c r="AS19" s="15" t="n">
        <f aca="false">SUMIFS(Service_Consumables!$L$5:$L$856,Service_Consumables!$A$5:$A$856,$A19,Service_Consumables!$E$5:$E$856,AS$5,Service_Consumables!$H$5:$H$856,"Auto-deduct")</f>
        <v>0</v>
      </c>
      <c r="AT19" s="15" t="n">
        <f aca="false">SUMIFS(Service_Consumables!$L$5:$L$856,Service_Consumables!$A$5:$A$856,$A19,Service_Consumables!$E$5:$E$856,AT$5,Service_Consumables!$H$5:$H$856,"Auto-deduct")</f>
        <v>0</v>
      </c>
      <c r="AU19" s="15" t="n">
        <f aca="false">SUMIFS(Service_Consumables!$L$5:$L$856,Service_Consumables!$A$5:$A$856,$A19,Service_Consumables!$E$5:$E$856,AU$5,Service_Consumables!$H$5:$H$856,"Auto-deduct")</f>
        <v>0</v>
      </c>
      <c r="AV19" s="15" t="n">
        <f aca="false">SUMIFS(Service_Consumables!$L$5:$L$856,Service_Consumables!$A$5:$A$856,$A19,Service_Consumables!$E$5:$E$856,AV$5,Service_Consumables!$H$5:$H$856,"Auto-deduct")</f>
        <v>0</v>
      </c>
      <c r="AW19" s="15" t="n">
        <f aca="false">SUMIFS(Service_Consumables!$L$5:$L$856,Service_Consumables!$A$5:$A$856,$A19,Service_Consumables!$E$5:$E$856,AW$5,Service_Consumables!$H$5:$H$856,"Auto-deduct")</f>
        <v>0</v>
      </c>
      <c r="AX19" s="15" t="n">
        <f aca="false">SUMIFS(Service_Consumables!$L$5:$L$856,Service_Consumables!$A$5:$A$856,$A19,Service_Consumables!$E$5:$E$856,AX$5,Service_Consumables!$H$5:$H$856,"Auto-deduct")</f>
        <v>0</v>
      </c>
      <c r="AY19" s="15" t="n">
        <f aca="false">SUMIFS(Service_Consumables!$L$5:$L$856,Service_Consumables!$A$5:$A$856,$A19,Service_Consumables!$E$5:$E$856,AY$5,Service_Consumables!$H$5:$H$856,"Auto-deduct")</f>
        <v>0</v>
      </c>
      <c r="AZ19" s="15" t="n">
        <f aca="false">SUMIFS(Service_Consumables!$L$5:$L$856,Service_Consumables!$A$5:$A$856,$A19,Service_Consumables!$E$5:$E$856,AZ$5,Service_Consumables!$H$5:$H$856,"Auto-deduct")</f>
        <v>0</v>
      </c>
      <c r="BA19" s="15" t="n">
        <f aca="false">SUMIFS(Service_Consumables!$L$5:$L$856,Service_Consumables!$A$5:$A$856,$A19,Service_Consumables!$E$5:$E$856,BA$5,Service_Consumables!$H$5:$H$856,"Auto-deduct")</f>
        <v>1.5</v>
      </c>
      <c r="BB19" s="15" t="n">
        <f aca="false">SUMIFS(Service_Consumables!$L$5:$L$856,Service_Consumables!$A$5:$A$856,$A19,Service_Consumables!$E$5:$E$856,BB$5,Service_Consumables!$H$5:$H$856,"Auto-deduct")</f>
        <v>0</v>
      </c>
      <c r="BC19" s="15" t="n">
        <f aca="false">SUMIFS(Service_Consumables!$L$5:$L$856,Service_Consumables!$A$5:$A$856,$A19,Service_Consumables!$E$5:$E$856,BC$5,Service_Consumables!$H$5:$H$856,"Auto-deduct")</f>
        <v>0</v>
      </c>
      <c r="BD19" s="15" t="n">
        <f aca="false">SUMIFS(Service_Consumables!$L$5:$L$856,Service_Consumables!$A$5:$A$856,$A19,Service_Consumables!$E$5:$E$856,BD$5,Service_Consumables!$H$5:$H$856,"Auto-deduct")</f>
        <v>0</v>
      </c>
      <c r="BE19" s="15" t="n">
        <f aca="false">SUMIFS(Service_Consumables!$L$5:$L$856,Service_Consumables!$A$5:$A$856,$A19,Service_Consumables!$E$5:$E$856,BE$5,Service_Consumables!$H$5:$H$856,"Auto-deduct")</f>
        <v>0</v>
      </c>
      <c r="BF19" s="15" t="n">
        <f aca="false">SUMIFS(Service_Consumables!$L$5:$L$856,Service_Consumables!$A$5:$A$856,$A19,Service_Consumables!$E$5:$E$856,BF$5,Service_Consumables!$H$5:$H$856,"Auto-deduct")</f>
        <v>0</v>
      </c>
      <c r="BG19" s="15" t="n">
        <f aca="false">SUMIFS(Service_Consumables!$L$5:$L$856,Service_Consumables!$A$5:$A$856,$A19,Service_Consumables!$E$5:$E$856,BG$5,Service_Consumables!$H$5:$H$856,"Auto-deduct")</f>
        <v>0</v>
      </c>
      <c r="BH19" s="15" t="n">
        <f aca="false">SUMIFS(Service_Consumables!$L$5:$L$856,Service_Consumables!$A$5:$A$856,$A19,Service_Consumables!$E$5:$E$856,BH$5,Service_Consumables!$H$5:$H$856,"Auto-deduct")</f>
        <v>1</v>
      </c>
      <c r="BI19" s="15" t="n">
        <f aca="false">SUMIFS(Service_Consumables!$L$5:$L$856,Service_Consumables!$A$5:$A$856,$A19,Service_Consumables!$E$5:$E$856,BI$5,Service_Consumables!$H$5:$H$856,"Auto-deduct")</f>
        <v>0</v>
      </c>
    </row>
    <row r="20" customFormat="false" ht="15" hidden="false" customHeight="false" outlineLevel="0" collapsed="false">
      <c r="A20" s="14" t="n">
        <f aca="false">Services!A19</f>
        <v>15</v>
      </c>
      <c r="B20" s="14" t="str">
        <f aca="false">Services!B19</f>
        <v>Hair Removal (IPL-HR)</v>
      </c>
      <c r="C20" s="14" t="str">
        <f aca="false">Services!C19</f>
        <v>Full Legs</v>
      </c>
      <c r="D20" s="15" t="n">
        <f aca="false">SUMIFS(Service_Consumables!$L$5:$L$856,Service_Consumables!$A$5:$A$856,$A20,Service_Consumables!$E$5:$E$856,D$5,Service_Consumables!$H$5:$H$856,"Auto-deduct")</f>
        <v>0</v>
      </c>
      <c r="E20" s="15" t="n">
        <f aca="false">SUMIFS(Service_Consumables!$L$5:$L$856,Service_Consumables!$A$5:$A$856,$A20,Service_Consumables!$E$5:$E$856,E$5,Service_Consumables!$H$5:$H$856,"Auto-deduct")</f>
        <v>0</v>
      </c>
      <c r="F20" s="15" t="n">
        <f aca="false">SUMIFS(Service_Consumables!$L$5:$L$856,Service_Consumables!$A$5:$A$856,$A20,Service_Consumables!$E$5:$E$856,F$5,Service_Consumables!$H$5:$H$856,"Auto-deduct")</f>
        <v>0</v>
      </c>
      <c r="G20" s="15" t="n">
        <f aca="false">SUMIFS(Service_Consumables!$L$5:$L$856,Service_Consumables!$A$5:$A$856,$A20,Service_Consumables!$E$5:$E$856,G$5,Service_Consumables!$H$5:$H$856,"Auto-deduct")</f>
        <v>0</v>
      </c>
      <c r="H20" s="15" t="n">
        <f aca="false">SUMIFS(Service_Consumables!$L$5:$L$856,Service_Consumables!$A$5:$A$856,$A20,Service_Consumables!$E$5:$E$856,H$5,Service_Consumables!$H$5:$H$856,"Auto-deduct")</f>
        <v>0</v>
      </c>
      <c r="I20" s="15" t="n">
        <f aca="false">SUMIFS(Service_Consumables!$L$5:$L$856,Service_Consumables!$A$5:$A$856,$A20,Service_Consumables!$E$5:$E$856,I$5,Service_Consumables!$H$5:$H$856,"Auto-deduct")</f>
        <v>0</v>
      </c>
      <c r="J20" s="15" t="n">
        <f aca="false">SUMIFS(Service_Consumables!$L$5:$L$856,Service_Consumables!$A$5:$A$856,$A20,Service_Consumables!$E$5:$E$856,J$5,Service_Consumables!$H$5:$H$856,"Auto-deduct")</f>
        <v>0</v>
      </c>
      <c r="K20" s="15" t="n">
        <f aca="false">SUMIFS(Service_Consumables!$L$5:$L$856,Service_Consumables!$A$5:$A$856,$A20,Service_Consumables!$E$5:$E$856,K$5,Service_Consumables!$H$5:$H$856,"Auto-deduct")</f>
        <v>0</v>
      </c>
      <c r="L20" s="15" t="n">
        <f aca="false">SUMIFS(Service_Consumables!$L$5:$L$856,Service_Consumables!$A$5:$A$856,$A20,Service_Consumables!$E$5:$E$856,L$5,Service_Consumables!$H$5:$H$856,"Auto-deduct")</f>
        <v>0</v>
      </c>
      <c r="M20" s="15" t="n">
        <f aca="false">SUMIFS(Service_Consumables!$L$5:$L$856,Service_Consumables!$A$5:$A$856,$A20,Service_Consumables!$E$5:$E$856,M$5,Service_Consumables!$H$5:$H$856,"Auto-deduct")</f>
        <v>0</v>
      </c>
      <c r="N20" s="15" t="n">
        <f aca="false">SUMIFS(Service_Consumables!$L$5:$L$856,Service_Consumables!$A$5:$A$856,$A20,Service_Consumables!$E$5:$E$856,N$5,Service_Consumables!$H$5:$H$856,"Auto-deduct")</f>
        <v>0</v>
      </c>
      <c r="O20" s="15" t="n">
        <f aca="false">SUMIFS(Service_Consumables!$L$5:$L$856,Service_Consumables!$A$5:$A$856,$A20,Service_Consumables!$E$5:$E$856,O$5,Service_Consumables!$H$5:$H$856,"Auto-deduct")</f>
        <v>0</v>
      </c>
      <c r="P20" s="15" t="n">
        <f aca="false">SUMIFS(Service_Consumables!$L$5:$L$856,Service_Consumables!$A$5:$A$856,$A20,Service_Consumables!$E$5:$E$856,P$5,Service_Consumables!$H$5:$H$856,"Auto-deduct")</f>
        <v>1</v>
      </c>
      <c r="Q20" s="15" t="n">
        <f aca="false">SUMIFS(Service_Consumables!$L$5:$L$856,Service_Consumables!$A$5:$A$856,$A20,Service_Consumables!$E$5:$E$856,Q$5,Service_Consumables!$H$5:$H$856,"Auto-deduct")</f>
        <v>1</v>
      </c>
      <c r="R20" s="15" t="n">
        <f aca="false">SUMIFS(Service_Consumables!$L$5:$L$856,Service_Consumables!$A$5:$A$856,$A20,Service_Consumables!$E$5:$E$856,R$5,Service_Consumables!$H$5:$H$856,"Auto-deduct")</f>
        <v>0</v>
      </c>
      <c r="S20" s="15" t="n">
        <f aca="false">SUMIFS(Service_Consumables!$L$5:$L$856,Service_Consumables!$A$5:$A$856,$A20,Service_Consumables!$E$5:$E$856,S$5,Service_Consumables!$H$5:$H$856,"Auto-deduct")</f>
        <v>4</v>
      </c>
      <c r="T20" s="15" t="n">
        <f aca="false">SUMIFS(Service_Consumables!$L$5:$L$856,Service_Consumables!$A$5:$A$856,$A20,Service_Consumables!$E$5:$E$856,T$5,Service_Consumables!$H$5:$H$856,"Auto-deduct")</f>
        <v>0</v>
      </c>
      <c r="U20" s="15" t="n">
        <f aca="false">SUMIFS(Service_Consumables!$L$5:$L$856,Service_Consumables!$A$5:$A$856,$A20,Service_Consumables!$E$5:$E$856,U$5,Service_Consumables!$H$5:$H$856,"Auto-deduct")</f>
        <v>0</v>
      </c>
      <c r="V20" s="15" t="n">
        <f aca="false">SUMIFS(Service_Consumables!$L$5:$L$856,Service_Consumables!$A$5:$A$856,$A20,Service_Consumables!$E$5:$E$856,V$5,Service_Consumables!$H$5:$H$856,"Auto-deduct")</f>
        <v>0</v>
      </c>
      <c r="W20" s="15" t="n">
        <f aca="false">SUMIFS(Service_Consumables!$L$5:$L$856,Service_Consumables!$A$5:$A$856,$A20,Service_Consumables!$E$5:$E$856,W$5,Service_Consumables!$H$5:$H$856,"Auto-deduct")</f>
        <v>0</v>
      </c>
      <c r="X20" s="15" t="n">
        <f aca="false">SUMIFS(Service_Consumables!$L$5:$L$856,Service_Consumables!$A$5:$A$856,$A20,Service_Consumables!$E$5:$E$856,X$5,Service_Consumables!$H$5:$H$856,"Auto-deduct")</f>
        <v>0</v>
      </c>
      <c r="Y20" s="15" t="n">
        <f aca="false">SUMIFS(Service_Consumables!$L$5:$L$856,Service_Consumables!$A$5:$A$856,$A20,Service_Consumables!$E$5:$E$856,Y$5,Service_Consumables!$H$5:$H$856,"Auto-deduct")</f>
        <v>0</v>
      </c>
      <c r="Z20" s="15" t="n">
        <f aca="false">SUMIFS(Service_Consumables!$L$5:$L$856,Service_Consumables!$A$5:$A$856,$A20,Service_Consumables!$E$5:$E$856,Z$5,Service_Consumables!$H$5:$H$856,"Auto-deduct")</f>
        <v>0</v>
      </c>
      <c r="AA20" s="15" t="n">
        <f aca="false">SUMIFS(Service_Consumables!$L$5:$L$856,Service_Consumables!$A$5:$A$856,$A20,Service_Consumables!$E$5:$E$856,AA$5,Service_Consumables!$H$5:$H$856,"Auto-deduct")</f>
        <v>0</v>
      </c>
      <c r="AB20" s="15" t="n">
        <f aca="false">SUMIFS(Service_Consumables!$L$5:$L$856,Service_Consumables!$A$5:$A$856,$A20,Service_Consumables!$E$5:$E$856,AB$5,Service_Consumables!$H$5:$H$856,"Auto-deduct")</f>
        <v>0</v>
      </c>
      <c r="AC20" s="15" t="n">
        <f aca="false">SUMIFS(Service_Consumables!$L$5:$L$856,Service_Consumables!$A$5:$A$856,$A20,Service_Consumables!$E$5:$E$856,AC$5,Service_Consumables!$H$5:$H$856,"Auto-deduct")</f>
        <v>3</v>
      </c>
      <c r="AD20" s="15" t="n">
        <f aca="false">SUMIFS(Service_Consumables!$L$5:$L$856,Service_Consumables!$A$5:$A$856,$A20,Service_Consumables!$E$5:$E$856,AD$5,Service_Consumables!$H$5:$H$856,"Auto-deduct")</f>
        <v>5</v>
      </c>
      <c r="AE20" s="15" t="n">
        <f aca="false">SUMIFS(Service_Consumables!$L$5:$L$856,Service_Consumables!$A$5:$A$856,$A20,Service_Consumables!$E$5:$E$856,AE$5,Service_Consumables!$H$5:$H$856,"Auto-deduct")</f>
        <v>0</v>
      </c>
      <c r="AF20" s="15" t="n">
        <f aca="false">SUMIFS(Service_Consumables!$L$5:$L$856,Service_Consumables!$A$5:$A$856,$A20,Service_Consumables!$E$5:$E$856,AF$5,Service_Consumables!$H$5:$H$856,"Auto-deduct")</f>
        <v>0</v>
      </c>
      <c r="AG20" s="15" t="n">
        <f aca="false">SUMIFS(Service_Consumables!$L$5:$L$856,Service_Consumables!$A$5:$A$856,$A20,Service_Consumables!$E$5:$E$856,AG$5,Service_Consumables!$H$5:$H$856,"Auto-deduct")</f>
        <v>0</v>
      </c>
      <c r="AH20" s="15" t="n">
        <f aca="false">SUMIFS(Service_Consumables!$L$5:$L$856,Service_Consumables!$A$5:$A$856,$A20,Service_Consumables!$E$5:$E$856,AH$5,Service_Consumables!$H$5:$H$856,"Auto-deduct")</f>
        <v>0</v>
      </c>
      <c r="AI20" s="15" t="n">
        <f aca="false">SUMIFS(Service_Consumables!$L$5:$L$856,Service_Consumables!$A$5:$A$856,$A20,Service_Consumables!$E$5:$E$856,AI$5,Service_Consumables!$H$5:$H$856,"Auto-deduct")</f>
        <v>0</v>
      </c>
      <c r="AJ20" s="15" t="n">
        <f aca="false">SUMIFS(Service_Consumables!$L$5:$L$856,Service_Consumables!$A$5:$A$856,$A20,Service_Consumables!$E$5:$E$856,AJ$5,Service_Consumables!$H$5:$H$856,"Auto-deduct")</f>
        <v>0</v>
      </c>
      <c r="AK20" s="15" t="n">
        <f aca="false">SUMIFS(Service_Consumables!$L$5:$L$856,Service_Consumables!$A$5:$A$856,$A20,Service_Consumables!$E$5:$E$856,AK$5,Service_Consumables!$H$5:$H$856,"Auto-deduct")</f>
        <v>0</v>
      </c>
      <c r="AL20" s="15" t="n">
        <f aca="false">SUMIFS(Service_Consumables!$L$5:$L$856,Service_Consumables!$A$5:$A$856,$A20,Service_Consumables!$E$5:$E$856,AL$5,Service_Consumables!$H$5:$H$856,"Auto-deduct")</f>
        <v>0</v>
      </c>
      <c r="AM20" s="15" t="n">
        <f aca="false">SUMIFS(Service_Consumables!$L$5:$L$856,Service_Consumables!$A$5:$A$856,$A20,Service_Consumables!$E$5:$E$856,AM$5,Service_Consumables!$H$5:$H$856,"Auto-deduct")</f>
        <v>0</v>
      </c>
      <c r="AN20" s="15" t="n">
        <f aca="false">SUMIFS(Service_Consumables!$L$5:$L$856,Service_Consumables!$A$5:$A$856,$A20,Service_Consumables!$E$5:$E$856,AN$5,Service_Consumables!$H$5:$H$856,"Auto-deduct")</f>
        <v>0</v>
      </c>
      <c r="AO20" s="15" t="n">
        <f aca="false">SUMIFS(Service_Consumables!$L$5:$L$856,Service_Consumables!$A$5:$A$856,$A20,Service_Consumables!$E$5:$E$856,AO$5,Service_Consumables!$H$5:$H$856,"Auto-deduct")</f>
        <v>0</v>
      </c>
      <c r="AP20" s="15" t="n">
        <f aca="false">SUMIFS(Service_Consumables!$L$5:$L$856,Service_Consumables!$A$5:$A$856,$A20,Service_Consumables!$E$5:$E$856,AP$5,Service_Consumables!$H$5:$H$856,"Auto-deduct")</f>
        <v>0</v>
      </c>
      <c r="AQ20" s="15" t="n">
        <f aca="false">SUMIFS(Service_Consumables!$L$5:$L$856,Service_Consumables!$A$5:$A$856,$A20,Service_Consumables!$E$5:$E$856,AQ$5,Service_Consumables!$H$5:$H$856,"Auto-deduct")</f>
        <v>60</v>
      </c>
      <c r="AR20" s="15" t="n">
        <f aca="false">SUMIFS(Service_Consumables!$L$5:$L$856,Service_Consumables!$A$5:$A$856,$A20,Service_Consumables!$E$5:$E$856,AR$5,Service_Consumables!$H$5:$H$856,"Auto-deduct")</f>
        <v>0</v>
      </c>
      <c r="AS20" s="15" t="n">
        <f aca="false">SUMIFS(Service_Consumables!$L$5:$L$856,Service_Consumables!$A$5:$A$856,$A20,Service_Consumables!$E$5:$E$856,AS$5,Service_Consumables!$H$5:$H$856,"Auto-deduct")</f>
        <v>0</v>
      </c>
      <c r="AT20" s="15" t="n">
        <f aca="false">SUMIFS(Service_Consumables!$L$5:$L$856,Service_Consumables!$A$5:$A$856,$A20,Service_Consumables!$E$5:$E$856,AT$5,Service_Consumables!$H$5:$H$856,"Auto-deduct")</f>
        <v>0</v>
      </c>
      <c r="AU20" s="15" t="n">
        <f aca="false">SUMIFS(Service_Consumables!$L$5:$L$856,Service_Consumables!$A$5:$A$856,$A20,Service_Consumables!$E$5:$E$856,AU$5,Service_Consumables!$H$5:$H$856,"Auto-deduct")</f>
        <v>0</v>
      </c>
      <c r="AV20" s="15" t="n">
        <f aca="false">SUMIFS(Service_Consumables!$L$5:$L$856,Service_Consumables!$A$5:$A$856,$A20,Service_Consumables!$E$5:$E$856,AV$5,Service_Consumables!$H$5:$H$856,"Auto-deduct")</f>
        <v>0</v>
      </c>
      <c r="AW20" s="15" t="n">
        <f aca="false">SUMIFS(Service_Consumables!$L$5:$L$856,Service_Consumables!$A$5:$A$856,$A20,Service_Consumables!$E$5:$E$856,AW$5,Service_Consumables!$H$5:$H$856,"Auto-deduct")</f>
        <v>0</v>
      </c>
      <c r="AX20" s="15" t="n">
        <f aca="false">SUMIFS(Service_Consumables!$L$5:$L$856,Service_Consumables!$A$5:$A$856,$A20,Service_Consumables!$E$5:$E$856,AX$5,Service_Consumables!$H$5:$H$856,"Auto-deduct")</f>
        <v>0</v>
      </c>
      <c r="AY20" s="15" t="n">
        <f aca="false">SUMIFS(Service_Consumables!$L$5:$L$856,Service_Consumables!$A$5:$A$856,$A20,Service_Consumables!$E$5:$E$856,AY$5,Service_Consumables!$H$5:$H$856,"Auto-deduct")</f>
        <v>0</v>
      </c>
      <c r="AZ20" s="15" t="n">
        <f aca="false">SUMIFS(Service_Consumables!$L$5:$L$856,Service_Consumables!$A$5:$A$856,$A20,Service_Consumables!$E$5:$E$856,AZ$5,Service_Consumables!$H$5:$H$856,"Auto-deduct")</f>
        <v>0</v>
      </c>
      <c r="BA20" s="15" t="n">
        <f aca="false">SUMIFS(Service_Consumables!$L$5:$L$856,Service_Consumables!$A$5:$A$856,$A20,Service_Consumables!$E$5:$E$856,BA$5,Service_Consumables!$H$5:$H$856,"Auto-deduct")</f>
        <v>12</v>
      </c>
      <c r="BB20" s="15" t="n">
        <f aca="false">SUMIFS(Service_Consumables!$L$5:$L$856,Service_Consumables!$A$5:$A$856,$A20,Service_Consumables!$E$5:$E$856,BB$5,Service_Consumables!$H$5:$H$856,"Auto-deduct")</f>
        <v>0</v>
      </c>
      <c r="BC20" s="15" t="n">
        <f aca="false">SUMIFS(Service_Consumables!$L$5:$L$856,Service_Consumables!$A$5:$A$856,$A20,Service_Consumables!$E$5:$E$856,BC$5,Service_Consumables!$H$5:$H$856,"Auto-deduct")</f>
        <v>0</v>
      </c>
      <c r="BD20" s="15" t="n">
        <f aca="false">SUMIFS(Service_Consumables!$L$5:$L$856,Service_Consumables!$A$5:$A$856,$A20,Service_Consumables!$E$5:$E$856,BD$5,Service_Consumables!$H$5:$H$856,"Auto-deduct")</f>
        <v>0</v>
      </c>
      <c r="BE20" s="15" t="n">
        <f aca="false">SUMIFS(Service_Consumables!$L$5:$L$856,Service_Consumables!$A$5:$A$856,$A20,Service_Consumables!$E$5:$E$856,BE$5,Service_Consumables!$H$5:$H$856,"Auto-deduct")</f>
        <v>0</v>
      </c>
      <c r="BF20" s="15" t="n">
        <f aca="false">SUMIFS(Service_Consumables!$L$5:$L$856,Service_Consumables!$A$5:$A$856,$A20,Service_Consumables!$E$5:$E$856,BF$5,Service_Consumables!$H$5:$H$856,"Auto-deduct")</f>
        <v>0</v>
      </c>
      <c r="BG20" s="15" t="n">
        <f aca="false">SUMIFS(Service_Consumables!$L$5:$L$856,Service_Consumables!$A$5:$A$856,$A20,Service_Consumables!$E$5:$E$856,BG$5,Service_Consumables!$H$5:$H$856,"Auto-deduct")</f>
        <v>0</v>
      </c>
      <c r="BH20" s="15" t="n">
        <f aca="false">SUMIFS(Service_Consumables!$L$5:$L$856,Service_Consumables!$A$5:$A$856,$A20,Service_Consumables!$E$5:$E$856,BH$5,Service_Consumables!$H$5:$H$856,"Auto-deduct")</f>
        <v>1</v>
      </c>
      <c r="BI20" s="15" t="n">
        <f aca="false">SUMIFS(Service_Consumables!$L$5:$L$856,Service_Consumables!$A$5:$A$856,$A20,Service_Consumables!$E$5:$E$856,BI$5,Service_Consumables!$H$5:$H$856,"Auto-deduct")</f>
        <v>0</v>
      </c>
    </row>
    <row r="21" customFormat="false" ht="15" hidden="false" customHeight="false" outlineLevel="0" collapsed="false">
      <c r="A21" s="14" t="n">
        <f aca="false">Services!A20</f>
        <v>16</v>
      </c>
      <c r="B21" s="14" t="str">
        <f aca="false">Services!B20</f>
        <v>Hair Removal (IPL-HR)</v>
      </c>
      <c r="C21" s="14" t="str">
        <f aca="false">Services!C20</f>
        <v>Brazilian</v>
      </c>
      <c r="D21" s="15" t="n">
        <f aca="false">SUMIFS(Service_Consumables!$L$5:$L$856,Service_Consumables!$A$5:$A$856,$A21,Service_Consumables!$E$5:$E$856,D$5,Service_Consumables!$H$5:$H$856,"Auto-deduct")</f>
        <v>0</v>
      </c>
      <c r="E21" s="15" t="n">
        <f aca="false">SUMIFS(Service_Consumables!$L$5:$L$856,Service_Consumables!$A$5:$A$856,$A21,Service_Consumables!$E$5:$E$856,E$5,Service_Consumables!$H$5:$H$856,"Auto-deduct")</f>
        <v>0</v>
      </c>
      <c r="F21" s="15" t="n">
        <f aca="false">SUMIFS(Service_Consumables!$L$5:$L$856,Service_Consumables!$A$5:$A$856,$A21,Service_Consumables!$E$5:$E$856,F$5,Service_Consumables!$H$5:$H$856,"Auto-deduct")</f>
        <v>0</v>
      </c>
      <c r="G21" s="15" t="n">
        <f aca="false">SUMIFS(Service_Consumables!$L$5:$L$856,Service_Consumables!$A$5:$A$856,$A21,Service_Consumables!$E$5:$E$856,G$5,Service_Consumables!$H$5:$H$856,"Auto-deduct")</f>
        <v>0</v>
      </c>
      <c r="H21" s="15" t="n">
        <f aca="false">SUMIFS(Service_Consumables!$L$5:$L$856,Service_Consumables!$A$5:$A$856,$A21,Service_Consumables!$E$5:$E$856,H$5,Service_Consumables!$H$5:$H$856,"Auto-deduct")</f>
        <v>0</v>
      </c>
      <c r="I21" s="15" t="n">
        <f aca="false">SUMIFS(Service_Consumables!$L$5:$L$856,Service_Consumables!$A$5:$A$856,$A21,Service_Consumables!$E$5:$E$856,I$5,Service_Consumables!$H$5:$H$856,"Auto-deduct")</f>
        <v>0</v>
      </c>
      <c r="J21" s="15" t="n">
        <f aca="false">SUMIFS(Service_Consumables!$L$5:$L$856,Service_Consumables!$A$5:$A$856,$A21,Service_Consumables!$E$5:$E$856,J$5,Service_Consumables!$H$5:$H$856,"Auto-deduct")</f>
        <v>0</v>
      </c>
      <c r="K21" s="15" t="n">
        <f aca="false">SUMIFS(Service_Consumables!$L$5:$L$856,Service_Consumables!$A$5:$A$856,$A21,Service_Consumables!$E$5:$E$856,K$5,Service_Consumables!$H$5:$H$856,"Auto-deduct")</f>
        <v>0</v>
      </c>
      <c r="L21" s="15" t="n">
        <f aca="false">SUMIFS(Service_Consumables!$L$5:$L$856,Service_Consumables!$A$5:$A$856,$A21,Service_Consumables!$E$5:$E$856,L$5,Service_Consumables!$H$5:$H$856,"Auto-deduct")</f>
        <v>0</v>
      </c>
      <c r="M21" s="15" t="n">
        <f aca="false">SUMIFS(Service_Consumables!$L$5:$L$856,Service_Consumables!$A$5:$A$856,$A21,Service_Consumables!$E$5:$E$856,M$5,Service_Consumables!$H$5:$H$856,"Auto-deduct")</f>
        <v>0</v>
      </c>
      <c r="N21" s="15" t="n">
        <f aca="false">SUMIFS(Service_Consumables!$L$5:$L$856,Service_Consumables!$A$5:$A$856,$A21,Service_Consumables!$E$5:$E$856,N$5,Service_Consumables!$H$5:$H$856,"Auto-deduct")</f>
        <v>0</v>
      </c>
      <c r="O21" s="15" t="n">
        <f aca="false">SUMIFS(Service_Consumables!$L$5:$L$856,Service_Consumables!$A$5:$A$856,$A21,Service_Consumables!$E$5:$E$856,O$5,Service_Consumables!$H$5:$H$856,"Auto-deduct")</f>
        <v>0</v>
      </c>
      <c r="P21" s="15" t="n">
        <f aca="false">SUMIFS(Service_Consumables!$L$5:$L$856,Service_Consumables!$A$5:$A$856,$A21,Service_Consumables!$E$5:$E$856,P$5,Service_Consumables!$H$5:$H$856,"Auto-deduct")</f>
        <v>1</v>
      </c>
      <c r="Q21" s="15" t="n">
        <f aca="false">SUMIFS(Service_Consumables!$L$5:$L$856,Service_Consumables!$A$5:$A$856,$A21,Service_Consumables!$E$5:$E$856,Q$5,Service_Consumables!$H$5:$H$856,"Auto-deduct")</f>
        <v>1</v>
      </c>
      <c r="R21" s="15" t="n">
        <f aca="false">SUMIFS(Service_Consumables!$L$5:$L$856,Service_Consumables!$A$5:$A$856,$A21,Service_Consumables!$E$5:$E$856,R$5,Service_Consumables!$H$5:$H$856,"Auto-deduct")</f>
        <v>0</v>
      </c>
      <c r="S21" s="15" t="n">
        <f aca="false">SUMIFS(Service_Consumables!$L$5:$L$856,Service_Consumables!$A$5:$A$856,$A21,Service_Consumables!$E$5:$E$856,S$5,Service_Consumables!$H$5:$H$856,"Auto-deduct")</f>
        <v>4</v>
      </c>
      <c r="T21" s="15" t="n">
        <f aca="false">SUMIFS(Service_Consumables!$L$5:$L$856,Service_Consumables!$A$5:$A$856,$A21,Service_Consumables!$E$5:$E$856,T$5,Service_Consumables!$H$5:$H$856,"Auto-deduct")</f>
        <v>0</v>
      </c>
      <c r="U21" s="15" t="n">
        <f aca="false">SUMIFS(Service_Consumables!$L$5:$L$856,Service_Consumables!$A$5:$A$856,$A21,Service_Consumables!$E$5:$E$856,U$5,Service_Consumables!$H$5:$H$856,"Auto-deduct")</f>
        <v>0</v>
      </c>
      <c r="V21" s="15" t="n">
        <f aca="false">SUMIFS(Service_Consumables!$L$5:$L$856,Service_Consumables!$A$5:$A$856,$A21,Service_Consumables!$E$5:$E$856,V$5,Service_Consumables!$H$5:$H$856,"Auto-deduct")</f>
        <v>0</v>
      </c>
      <c r="W21" s="15" t="n">
        <f aca="false">SUMIFS(Service_Consumables!$L$5:$L$856,Service_Consumables!$A$5:$A$856,$A21,Service_Consumables!$E$5:$E$856,W$5,Service_Consumables!$H$5:$H$856,"Auto-deduct")</f>
        <v>0</v>
      </c>
      <c r="X21" s="15" t="n">
        <f aca="false">SUMIFS(Service_Consumables!$L$5:$L$856,Service_Consumables!$A$5:$A$856,$A21,Service_Consumables!$E$5:$E$856,X$5,Service_Consumables!$H$5:$H$856,"Auto-deduct")</f>
        <v>0</v>
      </c>
      <c r="Y21" s="15" t="n">
        <f aca="false">SUMIFS(Service_Consumables!$L$5:$L$856,Service_Consumables!$A$5:$A$856,$A21,Service_Consumables!$E$5:$E$856,Y$5,Service_Consumables!$H$5:$H$856,"Auto-deduct")</f>
        <v>0</v>
      </c>
      <c r="Z21" s="15" t="n">
        <f aca="false">SUMIFS(Service_Consumables!$L$5:$L$856,Service_Consumables!$A$5:$A$856,$A21,Service_Consumables!$E$5:$E$856,Z$5,Service_Consumables!$H$5:$H$856,"Auto-deduct")</f>
        <v>45</v>
      </c>
      <c r="AA21" s="15" t="n">
        <f aca="false">SUMIFS(Service_Consumables!$L$5:$L$856,Service_Consumables!$A$5:$A$856,$A21,Service_Consumables!$E$5:$E$856,AA$5,Service_Consumables!$H$5:$H$856,"Auto-deduct")</f>
        <v>0</v>
      </c>
      <c r="AB21" s="15" t="n">
        <f aca="false">SUMIFS(Service_Consumables!$L$5:$L$856,Service_Consumables!$A$5:$A$856,$A21,Service_Consumables!$E$5:$E$856,AB$5,Service_Consumables!$H$5:$H$856,"Auto-deduct")</f>
        <v>0</v>
      </c>
      <c r="AC21" s="15" t="n">
        <f aca="false">SUMIFS(Service_Consumables!$L$5:$L$856,Service_Consumables!$A$5:$A$856,$A21,Service_Consumables!$E$5:$E$856,AC$5,Service_Consumables!$H$5:$H$856,"Auto-deduct")</f>
        <v>3</v>
      </c>
      <c r="AD21" s="15" t="n">
        <f aca="false">SUMIFS(Service_Consumables!$L$5:$L$856,Service_Consumables!$A$5:$A$856,$A21,Service_Consumables!$E$5:$E$856,AD$5,Service_Consumables!$H$5:$H$856,"Auto-deduct")</f>
        <v>5</v>
      </c>
      <c r="AE21" s="15" t="n">
        <f aca="false">SUMIFS(Service_Consumables!$L$5:$L$856,Service_Consumables!$A$5:$A$856,$A21,Service_Consumables!$E$5:$E$856,AE$5,Service_Consumables!$H$5:$H$856,"Auto-deduct")</f>
        <v>0</v>
      </c>
      <c r="AF21" s="15" t="n">
        <f aca="false">SUMIFS(Service_Consumables!$L$5:$L$856,Service_Consumables!$A$5:$A$856,$A21,Service_Consumables!$E$5:$E$856,AF$5,Service_Consumables!$H$5:$H$856,"Auto-deduct")</f>
        <v>0</v>
      </c>
      <c r="AG21" s="15" t="n">
        <f aca="false">SUMIFS(Service_Consumables!$L$5:$L$856,Service_Consumables!$A$5:$A$856,$A21,Service_Consumables!$E$5:$E$856,AG$5,Service_Consumables!$H$5:$H$856,"Auto-deduct")</f>
        <v>0</v>
      </c>
      <c r="AH21" s="15" t="n">
        <f aca="false">SUMIFS(Service_Consumables!$L$5:$L$856,Service_Consumables!$A$5:$A$856,$A21,Service_Consumables!$E$5:$E$856,AH$5,Service_Consumables!$H$5:$H$856,"Auto-deduct")</f>
        <v>0</v>
      </c>
      <c r="AI21" s="15" t="n">
        <f aca="false">SUMIFS(Service_Consumables!$L$5:$L$856,Service_Consumables!$A$5:$A$856,$A21,Service_Consumables!$E$5:$E$856,AI$5,Service_Consumables!$H$5:$H$856,"Auto-deduct")</f>
        <v>0</v>
      </c>
      <c r="AJ21" s="15" t="n">
        <f aca="false">SUMIFS(Service_Consumables!$L$5:$L$856,Service_Consumables!$A$5:$A$856,$A21,Service_Consumables!$E$5:$E$856,AJ$5,Service_Consumables!$H$5:$H$856,"Auto-deduct")</f>
        <v>0</v>
      </c>
      <c r="AK21" s="15" t="n">
        <f aca="false">SUMIFS(Service_Consumables!$L$5:$L$856,Service_Consumables!$A$5:$A$856,$A21,Service_Consumables!$E$5:$E$856,AK$5,Service_Consumables!$H$5:$H$856,"Auto-deduct")</f>
        <v>0</v>
      </c>
      <c r="AL21" s="15" t="n">
        <f aca="false">SUMIFS(Service_Consumables!$L$5:$L$856,Service_Consumables!$A$5:$A$856,$A21,Service_Consumables!$E$5:$E$856,AL$5,Service_Consumables!$H$5:$H$856,"Auto-deduct")</f>
        <v>0</v>
      </c>
      <c r="AM21" s="15" t="n">
        <f aca="false">SUMIFS(Service_Consumables!$L$5:$L$856,Service_Consumables!$A$5:$A$856,$A21,Service_Consumables!$E$5:$E$856,AM$5,Service_Consumables!$H$5:$H$856,"Auto-deduct")</f>
        <v>0</v>
      </c>
      <c r="AN21" s="15" t="n">
        <f aca="false">SUMIFS(Service_Consumables!$L$5:$L$856,Service_Consumables!$A$5:$A$856,$A21,Service_Consumables!$E$5:$E$856,AN$5,Service_Consumables!$H$5:$H$856,"Auto-deduct")</f>
        <v>0</v>
      </c>
      <c r="AO21" s="15" t="n">
        <f aca="false">SUMIFS(Service_Consumables!$L$5:$L$856,Service_Consumables!$A$5:$A$856,$A21,Service_Consumables!$E$5:$E$856,AO$5,Service_Consumables!$H$5:$H$856,"Auto-deduct")</f>
        <v>0</v>
      </c>
      <c r="AP21" s="15" t="n">
        <f aca="false">SUMIFS(Service_Consumables!$L$5:$L$856,Service_Consumables!$A$5:$A$856,$A21,Service_Consumables!$E$5:$E$856,AP$5,Service_Consumables!$H$5:$H$856,"Auto-deduct")</f>
        <v>0</v>
      </c>
      <c r="AQ21" s="15" t="n">
        <f aca="false">SUMIFS(Service_Consumables!$L$5:$L$856,Service_Consumables!$A$5:$A$856,$A21,Service_Consumables!$E$5:$E$856,AQ$5,Service_Consumables!$H$5:$H$856,"Auto-deduct")</f>
        <v>22.5</v>
      </c>
      <c r="AR21" s="15" t="n">
        <f aca="false">SUMIFS(Service_Consumables!$L$5:$L$856,Service_Consumables!$A$5:$A$856,$A21,Service_Consumables!$E$5:$E$856,AR$5,Service_Consumables!$H$5:$H$856,"Auto-deduct")</f>
        <v>0</v>
      </c>
      <c r="AS21" s="15" t="n">
        <f aca="false">SUMIFS(Service_Consumables!$L$5:$L$856,Service_Consumables!$A$5:$A$856,$A21,Service_Consumables!$E$5:$E$856,AS$5,Service_Consumables!$H$5:$H$856,"Auto-deduct")</f>
        <v>0</v>
      </c>
      <c r="AT21" s="15" t="n">
        <f aca="false">SUMIFS(Service_Consumables!$L$5:$L$856,Service_Consumables!$A$5:$A$856,$A21,Service_Consumables!$E$5:$E$856,AT$5,Service_Consumables!$H$5:$H$856,"Auto-deduct")</f>
        <v>0</v>
      </c>
      <c r="AU21" s="15" t="n">
        <f aca="false">SUMIFS(Service_Consumables!$L$5:$L$856,Service_Consumables!$A$5:$A$856,$A21,Service_Consumables!$E$5:$E$856,AU$5,Service_Consumables!$H$5:$H$856,"Auto-deduct")</f>
        <v>0</v>
      </c>
      <c r="AV21" s="15" t="n">
        <f aca="false">SUMIFS(Service_Consumables!$L$5:$L$856,Service_Consumables!$A$5:$A$856,$A21,Service_Consumables!$E$5:$E$856,AV$5,Service_Consumables!$H$5:$H$856,"Auto-deduct")</f>
        <v>0</v>
      </c>
      <c r="AW21" s="15" t="n">
        <f aca="false">SUMIFS(Service_Consumables!$L$5:$L$856,Service_Consumables!$A$5:$A$856,$A21,Service_Consumables!$E$5:$E$856,AW$5,Service_Consumables!$H$5:$H$856,"Auto-deduct")</f>
        <v>0</v>
      </c>
      <c r="AX21" s="15" t="n">
        <f aca="false">SUMIFS(Service_Consumables!$L$5:$L$856,Service_Consumables!$A$5:$A$856,$A21,Service_Consumables!$E$5:$E$856,AX$5,Service_Consumables!$H$5:$H$856,"Auto-deduct")</f>
        <v>0</v>
      </c>
      <c r="AY21" s="15" t="n">
        <f aca="false">SUMIFS(Service_Consumables!$L$5:$L$856,Service_Consumables!$A$5:$A$856,$A21,Service_Consumables!$E$5:$E$856,AY$5,Service_Consumables!$H$5:$H$856,"Auto-deduct")</f>
        <v>0</v>
      </c>
      <c r="AZ21" s="15" t="n">
        <f aca="false">SUMIFS(Service_Consumables!$L$5:$L$856,Service_Consumables!$A$5:$A$856,$A21,Service_Consumables!$E$5:$E$856,AZ$5,Service_Consumables!$H$5:$H$856,"Auto-deduct")</f>
        <v>0</v>
      </c>
      <c r="BA21" s="15" t="n">
        <f aca="false">SUMIFS(Service_Consumables!$L$5:$L$856,Service_Consumables!$A$5:$A$856,$A21,Service_Consumables!$E$5:$E$856,BA$5,Service_Consumables!$H$5:$H$856,"Auto-deduct")</f>
        <v>4.5</v>
      </c>
      <c r="BB21" s="15" t="n">
        <f aca="false">SUMIFS(Service_Consumables!$L$5:$L$856,Service_Consumables!$A$5:$A$856,$A21,Service_Consumables!$E$5:$E$856,BB$5,Service_Consumables!$H$5:$H$856,"Auto-deduct")</f>
        <v>0</v>
      </c>
      <c r="BC21" s="15" t="n">
        <f aca="false">SUMIFS(Service_Consumables!$L$5:$L$856,Service_Consumables!$A$5:$A$856,$A21,Service_Consumables!$E$5:$E$856,BC$5,Service_Consumables!$H$5:$H$856,"Auto-deduct")</f>
        <v>0</v>
      </c>
      <c r="BD21" s="15" t="n">
        <f aca="false">SUMIFS(Service_Consumables!$L$5:$L$856,Service_Consumables!$A$5:$A$856,$A21,Service_Consumables!$E$5:$E$856,BD$5,Service_Consumables!$H$5:$H$856,"Auto-deduct")</f>
        <v>0</v>
      </c>
      <c r="BE21" s="15" t="n">
        <f aca="false">SUMIFS(Service_Consumables!$L$5:$L$856,Service_Consumables!$A$5:$A$856,$A21,Service_Consumables!$E$5:$E$856,BE$5,Service_Consumables!$H$5:$H$856,"Auto-deduct")</f>
        <v>0</v>
      </c>
      <c r="BF21" s="15" t="n">
        <f aca="false">SUMIFS(Service_Consumables!$L$5:$L$856,Service_Consumables!$A$5:$A$856,$A21,Service_Consumables!$E$5:$E$856,BF$5,Service_Consumables!$H$5:$H$856,"Auto-deduct")</f>
        <v>0</v>
      </c>
      <c r="BG21" s="15" t="n">
        <f aca="false">SUMIFS(Service_Consumables!$L$5:$L$856,Service_Consumables!$A$5:$A$856,$A21,Service_Consumables!$E$5:$E$856,BG$5,Service_Consumables!$H$5:$H$856,"Auto-deduct")</f>
        <v>0</v>
      </c>
      <c r="BH21" s="15" t="n">
        <f aca="false">SUMIFS(Service_Consumables!$L$5:$L$856,Service_Consumables!$A$5:$A$856,$A21,Service_Consumables!$E$5:$E$856,BH$5,Service_Consumables!$H$5:$H$856,"Auto-deduct")</f>
        <v>1</v>
      </c>
      <c r="BI21" s="15" t="n">
        <f aca="false">SUMIFS(Service_Consumables!$L$5:$L$856,Service_Consumables!$A$5:$A$856,$A21,Service_Consumables!$E$5:$E$856,BI$5,Service_Consumables!$H$5:$H$856,"Auto-deduct")</f>
        <v>7.5</v>
      </c>
    </row>
    <row r="22" customFormat="false" ht="15" hidden="false" customHeight="false" outlineLevel="0" collapsed="false">
      <c r="A22" s="14" t="n">
        <f aca="false">Services!A21</f>
        <v>17</v>
      </c>
      <c r="B22" s="14" t="str">
        <f aca="false">Services!B21</f>
        <v>Hair Removal (IPL-HR)</v>
      </c>
      <c r="C22" s="14" t="str">
        <f aca="false">Services!C21</f>
        <v>Arms</v>
      </c>
      <c r="D22" s="15" t="n">
        <f aca="false">SUMIFS(Service_Consumables!$L$5:$L$856,Service_Consumables!$A$5:$A$856,$A22,Service_Consumables!$E$5:$E$856,D$5,Service_Consumables!$H$5:$H$856,"Auto-deduct")</f>
        <v>0</v>
      </c>
      <c r="E22" s="15" t="n">
        <f aca="false">SUMIFS(Service_Consumables!$L$5:$L$856,Service_Consumables!$A$5:$A$856,$A22,Service_Consumables!$E$5:$E$856,E$5,Service_Consumables!$H$5:$H$856,"Auto-deduct")</f>
        <v>0</v>
      </c>
      <c r="F22" s="15" t="n">
        <f aca="false">SUMIFS(Service_Consumables!$L$5:$L$856,Service_Consumables!$A$5:$A$856,$A22,Service_Consumables!$E$5:$E$856,F$5,Service_Consumables!$H$5:$H$856,"Auto-deduct")</f>
        <v>0</v>
      </c>
      <c r="G22" s="15" t="n">
        <f aca="false">SUMIFS(Service_Consumables!$L$5:$L$856,Service_Consumables!$A$5:$A$856,$A22,Service_Consumables!$E$5:$E$856,G$5,Service_Consumables!$H$5:$H$856,"Auto-deduct")</f>
        <v>0</v>
      </c>
      <c r="H22" s="15" t="n">
        <f aca="false">SUMIFS(Service_Consumables!$L$5:$L$856,Service_Consumables!$A$5:$A$856,$A22,Service_Consumables!$E$5:$E$856,H$5,Service_Consumables!$H$5:$H$856,"Auto-deduct")</f>
        <v>0</v>
      </c>
      <c r="I22" s="15" t="n">
        <f aca="false">SUMIFS(Service_Consumables!$L$5:$L$856,Service_Consumables!$A$5:$A$856,$A22,Service_Consumables!$E$5:$E$856,I$5,Service_Consumables!$H$5:$H$856,"Auto-deduct")</f>
        <v>0</v>
      </c>
      <c r="J22" s="15" t="n">
        <f aca="false">SUMIFS(Service_Consumables!$L$5:$L$856,Service_Consumables!$A$5:$A$856,$A22,Service_Consumables!$E$5:$E$856,J$5,Service_Consumables!$H$5:$H$856,"Auto-deduct")</f>
        <v>0</v>
      </c>
      <c r="K22" s="15" t="n">
        <f aca="false">SUMIFS(Service_Consumables!$L$5:$L$856,Service_Consumables!$A$5:$A$856,$A22,Service_Consumables!$E$5:$E$856,K$5,Service_Consumables!$H$5:$H$856,"Auto-deduct")</f>
        <v>0</v>
      </c>
      <c r="L22" s="15" t="n">
        <f aca="false">SUMIFS(Service_Consumables!$L$5:$L$856,Service_Consumables!$A$5:$A$856,$A22,Service_Consumables!$E$5:$E$856,L$5,Service_Consumables!$H$5:$H$856,"Auto-deduct")</f>
        <v>0</v>
      </c>
      <c r="M22" s="15" t="n">
        <f aca="false">SUMIFS(Service_Consumables!$L$5:$L$856,Service_Consumables!$A$5:$A$856,$A22,Service_Consumables!$E$5:$E$856,M$5,Service_Consumables!$H$5:$H$856,"Auto-deduct")</f>
        <v>0</v>
      </c>
      <c r="N22" s="15" t="n">
        <f aca="false">SUMIFS(Service_Consumables!$L$5:$L$856,Service_Consumables!$A$5:$A$856,$A22,Service_Consumables!$E$5:$E$856,N$5,Service_Consumables!$H$5:$H$856,"Auto-deduct")</f>
        <v>0</v>
      </c>
      <c r="O22" s="15" t="n">
        <f aca="false">SUMIFS(Service_Consumables!$L$5:$L$856,Service_Consumables!$A$5:$A$856,$A22,Service_Consumables!$E$5:$E$856,O$5,Service_Consumables!$H$5:$H$856,"Auto-deduct")</f>
        <v>0</v>
      </c>
      <c r="P22" s="15" t="n">
        <f aca="false">SUMIFS(Service_Consumables!$L$5:$L$856,Service_Consumables!$A$5:$A$856,$A22,Service_Consumables!$E$5:$E$856,P$5,Service_Consumables!$H$5:$H$856,"Auto-deduct")</f>
        <v>1</v>
      </c>
      <c r="Q22" s="15" t="n">
        <f aca="false">SUMIFS(Service_Consumables!$L$5:$L$856,Service_Consumables!$A$5:$A$856,$A22,Service_Consumables!$E$5:$E$856,Q$5,Service_Consumables!$H$5:$H$856,"Auto-deduct")</f>
        <v>1</v>
      </c>
      <c r="R22" s="15" t="n">
        <f aca="false">SUMIFS(Service_Consumables!$L$5:$L$856,Service_Consumables!$A$5:$A$856,$A22,Service_Consumables!$E$5:$E$856,R$5,Service_Consumables!$H$5:$H$856,"Auto-deduct")</f>
        <v>0</v>
      </c>
      <c r="S22" s="15" t="n">
        <f aca="false">SUMIFS(Service_Consumables!$L$5:$L$856,Service_Consumables!$A$5:$A$856,$A22,Service_Consumables!$E$5:$E$856,S$5,Service_Consumables!$H$5:$H$856,"Auto-deduct")</f>
        <v>4</v>
      </c>
      <c r="T22" s="15" t="n">
        <f aca="false">SUMIFS(Service_Consumables!$L$5:$L$856,Service_Consumables!$A$5:$A$856,$A22,Service_Consumables!$E$5:$E$856,T$5,Service_Consumables!$H$5:$H$856,"Auto-deduct")</f>
        <v>0</v>
      </c>
      <c r="U22" s="15" t="n">
        <f aca="false">SUMIFS(Service_Consumables!$L$5:$L$856,Service_Consumables!$A$5:$A$856,$A22,Service_Consumables!$E$5:$E$856,U$5,Service_Consumables!$H$5:$H$856,"Auto-deduct")</f>
        <v>0</v>
      </c>
      <c r="V22" s="15" t="n">
        <f aca="false">SUMIFS(Service_Consumables!$L$5:$L$856,Service_Consumables!$A$5:$A$856,$A22,Service_Consumables!$E$5:$E$856,V$5,Service_Consumables!$H$5:$H$856,"Auto-deduct")</f>
        <v>0</v>
      </c>
      <c r="W22" s="15" t="n">
        <f aca="false">SUMIFS(Service_Consumables!$L$5:$L$856,Service_Consumables!$A$5:$A$856,$A22,Service_Consumables!$E$5:$E$856,W$5,Service_Consumables!$H$5:$H$856,"Auto-deduct")</f>
        <v>0</v>
      </c>
      <c r="X22" s="15" t="n">
        <f aca="false">SUMIFS(Service_Consumables!$L$5:$L$856,Service_Consumables!$A$5:$A$856,$A22,Service_Consumables!$E$5:$E$856,X$5,Service_Consumables!$H$5:$H$856,"Auto-deduct")</f>
        <v>0</v>
      </c>
      <c r="Y22" s="15" t="n">
        <f aca="false">SUMIFS(Service_Consumables!$L$5:$L$856,Service_Consumables!$A$5:$A$856,$A22,Service_Consumables!$E$5:$E$856,Y$5,Service_Consumables!$H$5:$H$856,"Auto-deduct")</f>
        <v>0</v>
      </c>
      <c r="Z22" s="15" t="n">
        <f aca="false">SUMIFS(Service_Consumables!$L$5:$L$856,Service_Consumables!$A$5:$A$856,$A22,Service_Consumables!$E$5:$E$856,Z$5,Service_Consumables!$H$5:$H$856,"Auto-deduct")</f>
        <v>0</v>
      </c>
      <c r="AA22" s="15" t="n">
        <f aca="false">SUMIFS(Service_Consumables!$L$5:$L$856,Service_Consumables!$A$5:$A$856,$A22,Service_Consumables!$E$5:$E$856,AA$5,Service_Consumables!$H$5:$H$856,"Auto-deduct")</f>
        <v>0</v>
      </c>
      <c r="AB22" s="15" t="n">
        <f aca="false">SUMIFS(Service_Consumables!$L$5:$L$856,Service_Consumables!$A$5:$A$856,$A22,Service_Consumables!$E$5:$E$856,AB$5,Service_Consumables!$H$5:$H$856,"Auto-deduct")</f>
        <v>0</v>
      </c>
      <c r="AC22" s="15" t="n">
        <f aca="false">SUMIFS(Service_Consumables!$L$5:$L$856,Service_Consumables!$A$5:$A$856,$A22,Service_Consumables!$E$5:$E$856,AC$5,Service_Consumables!$H$5:$H$856,"Auto-deduct")</f>
        <v>3</v>
      </c>
      <c r="AD22" s="15" t="n">
        <f aca="false">SUMIFS(Service_Consumables!$L$5:$L$856,Service_Consumables!$A$5:$A$856,$A22,Service_Consumables!$E$5:$E$856,AD$5,Service_Consumables!$H$5:$H$856,"Auto-deduct")</f>
        <v>5</v>
      </c>
      <c r="AE22" s="15" t="n">
        <f aca="false">SUMIFS(Service_Consumables!$L$5:$L$856,Service_Consumables!$A$5:$A$856,$A22,Service_Consumables!$E$5:$E$856,AE$5,Service_Consumables!$H$5:$H$856,"Auto-deduct")</f>
        <v>0</v>
      </c>
      <c r="AF22" s="15" t="n">
        <f aca="false">SUMIFS(Service_Consumables!$L$5:$L$856,Service_Consumables!$A$5:$A$856,$A22,Service_Consumables!$E$5:$E$856,AF$5,Service_Consumables!$H$5:$H$856,"Auto-deduct")</f>
        <v>0</v>
      </c>
      <c r="AG22" s="15" t="n">
        <f aca="false">SUMIFS(Service_Consumables!$L$5:$L$856,Service_Consumables!$A$5:$A$856,$A22,Service_Consumables!$E$5:$E$856,AG$5,Service_Consumables!$H$5:$H$856,"Auto-deduct")</f>
        <v>0</v>
      </c>
      <c r="AH22" s="15" t="n">
        <f aca="false">SUMIFS(Service_Consumables!$L$5:$L$856,Service_Consumables!$A$5:$A$856,$A22,Service_Consumables!$E$5:$E$856,AH$5,Service_Consumables!$H$5:$H$856,"Auto-deduct")</f>
        <v>0</v>
      </c>
      <c r="AI22" s="15" t="n">
        <f aca="false">SUMIFS(Service_Consumables!$L$5:$L$856,Service_Consumables!$A$5:$A$856,$A22,Service_Consumables!$E$5:$E$856,AI$5,Service_Consumables!$H$5:$H$856,"Auto-deduct")</f>
        <v>0</v>
      </c>
      <c r="AJ22" s="15" t="n">
        <f aca="false">SUMIFS(Service_Consumables!$L$5:$L$856,Service_Consumables!$A$5:$A$856,$A22,Service_Consumables!$E$5:$E$856,AJ$5,Service_Consumables!$H$5:$H$856,"Auto-deduct")</f>
        <v>0</v>
      </c>
      <c r="AK22" s="15" t="n">
        <f aca="false">SUMIFS(Service_Consumables!$L$5:$L$856,Service_Consumables!$A$5:$A$856,$A22,Service_Consumables!$E$5:$E$856,AK$5,Service_Consumables!$H$5:$H$856,"Auto-deduct")</f>
        <v>0</v>
      </c>
      <c r="AL22" s="15" t="n">
        <f aca="false">SUMIFS(Service_Consumables!$L$5:$L$856,Service_Consumables!$A$5:$A$856,$A22,Service_Consumables!$E$5:$E$856,AL$5,Service_Consumables!$H$5:$H$856,"Auto-deduct")</f>
        <v>0</v>
      </c>
      <c r="AM22" s="15" t="n">
        <f aca="false">SUMIFS(Service_Consumables!$L$5:$L$856,Service_Consumables!$A$5:$A$856,$A22,Service_Consumables!$E$5:$E$856,AM$5,Service_Consumables!$H$5:$H$856,"Auto-deduct")</f>
        <v>0</v>
      </c>
      <c r="AN22" s="15" t="n">
        <f aca="false">SUMIFS(Service_Consumables!$L$5:$L$856,Service_Consumables!$A$5:$A$856,$A22,Service_Consumables!$E$5:$E$856,AN$5,Service_Consumables!$H$5:$H$856,"Auto-deduct")</f>
        <v>0</v>
      </c>
      <c r="AO22" s="15" t="n">
        <f aca="false">SUMIFS(Service_Consumables!$L$5:$L$856,Service_Consumables!$A$5:$A$856,$A22,Service_Consumables!$E$5:$E$856,AO$5,Service_Consumables!$H$5:$H$856,"Auto-deduct")</f>
        <v>0</v>
      </c>
      <c r="AP22" s="15" t="n">
        <f aca="false">SUMIFS(Service_Consumables!$L$5:$L$856,Service_Consumables!$A$5:$A$856,$A22,Service_Consumables!$E$5:$E$856,AP$5,Service_Consumables!$H$5:$H$856,"Auto-deduct")</f>
        <v>0</v>
      </c>
      <c r="AQ22" s="15" t="n">
        <f aca="false">SUMIFS(Service_Consumables!$L$5:$L$856,Service_Consumables!$A$5:$A$856,$A22,Service_Consumables!$E$5:$E$856,AQ$5,Service_Consumables!$H$5:$H$856,"Auto-deduct")</f>
        <v>30</v>
      </c>
      <c r="AR22" s="15" t="n">
        <f aca="false">SUMIFS(Service_Consumables!$L$5:$L$856,Service_Consumables!$A$5:$A$856,$A22,Service_Consumables!$E$5:$E$856,AR$5,Service_Consumables!$H$5:$H$856,"Auto-deduct")</f>
        <v>0</v>
      </c>
      <c r="AS22" s="15" t="n">
        <f aca="false">SUMIFS(Service_Consumables!$L$5:$L$856,Service_Consumables!$A$5:$A$856,$A22,Service_Consumables!$E$5:$E$856,AS$5,Service_Consumables!$H$5:$H$856,"Auto-deduct")</f>
        <v>0</v>
      </c>
      <c r="AT22" s="15" t="n">
        <f aca="false">SUMIFS(Service_Consumables!$L$5:$L$856,Service_Consumables!$A$5:$A$856,$A22,Service_Consumables!$E$5:$E$856,AT$5,Service_Consumables!$H$5:$H$856,"Auto-deduct")</f>
        <v>0</v>
      </c>
      <c r="AU22" s="15" t="n">
        <f aca="false">SUMIFS(Service_Consumables!$L$5:$L$856,Service_Consumables!$A$5:$A$856,$A22,Service_Consumables!$E$5:$E$856,AU$5,Service_Consumables!$H$5:$H$856,"Auto-deduct")</f>
        <v>0</v>
      </c>
      <c r="AV22" s="15" t="n">
        <f aca="false">SUMIFS(Service_Consumables!$L$5:$L$856,Service_Consumables!$A$5:$A$856,$A22,Service_Consumables!$E$5:$E$856,AV$5,Service_Consumables!$H$5:$H$856,"Auto-deduct")</f>
        <v>0</v>
      </c>
      <c r="AW22" s="15" t="n">
        <f aca="false">SUMIFS(Service_Consumables!$L$5:$L$856,Service_Consumables!$A$5:$A$856,$A22,Service_Consumables!$E$5:$E$856,AW$5,Service_Consumables!$H$5:$H$856,"Auto-deduct")</f>
        <v>0</v>
      </c>
      <c r="AX22" s="15" t="n">
        <f aca="false">SUMIFS(Service_Consumables!$L$5:$L$856,Service_Consumables!$A$5:$A$856,$A22,Service_Consumables!$E$5:$E$856,AX$5,Service_Consumables!$H$5:$H$856,"Auto-deduct")</f>
        <v>0</v>
      </c>
      <c r="AY22" s="15" t="n">
        <f aca="false">SUMIFS(Service_Consumables!$L$5:$L$856,Service_Consumables!$A$5:$A$856,$A22,Service_Consumables!$E$5:$E$856,AY$5,Service_Consumables!$H$5:$H$856,"Auto-deduct")</f>
        <v>0</v>
      </c>
      <c r="AZ22" s="15" t="n">
        <f aca="false">SUMIFS(Service_Consumables!$L$5:$L$856,Service_Consumables!$A$5:$A$856,$A22,Service_Consumables!$E$5:$E$856,AZ$5,Service_Consumables!$H$5:$H$856,"Auto-deduct")</f>
        <v>0</v>
      </c>
      <c r="BA22" s="15" t="n">
        <f aca="false">SUMIFS(Service_Consumables!$L$5:$L$856,Service_Consumables!$A$5:$A$856,$A22,Service_Consumables!$E$5:$E$856,BA$5,Service_Consumables!$H$5:$H$856,"Auto-deduct")</f>
        <v>6</v>
      </c>
      <c r="BB22" s="15" t="n">
        <f aca="false">SUMIFS(Service_Consumables!$L$5:$L$856,Service_Consumables!$A$5:$A$856,$A22,Service_Consumables!$E$5:$E$856,BB$5,Service_Consumables!$H$5:$H$856,"Auto-deduct")</f>
        <v>0</v>
      </c>
      <c r="BC22" s="15" t="n">
        <f aca="false">SUMIFS(Service_Consumables!$L$5:$L$856,Service_Consumables!$A$5:$A$856,$A22,Service_Consumables!$E$5:$E$856,BC$5,Service_Consumables!$H$5:$H$856,"Auto-deduct")</f>
        <v>0</v>
      </c>
      <c r="BD22" s="15" t="n">
        <f aca="false">SUMIFS(Service_Consumables!$L$5:$L$856,Service_Consumables!$A$5:$A$856,$A22,Service_Consumables!$E$5:$E$856,BD$5,Service_Consumables!$H$5:$H$856,"Auto-deduct")</f>
        <v>0</v>
      </c>
      <c r="BE22" s="15" t="n">
        <f aca="false">SUMIFS(Service_Consumables!$L$5:$L$856,Service_Consumables!$A$5:$A$856,$A22,Service_Consumables!$E$5:$E$856,BE$5,Service_Consumables!$H$5:$H$856,"Auto-deduct")</f>
        <v>0</v>
      </c>
      <c r="BF22" s="15" t="n">
        <f aca="false">SUMIFS(Service_Consumables!$L$5:$L$856,Service_Consumables!$A$5:$A$856,$A22,Service_Consumables!$E$5:$E$856,BF$5,Service_Consumables!$H$5:$H$856,"Auto-deduct")</f>
        <v>0</v>
      </c>
      <c r="BG22" s="15" t="n">
        <f aca="false">SUMIFS(Service_Consumables!$L$5:$L$856,Service_Consumables!$A$5:$A$856,$A22,Service_Consumables!$E$5:$E$856,BG$5,Service_Consumables!$H$5:$H$856,"Auto-deduct")</f>
        <v>0</v>
      </c>
      <c r="BH22" s="15" t="n">
        <f aca="false">SUMIFS(Service_Consumables!$L$5:$L$856,Service_Consumables!$A$5:$A$856,$A22,Service_Consumables!$E$5:$E$856,BH$5,Service_Consumables!$H$5:$H$856,"Auto-deduct")</f>
        <v>1</v>
      </c>
      <c r="BI22" s="15" t="n">
        <f aca="false">SUMIFS(Service_Consumables!$L$5:$L$856,Service_Consumables!$A$5:$A$856,$A22,Service_Consumables!$E$5:$E$856,BI$5,Service_Consumables!$H$5:$H$856,"Auto-deduct")</f>
        <v>0</v>
      </c>
    </row>
    <row r="23" customFormat="false" ht="15" hidden="false" customHeight="false" outlineLevel="0" collapsed="false">
      <c r="A23" s="14" t="n">
        <f aca="false">Services!A22</f>
        <v>18</v>
      </c>
      <c r="B23" s="14" t="str">
        <f aca="false">Services!B22</f>
        <v>Hair Removal (IPL-HR)</v>
      </c>
      <c r="C23" s="14" t="str">
        <f aca="false">Services!C22</f>
        <v>Half Legs</v>
      </c>
      <c r="D23" s="15" t="n">
        <f aca="false">SUMIFS(Service_Consumables!$L$5:$L$856,Service_Consumables!$A$5:$A$856,$A23,Service_Consumables!$E$5:$E$856,D$5,Service_Consumables!$H$5:$H$856,"Auto-deduct")</f>
        <v>0</v>
      </c>
      <c r="E23" s="15" t="n">
        <f aca="false">SUMIFS(Service_Consumables!$L$5:$L$856,Service_Consumables!$A$5:$A$856,$A23,Service_Consumables!$E$5:$E$856,E$5,Service_Consumables!$H$5:$H$856,"Auto-deduct")</f>
        <v>0</v>
      </c>
      <c r="F23" s="15" t="n">
        <f aca="false">SUMIFS(Service_Consumables!$L$5:$L$856,Service_Consumables!$A$5:$A$856,$A23,Service_Consumables!$E$5:$E$856,F$5,Service_Consumables!$H$5:$H$856,"Auto-deduct")</f>
        <v>0</v>
      </c>
      <c r="G23" s="15" t="n">
        <f aca="false">SUMIFS(Service_Consumables!$L$5:$L$856,Service_Consumables!$A$5:$A$856,$A23,Service_Consumables!$E$5:$E$856,G$5,Service_Consumables!$H$5:$H$856,"Auto-deduct")</f>
        <v>0</v>
      </c>
      <c r="H23" s="15" t="n">
        <f aca="false">SUMIFS(Service_Consumables!$L$5:$L$856,Service_Consumables!$A$5:$A$856,$A23,Service_Consumables!$E$5:$E$856,H$5,Service_Consumables!$H$5:$H$856,"Auto-deduct")</f>
        <v>0</v>
      </c>
      <c r="I23" s="15" t="n">
        <f aca="false">SUMIFS(Service_Consumables!$L$5:$L$856,Service_Consumables!$A$5:$A$856,$A23,Service_Consumables!$E$5:$E$856,I$5,Service_Consumables!$H$5:$H$856,"Auto-deduct")</f>
        <v>0</v>
      </c>
      <c r="J23" s="15" t="n">
        <f aca="false">SUMIFS(Service_Consumables!$L$5:$L$856,Service_Consumables!$A$5:$A$856,$A23,Service_Consumables!$E$5:$E$856,J$5,Service_Consumables!$H$5:$H$856,"Auto-deduct")</f>
        <v>0</v>
      </c>
      <c r="K23" s="15" t="n">
        <f aca="false">SUMIFS(Service_Consumables!$L$5:$L$856,Service_Consumables!$A$5:$A$856,$A23,Service_Consumables!$E$5:$E$856,K$5,Service_Consumables!$H$5:$H$856,"Auto-deduct")</f>
        <v>0</v>
      </c>
      <c r="L23" s="15" t="n">
        <f aca="false">SUMIFS(Service_Consumables!$L$5:$L$856,Service_Consumables!$A$5:$A$856,$A23,Service_Consumables!$E$5:$E$856,L$5,Service_Consumables!$H$5:$H$856,"Auto-deduct")</f>
        <v>0</v>
      </c>
      <c r="M23" s="15" t="n">
        <f aca="false">SUMIFS(Service_Consumables!$L$5:$L$856,Service_Consumables!$A$5:$A$856,$A23,Service_Consumables!$E$5:$E$856,M$5,Service_Consumables!$H$5:$H$856,"Auto-deduct")</f>
        <v>0</v>
      </c>
      <c r="N23" s="15" t="n">
        <f aca="false">SUMIFS(Service_Consumables!$L$5:$L$856,Service_Consumables!$A$5:$A$856,$A23,Service_Consumables!$E$5:$E$856,N$5,Service_Consumables!$H$5:$H$856,"Auto-deduct")</f>
        <v>0</v>
      </c>
      <c r="O23" s="15" t="n">
        <f aca="false">SUMIFS(Service_Consumables!$L$5:$L$856,Service_Consumables!$A$5:$A$856,$A23,Service_Consumables!$E$5:$E$856,O$5,Service_Consumables!$H$5:$H$856,"Auto-deduct")</f>
        <v>0</v>
      </c>
      <c r="P23" s="15" t="n">
        <f aca="false">SUMIFS(Service_Consumables!$L$5:$L$856,Service_Consumables!$A$5:$A$856,$A23,Service_Consumables!$E$5:$E$856,P$5,Service_Consumables!$H$5:$H$856,"Auto-deduct")</f>
        <v>1</v>
      </c>
      <c r="Q23" s="15" t="n">
        <f aca="false">SUMIFS(Service_Consumables!$L$5:$L$856,Service_Consumables!$A$5:$A$856,$A23,Service_Consumables!$E$5:$E$856,Q$5,Service_Consumables!$H$5:$H$856,"Auto-deduct")</f>
        <v>1</v>
      </c>
      <c r="R23" s="15" t="n">
        <f aca="false">SUMIFS(Service_Consumables!$L$5:$L$856,Service_Consumables!$A$5:$A$856,$A23,Service_Consumables!$E$5:$E$856,R$5,Service_Consumables!$H$5:$H$856,"Auto-deduct")</f>
        <v>0</v>
      </c>
      <c r="S23" s="15" t="n">
        <f aca="false">SUMIFS(Service_Consumables!$L$5:$L$856,Service_Consumables!$A$5:$A$856,$A23,Service_Consumables!$E$5:$E$856,S$5,Service_Consumables!$H$5:$H$856,"Auto-deduct")</f>
        <v>4</v>
      </c>
      <c r="T23" s="15" t="n">
        <f aca="false">SUMIFS(Service_Consumables!$L$5:$L$856,Service_Consumables!$A$5:$A$856,$A23,Service_Consumables!$E$5:$E$856,T$5,Service_Consumables!$H$5:$H$856,"Auto-deduct")</f>
        <v>0</v>
      </c>
      <c r="U23" s="15" t="n">
        <f aca="false">SUMIFS(Service_Consumables!$L$5:$L$856,Service_Consumables!$A$5:$A$856,$A23,Service_Consumables!$E$5:$E$856,U$5,Service_Consumables!$H$5:$H$856,"Auto-deduct")</f>
        <v>0</v>
      </c>
      <c r="V23" s="15" t="n">
        <f aca="false">SUMIFS(Service_Consumables!$L$5:$L$856,Service_Consumables!$A$5:$A$856,$A23,Service_Consumables!$E$5:$E$856,V$5,Service_Consumables!$H$5:$H$856,"Auto-deduct")</f>
        <v>0</v>
      </c>
      <c r="W23" s="15" t="n">
        <f aca="false">SUMIFS(Service_Consumables!$L$5:$L$856,Service_Consumables!$A$5:$A$856,$A23,Service_Consumables!$E$5:$E$856,W$5,Service_Consumables!$H$5:$H$856,"Auto-deduct")</f>
        <v>0</v>
      </c>
      <c r="X23" s="15" t="n">
        <f aca="false">SUMIFS(Service_Consumables!$L$5:$L$856,Service_Consumables!$A$5:$A$856,$A23,Service_Consumables!$E$5:$E$856,X$5,Service_Consumables!$H$5:$H$856,"Auto-deduct")</f>
        <v>0</v>
      </c>
      <c r="Y23" s="15" t="n">
        <f aca="false">SUMIFS(Service_Consumables!$L$5:$L$856,Service_Consumables!$A$5:$A$856,$A23,Service_Consumables!$E$5:$E$856,Y$5,Service_Consumables!$H$5:$H$856,"Auto-deduct")</f>
        <v>0</v>
      </c>
      <c r="Z23" s="15" t="n">
        <f aca="false">SUMIFS(Service_Consumables!$L$5:$L$856,Service_Consumables!$A$5:$A$856,$A23,Service_Consumables!$E$5:$E$856,Z$5,Service_Consumables!$H$5:$H$856,"Auto-deduct")</f>
        <v>0</v>
      </c>
      <c r="AA23" s="15" t="n">
        <f aca="false">SUMIFS(Service_Consumables!$L$5:$L$856,Service_Consumables!$A$5:$A$856,$A23,Service_Consumables!$E$5:$E$856,AA$5,Service_Consumables!$H$5:$H$856,"Auto-deduct")</f>
        <v>0</v>
      </c>
      <c r="AB23" s="15" t="n">
        <f aca="false">SUMIFS(Service_Consumables!$L$5:$L$856,Service_Consumables!$A$5:$A$856,$A23,Service_Consumables!$E$5:$E$856,AB$5,Service_Consumables!$H$5:$H$856,"Auto-deduct")</f>
        <v>0</v>
      </c>
      <c r="AC23" s="15" t="n">
        <f aca="false">SUMIFS(Service_Consumables!$L$5:$L$856,Service_Consumables!$A$5:$A$856,$A23,Service_Consumables!$E$5:$E$856,AC$5,Service_Consumables!$H$5:$H$856,"Auto-deduct")</f>
        <v>3</v>
      </c>
      <c r="AD23" s="15" t="n">
        <f aca="false">SUMIFS(Service_Consumables!$L$5:$L$856,Service_Consumables!$A$5:$A$856,$A23,Service_Consumables!$E$5:$E$856,AD$5,Service_Consumables!$H$5:$H$856,"Auto-deduct")</f>
        <v>5</v>
      </c>
      <c r="AE23" s="15" t="n">
        <f aca="false">SUMIFS(Service_Consumables!$L$5:$L$856,Service_Consumables!$A$5:$A$856,$A23,Service_Consumables!$E$5:$E$856,AE$5,Service_Consumables!$H$5:$H$856,"Auto-deduct")</f>
        <v>0</v>
      </c>
      <c r="AF23" s="15" t="n">
        <f aca="false">SUMIFS(Service_Consumables!$L$5:$L$856,Service_Consumables!$A$5:$A$856,$A23,Service_Consumables!$E$5:$E$856,AF$5,Service_Consumables!$H$5:$H$856,"Auto-deduct")</f>
        <v>0</v>
      </c>
      <c r="AG23" s="15" t="n">
        <f aca="false">SUMIFS(Service_Consumables!$L$5:$L$856,Service_Consumables!$A$5:$A$856,$A23,Service_Consumables!$E$5:$E$856,AG$5,Service_Consumables!$H$5:$H$856,"Auto-deduct")</f>
        <v>0</v>
      </c>
      <c r="AH23" s="15" t="n">
        <f aca="false">SUMIFS(Service_Consumables!$L$5:$L$856,Service_Consumables!$A$5:$A$856,$A23,Service_Consumables!$E$5:$E$856,AH$5,Service_Consumables!$H$5:$H$856,"Auto-deduct")</f>
        <v>0</v>
      </c>
      <c r="AI23" s="15" t="n">
        <f aca="false">SUMIFS(Service_Consumables!$L$5:$L$856,Service_Consumables!$A$5:$A$856,$A23,Service_Consumables!$E$5:$E$856,AI$5,Service_Consumables!$H$5:$H$856,"Auto-deduct")</f>
        <v>0</v>
      </c>
      <c r="AJ23" s="15" t="n">
        <f aca="false">SUMIFS(Service_Consumables!$L$5:$L$856,Service_Consumables!$A$5:$A$856,$A23,Service_Consumables!$E$5:$E$856,AJ$5,Service_Consumables!$H$5:$H$856,"Auto-deduct")</f>
        <v>0</v>
      </c>
      <c r="AK23" s="15" t="n">
        <f aca="false">SUMIFS(Service_Consumables!$L$5:$L$856,Service_Consumables!$A$5:$A$856,$A23,Service_Consumables!$E$5:$E$856,AK$5,Service_Consumables!$H$5:$H$856,"Auto-deduct")</f>
        <v>0</v>
      </c>
      <c r="AL23" s="15" t="n">
        <f aca="false">SUMIFS(Service_Consumables!$L$5:$L$856,Service_Consumables!$A$5:$A$856,$A23,Service_Consumables!$E$5:$E$856,AL$5,Service_Consumables!$H$5:$H$856,"Auto-deduct")</f>
        <v>0</v>
      </c>
      <c r="AM23" s="15" t="n">
        <f aca="false">SUMIFS(Service_Consumables!$L$5:$L$856,Service_Consumables!$A$5:$A$856,$A23,Service_Consumables!$E$5:$E$856,AM$5,Service_Consumables!$H$5:$H$856,"Auto-deduct")</f>
        <v>0</v>
      </c>
      <c r="AN23" s="15" t="n">
        <f aca="false">SUMIFS(Service_Consumables!$L$5:$L$856,Service_Consumables!$A$5:$A$856,$A23,Service_Consumables!$E$5:$E$856,AN$5,Service_Consumables!$H$5:$H$856,"Auto-deduct")</f>
        <v>0</v>
      </c>
      <c r="AO23" s="15" t="n">
        <f aca="false">SUMIFS(Service_Consumables!$L$5:$L$856,Service_Consumables!$A$5:$A$856,$A23,Service_Consumables!$E$5:$E$856,AO$5,Service_Consumables!$H$5:$H$856,"Auto-deduct")</f>
        <v>0</v>
      </c>
      <c r="AP23" s="15" t="n">
        <f aca="false">SUMIFS(Service_Consumables!$L$5:$L$856,Service_Consumables!$A$5:$A$856,$A23,Service_Consumables!$E$5:$E$856,AP$5,Service_Consumables!$H$5:$H$856,"Auto-deduct")</f>
        <v>0</v>
      </c>
      <c r="AQ23" s="15" t="n">
        <f aca="false">SUMIFS(Service_Consumables!$L$5:$L$856,Service_Consumables!$A$5:$A$856,$A23,Service_Consumables!$E$5:$E$856,AQ$5,Service_Consumables!$H$5:$H$856,"Auto-deduct")</f>
        <v>30</v>
      </c>
      <c r="AR23" s="15" t="n">
        <f aca="false">SUMIFS(Service_Consumables!$L$5:$L$856,Service_Consumables!$A$5:$A$856,$A23,Service_Consumables!$E$5:$E$856,AR$5,Service_Consumables!$H$5:$H$856,"Auto-deduct")</f>
        <v>0</v>
      </c>
      <c r="AS23" s="15" t="n">
        <f aca="false">SUMIFS(Service_Consumables!$L$5:$L$856,Service_Consumables!$A$5:$A$856,$A23,Service_Consumables!$E$5:$E$856,AS$5,Service_Consumables!$H$5:$H$856,"Auto-deduct")</f>
        <v>0</v>
      </c>
      <c r="AT23" s="15" t="n">
        <f aca="false">SUMIFS(Service_Consumables!$L$5:$L$856,Service_Consumables!$A$5:$A$856,$A23,Service_Consumables!$E$5:$E$856,AT$5,Service_Consumables!$H$5:$H$856,"Auto-deduct")</f>
        <v>0</v>
      </c>
      <c r="AU23" s="15" t="n">
        <f aca="false">SUMIFS(Service_Consumables!$L$5:$L$856,Service_Consumables!$A$5:$A$856,$A23,Service_Consumables!$E$5:$E$856,AU$5,Service_Consumables!$H$5:$H$856,"Auto-deduct")</f>
        <v>0</v>
      </c>
      <c r="AV23" s="15" t="n">
        <f aca="false">SUMIFS(Service_Consumables!$L$5:$L$856,Service_Consumables!$A$5:$A$856,$A23,Service_Consumables!$E$5:$E$856,AV$5,Service_Consumables!$H$5:$H$856,"Auto-deduct")</f>
        <v>0</v>
      </c>
      <c r="AW23" s="15" t="n">
        <f aca="false">SUMIFS(Service_Consumables!$L$5:$L$856,Service_Consumables!$A$5:$A$856,$A23,Service_Consumables!$E$5:$E$856,AW$5,Service_Consumables!$H$5:$H$856,"Auto-deduct")</f>
        <v>0</v>
      </c>
      <c r="AX23" s="15" t="n">
        <f aca="false">SUMIFS(Service_Consumables!$L$5:$L$856,Service_Consumables!$A$5:$A$856,$A23,Service_Consumables!$E$5:$E$856,AX$5,Service_Consumables!$H$5:$H$856,"Auto-deduct")</f>
        <v>0</v>
      </c>
      <c r="AY23" s="15" t="n">
        <f aca="false">SUMIFS(Service_Consumables!$L$5:$L$856,Service_Consumables!$A$5:$A$856,$A23,Service_Consumables!$E$5:$E$856,AY$5,Service_Consumables!$H$5:$H$856,"Auto-deduct")</f>
        <v>0</v>
      </c>
      <c r="AZ23" s="15" t="n">
        <f aca="false">SUMIFS(Service_Consumables!$L$5:$L$856,Service_Consumables!$A$5:$A$856,$A23,Service_Consumables!$E$5:$E$856,AZ$5,Service_Consumables!$H$5:$H$856,"Auto-deduct")</f>
        <v>0</v>
      </c>
      <c r="BA23" s="15" t="n">
        <f aca="false">SUMIFS(Service_Consumables!$L$5:$L$856,Service_Consumables!$A$5:$A$856,$A23,Service_Consumables!$E$5:$E$856,BA$5,Service_Consumables!$H$5:$H$856,"Auto-deduct")</f>
        <v>6</v>
      </c>
      <c r="BB23" s="15" t="n">
        <f aca="false">SUMIFS(Service_Consumables!$L$5:$L$856,Service_Consumables!$A$5:$A$856,$A23,Service_Consumables!$E$5:$E$856,BB$5,Service_Consumables!$H$5:$H$856,"Auto-deduct")</f>
        <v>0</v>
      </c>
      <c r="BC23" s="15" t="n">
        <f aca="false">SUMIFS(Service_Consumables!$L$5:$L$856,Service_Consumables!$A$5:$A$856,$A23,Service_Consumables!$E$5:$E$856,BC$5,Service_Consumables!$H$5:$H$856,"Auto-deduct")</f>
        <v>0</v>
      </c>
      <c r="BD23" s="15" t="n">
        <f aca="false">SUMIFS(Service_Consumables!$L$5:$L$856,Service_Consumables!$A$5:$A$856,$A23,Service_Consumables!$E$5:$E$856,BD$5,Service_Consumables!$H$5:$H$856,"Auto-deduct")</f>
        <v>0</v>
      </c>
      <c r="BE23" s="15" t="n">
        <f aca="false">SUMIFS(Service_Consumables!$L$5:$L$856,Service_Consumables!$A$5:$A$856,$A23,Service_Consumables!$E$5:$E$856,BE$5,Service_Consumables!$H$5:$H$856,"Auto-deduct")</f>
        <v>0</v>
      </c>
      <c r="BF23" s="15" t="n">
        <f aca="false">SUMIFS(Service_Consumables!$L$5:$L$856,Service_Consumables!$A$5:$A$856,$A23,Service_Consumables!$E$5:$E$856,BF$5,Service_Consumables!$H$5:$H$856,"Auto-deduct")</f>
        <v>0</v>
      </c>
      <c r="BG23" s="15" t="n">
        <f aca="false">SUMIFS(Service_Consumables!$L$5:$L$856,Service_Consumables!$A$5:$A$856,$A23,Service_Consumables!$E$5:$E$856,BG$5,Service_Consumables!$H$5:$H$856,"Auto-deduct")</f>
        <v>0</v>
      </c>
      <c r="BH23" s="15" t="n">
        <f aca="false">SUMIFS(Service_Consumables!$L$5:$L$856,Service_Consumables!$A$5:$A$856,$A23,Service_Consumables!$E$5:$E$856,BH$5,Service_Consumables!$H$5:$H$856,"Auto-deduct")</f>
        <v>1</v>
      </c>
      <c r="BI23" s="15" t="n">
        <f aca="false">SUMIFS(Service_Consumables!$L$5:$L$856,Service_Consumables!$A$5:$A$856,$A23,Service_Consumables!$E$5:$E$856,BI$5,Service_Consumables!$H$5:$H$856,"Auto-deduct")</f>
        <v>0</v>
      </c>
    </row>
    <row r="24" customFormat="false" ht="15" hidden="false" customHeight="false" outlineLevel="0" collapsed="false">
      <c r="A24" s="14" t="n">
        <f aca="false">Services!A23</f>
        <v>19</v>
      </c>
      <c r="B24" s="14" t="str">
        <f aca="false">Services!B23</f>
        <v>Hair Removal (IPL-HR)</v>
      </c>
      <c r="C24" s="14" t="str">
        <f aca="false">Services!C23</f>
        <v>Chest</v>
      </c>
      <c r="D24" s="15" t="n">
        <f aca="false">SUMIFS(Service_Consumables!$L$5:$L$856,Service_Consumables!$A$5:$A$856,$A24,Service_Consumables!$E$5:$E$856,D$5,Service_Consumables!$H$5:$H$856,"Auto-deduct")</f>
        <v>0</v>
      </c>
      <c r="E24" s="15" t="n">
        <f aca="false">SUMIFS(Service_Consumables!$L$5:$L$856,Service_Consumables!$A$5:$A$856,$A24,Service_Consumables!$E$5:$E$856,E$5,Service_Consumables!$H$5:$H$856,"Auto-deduct")</f>
        <v>0</v>
      </c>
      <c r="F24" s="15" t="n">
        <f aca="false">SUMIFS(Service_Consumables!$L$5:$L$856,Service_Consumables!$A$5:$A$856,$A24,Service_Consumables!$E$5:$E$856,F$5,Service_Consumables!$H$5:$H$856,"Auto-deduct")</f>
        <v>0</v>
      </c>
      <c r="G24" s="15" t="n">
        <f aca="false">SUMIFS(Service_Consumables!$L$5:$L$856,Service_Consumables!$A$5:$A$856,$A24,Service_Consumables!$E$5:$E$856,G$5,Service_Consumables!$H$5:$H$856,"Auto-deduct")</f>
        <v>0</v>
      </c>
      <c r="H24" s="15" t="n">
        <f aca="false">SUMIFS(Service_Consumables!$L$5:$L$856,Service_Consumables!$A$5:$A$856,$A24,Service_Consumables!$E$5:$E$856,H$5,Service_Consumables!$H$5:$H$856,"Auto-deduct")</f>
        <v>0</v>
      </c>
      <c r="I24" s="15" t="n">
        <f aca="false">SUMIFS(Service_Consumables!$L$5:$L$856,Service_Consumables!$A$5:$A$856,$A24,Service_Consumables!$E$5:$E$856,I$5,Service_Consumables!$H$5:$H$856,"Auto-deduct")</f>
        <v>0</v>
      </c>
      <c r="J24" s="15" t="n">
        <f aca="false">SUMIFS(Service_Consumables!$L$5:$L$856,Service_Consumables!$A$5:$A$856,$A24,Service_Consumables!$E$5:$E$856,J$5,Service_Consumables!$H$5:$H$856,"Auto-deduct")</f>
        <v>0</v>
      </c>
      <c r="K24" s="15" t="n">
        <f aca="false">SUMIFS(Service_Consumables!$L$5:$L$856,Service_Consumables!$A$5:$A$856,$A24,Service_Consumables!$E$5:$E$856,K$5,Service_Consumables!$H$5:$H$856,"Auto-deduct")</f>
        <v>0</v>
      </c>
      <c r="L24" s="15" t="n">
        <f aca="false">SUMIFS(Service_Consumables!$L$5:$L$856,Service_Consumables!$A$5:$A$856,$A24,Service_Consumables!$E$5:$E$856,L$5,Service_Consumables!$H$5:$H$856,"Auto-deduct")</f>
        <v>0</v>
      </c>
      <c r="M24" s="15" t="n">
        <f aca="false">SUMIFS(Service_Consumables!$L$5:$L$856,Service_Consumables!$A$5:$A$856,$A24,Service_Consumables!$E$5:$E$856,M$5,Service_Consumables!$H$5:$H$856,"Auto-deduct")</f>
        <v>0</v>
      </c>
      <c r="N24" s="15" t="n">
        <f aca="false">SUMIFS(Service_Consumables!$L$5:$L$856,Service_Consumables!$A$5:$A$856,$A24,Service_Consumables!$E$5:$E$856,N$5,Service_Consumables!$H$5:$H$856,"Auto-deduct")</f>
        <v>0</v>
      </c>
      <c r="O24" s="15" t="n">
        <f aca="false">SUMIFS(Service_Consumables!$L$5:$L$856,Service_Consumables!$A$5:$A$856,$A24,Service_Consumables!$E$5:$E$856,O$5,Service_Consumables!$H$5:$H$856,"Auto-deduct")</f>
        <v>0</v>
      </c>
      <c r="P24" s="15" t="n">
        <f aca="false">SUMIFS(Service_Consumables!$L$5:$L$856,Service_Consumables!$A$5:$A$856,$A24,Service_Consumables!$E$5:$E$856,P$5,Service_Consumables!$H$5:$H$856,"Auto-deduct")</f>
        <v>1</v>
      </c>
      <c r="Q24" s="15" t="n">
        <f aca="false">SUMIFS(Service_Consumables!$L$5:$L$856,Service_Consumables!$A$5:$A$856,$A24,Service_Consumables!$E$5:$E$856,Q$5,Service_Consumables!$H$5:$H$856,"Auto-deduct")</f>
        <v>1</v>
      </c>
      <c r="R24" s="15" t="n">
        <f aca="false">SUMIFS(Service_Consumables!$L$5:$L$856,Service_Consumables!$A$5:$A$856,$A24,Service_Consumables!$E$5:$E$856,R$5,Service_Consumables!$H$5:$H$856,"Auto-deduct")</f>
        <v>0</v>
      </c>
      <c r="S24" s="15" t="n">
        <f aca="false">SUMIFS(Service_Consumables!$L$5:$L$856,Service_Consumables!$A$5:$A$856,$A24,Service_Consumables!$E$5:$E$856,S$5,Service_Consumables!$H$5:$H$856,"Auto-deduct")</f>
        <v>4</v>
      </c>
      <c r="T24" s="15" t="n">
        <f aca="false">SUMIFS(Service_Consumables!$L$5:$L$856,Service_Consumables!$A$5:$A$856,$A24,Service_Consumables!$E$5:$E$856,T$5,Service_Consumables!$H$5:$H$856,"Auto-deduct")</f>
        <v>0</v>
      </c>
      <c r="U24" s="15" t="n">
        <f aca="false">SUMIFS(Service_Consumables!$L$5:$L$856,Service_Consumables!$A$5:$A$856,$A24,Service_Consumables!$E$5:$E$856,U$5,Service_Consumables!$H$5:$H$856,"Auto-deduct")</f>
        <v>0</v>
      </c>
      <c r="V24" s="15" t="n">
        <f aca="false">SUMIFS(Service_Consumables!$L$5:$L$856,Service_Consumables!$A$5:$A$856,$A24,Service_Consumables!$E$5:$E$856,V$5,Service_Consumables!$H$5:$H$856,"Auto-deduct")</f>
        <v>0</v>
      </c>
      <c r="W24" s="15" t="n">
        <f aca="false">SUMIFS(Service_Consumables!$L$5:$L$856,Service_Consumables!$A$5:$A$856,$A24,Service_Consumables!$E$5:$E$856,W$5,Service_Consumables!$H$5:$H$856,"Auto-deduct")</f>
        <v>0</v>
      </c>
      <c r="X24" s="15" t="n">
        <f aca="false">SUMIFS(Service_Consumables!$L$5:$L$856,Service_Consumables!$A$5:$A$856,$A24,Service_Consumables!$E$5:$E$856,X$5,Service_Consumables!$H$5:$H$856,"Auto-deduct")</f>
        <v>0</v>
      </c>
      <c r="Y24" s="15" t="n">
        <f aca="false">SUMIFS(Service_Consumables!$L$5:$L$856,Service_Consumables!$A$5:$A$856,$A24,Service_Consumables!$E$5:$E$856,Y$5,Service_Consumables!$H$5:$H$856,"Auto-deduct")</f>
        <v>0</v>
      </c>
      <c r="Z24" s="15" t="n">
        <f aca="false">SUMIFS(Service_Consumables!$L$5:$L$856,Service_Consumables!$A$5:$A$856,$A24,Service_Consumables!$E$5:$E$856,Z$5,Service_Consumables!$H$5:$H$856,"Auto-deduct")</f>
        <v>0</v>
      </c>
      <c r="AA24" s="15" t="n">
        <f aca="false">SUMIFS(Service_Consumables!$L$5:$L$856,Service_Consumables!$A$5:$A$856,$A24,Service_Consumables!$E$5:$E$856,AA$5,Service_Consumables!$H$5:$H$856,"Auto-deduct")</f>
        <v>0</v>
      </c>
      <c r="AB24" s="15" t="n">
        <f aca="false">SUMIFS(Service_Consumables!$L$5:$L$856,Service_Consumables!$A$5:$A$856,$A24,Service_Consumables!$E$5:$E$856,AB$5,Service_Consumables!$H$5:$H$856,"Auto-deduct")</f>
        <v>0</v>
      </c>
      <c r="AC24" s="15" t="n">
        <f aca="false">SUMIFS(Service_Consumables!$L$5:$L$856,Service_Consumables!$A$5:$A$856,$A24,Service_Consumables!$E$5:$E$856,AC$5,Service_Consumables!$H$5:$H$856,"Auto-deduct")</f>
        <v>3</v>
      </c>
      <c r="AD24" s="15" t="n">
        <f aca="false">SUMIFS(Service_Consumables!$L$5:$L$856,Service_Consumables!$A$5:$A$856,$A24,Service_Consumables!$E$5:$E$856,AD$5,Service_Consumables!$H$5:$H$856,"Auto-deduct")</f>
        <v>5</v>
      </c>
      <c r="AE24" s="15" t="n">
        <f aca="false">SUMIFS(Service_Consumables!$L$5:$L$856,Service_Consumables!$A$5:$A$856,$A24,Service_Consumables!$E$5:$E$856,AE$5,Service_Consumables!$H$5:$H$856,"Auto-deduct")</f>
        <v>0</v>
      </c>
      <c r="AF24" s="15" t="n">
        <f aca="false">SUMIFS(Service_Consumables!$L$5:$L$856,Service_Consumables!$A$5:$A$856,$A24,Service_Consumables!$E$5:$E$856,AF$5,Service_Consumables!$H$5:$H$856,"Auto-deduct")</f>
        <v>0</v>
      </c>
      <c r="AG24" s="15" t="n">
        <f aca="false">SUMIFS(Service_Consumables!$L$5:$L$856,Service_Consumables!$A$5:$A$856,$A24,Service_Consumables!$E$5:$E$856,AG$5,Service_Consumables!$H$5:$H$856,"Auto-deduct")</f>
        <v>0</v>
      </c>
      <c r="AH24" s="15" t="n">
        <f aca="false">SUMIFS(Service_Consumables!$L$5:$L$856,Service_Consumables!$A$5:$A$856,$A24,Service_Consumables!$E$5:$E$856,AH$5,Service_Consumables!$H$5:$H$856,"Auto-deduct")</f>
        <v>0</v>
      </c>
      <c r="AI24" s="15" t="n">
        <f aca="false">SUMIFS(Service_Consumables!$L$5:$L$856,Service_Consumables!$A$5:$A$856,$A24,Service_Consumables!$E$5:$E$856,AI$5,Service_Consumables!$H$5:$H$856,"Auto-deduct")</f>
        <v>0</v>
      </c>
      <c r="AJ24" s="15" t="n">
        <f aca="false">SUMIFS(Service_Consumables!$L$5:$L$856,Service_Consumables!$A$5:$A$856,$A24,Service_Consumables!$E$5:$E$856,AJ$5,Service_Consumables!$H$5:$H$856,"Auto-deduct")</f>
        <v>0</v>
      </c>
      <c r="AK24" s="15" t="n">
        <f aca="false">SUMIFS(Service_Consumables!$L$5:$L$856,Service_Consumables!$A$5:$A$856,$A24,Service_Consumables!$E$5:$E$856,AK$5,Service_Consumables!$H$5:$H$856,"Auto-deduct")</f>
        <v>0</v>
      </c>
      <c r="AL24" s="15" t="n">
        <f aca="false">SUMIFS(Service_Consumables!$L$5:$L$856,Service_Consumables!$A$5:$A$856,$A24,Service_Consumables!$E$5:$E$856,AL$5,Service_Consumables!$H$5:$H$856,"Auto-deduct")</f>
        <v>0</v>
      </c>
      <c r="AM24" s="15" t="n">
        <f aca="false">SUMIFS(Service_Consumables!$L$5:$L$856,Service_Consumables!$A$5:$A$856,$A24,Service_Consumables!$E$5:$E$856,AM$5,Service_Consumables!$H$5:$H$856,"Auto-deduct")</f>
        <v>0</v>
      </c>
      <c r="AN24" s="15" t="n">
        <f aca="false">SUMIFS(Service_Consumables!$L$5:$L$856,Service_Consumables!$A$5:$A$856,$A24,Service_Consumables!$E$5:$E$856,AN$5,Service_Consumables!$H$5:$H$856,"Auto-deduct")</f>
        <v>0</v>
      </c>
      <c r="AO24" s="15" t="n">
        <f aca="false">SUMIFS(Service_Consumables!$L$5:$L$856,Service_Consumables!$A$5:$A$856,$A24,Service_Consumables!$E$5:$E$856,AO$5,Service_Consumables!$H$5:$H$856,"Auto-deduct")</f>
        <v>0</v>
      </c>
      <c r="AP24" s="15" t="n">
        <f aca="false">SUMIFS(Service_Consumables!$L$5:$L$856,Service_Consumables!$A$5:$A$856,$A24,Service_Consumables!$E$5:$E$856,AP$5,Service_Consumables!$H$5:$H$856,"Auto-deduct")</f>
        <v>0</v>
      </c>
      <c r="AQ24" s="15" t="n">
        <f aca="false">SUMIFS(Service_Consumables!$L$5:$L$856,Service_Consumables!$A$5:$A$856,$A24,Service_Consumables!$E$5:$E$856,AQ$5,Service_Consumables!$H$5:$H$856,"Auto-deduct")</f>
        <v>30</v>
      </c>
      <c r="AR24" s="15" t="n">
        <f aca="false">SUMIFS(Service_Consumables!$L$5:$L$856,Service_Consumables!$A$5:$A$856,$A24,Service_Consumables!$E$5:$E$856,AR$5,Service_Consumables!$H$5:$H$856,"Auto-deduct")</f>
        <v>0</v>
      </c>
      <c r="AS24" s="15" t="n">
        <f aca="false">SUMIFS(Service_Consumables!$L$5:$L$856,Service_Consumables!$A$5:$A$856,$A24,Service_Consumables!$E$5:$E$856,AS$5,Service_Consumables!$H$5:$H$856,"Auto-deduct")</f>
        <v>0</v>
      </c>
      <c r="AT24" s="15" t="n">
        <f aca="false">SUMIFS(Service_Consumables!$L$5:$L$856,Service_Consumables!$A$5:$A$856,$A24,Service_Consumables!$E$5:$E$856,AT$5,Service_Consumables!$H$5:$H$856,"Auto-deduct")</f>
        <v>0</v>
      </c>
      <c r="AU24" s="15" t="n">
        <f aca="false">SUMIFS(Service_Consumables!$L$5:$L$856,Service_Consumables!$A$5:$A$856,$A24,Service_Consumables!$E$5:$E$856,AU$5,Service_Consumables!$H$5:$H$856,"Auto-deduct")</f>
        <v>0</v>
      </c>
      <c r="AV24" s="15" t="n">
        <f aca="false">SUMIFS(Service_Consumables!$L$5:$L$856,Service_Consumables!$A$5:$A$856,$A24,Service_Consumables!$E$5:$E$856,AV$5,Service_Consumables!$H$5:$H$856,"Auto-deduct")</f>
        <v>0</v>
      </c>
      <c r="AW24" s="15" t="n">
        <f aca="false">SUMIFS(Service_Consumables!$L$5:$L$856,Service_Consumables!$A$5:$A$856,$A24,Service_Consumables!$E$5:$E$856,AW$5,Service_Consumables!$H$5:$H$856,"Auto-deduct")</f>
        <v>0</v>
      </c>
      <c r="AX24" s="15" t="n">
        <f aca="false">SUMIFS(Service_Consumables!$L$5:$L$856,Service_Consumables!$A$5:$A$856,$A24,Service_Consumables!$E$5:$E$856,AX$5,Service_Consumables!$H$5:$H$856,"Auto-deduct")</f>
        <v>0</v>
      </c>
      <c r="AY24" s="15" t="n">
        <f aca="false">SUMIFS(Service_Consumables!$L$5:$L$856,Service_Consumables!$A$5:$A$856,$A24,Service_Consumables!$E$5:$E$856,AY$5,Service_Consumables!$H$5:$H$856,"Auto-deduct")</f>
        <v>0</v>
      </c>
      <c r="AZ24" s="15" t="n">
        <f aca="false">SUMIFS(Service_Consumables!$L$5:$L$856,Service_Consumables!$A$5:$A$856,$A24,Service_Consumables!$E$5:$E$856,AZ$5,Service_Consumables!$H$5:$H$856,"Auto-deduct")</f>
        <v>0</v>
      </c>
      <c r="BA24" s="15" t="n">
        <f aca="false">SUMIFS(Service_Consumables!$L$5:$L$856,Service_Consumables!$A$5:$A$856,$A24,Service_Consumables!$E$5:$E$856,BA$5,Service_Consumables!$H$5:$H$856,"Auto-deduct")</f>
        <v>6</v>
      </c>
      <c r="BB24" s="15" t="n">
        <f aca="false">SUMIFS(Service_Consumables!$L$5:$L$856,Service_Consumables!$A$5:$A$856,$A24,Service_Consumables!$E$5:$E$856,BB$5,Service_Consumables!$H$5:$H$856,"Auto-deduct")</f>
        <v>0</v>
      </c>
      <c r="BC24" s="15" t="n">
        <f aca="false">SUMIFS(Service_Consumables!$L$5:$L$856,Service_Consumables!$A$5:$A$856,$A24,Service_Consumables!$E$5:$E$856,BC$5,Service_Consumables!$H$5:$H$856,"Auto-deduct")</f>
        <v>0</v>
      </c>
      <c r="BD24" s="15" t="n">
        <f aca="false">SUMIFS(Service_Consumables!$L$5:$L$856,Service_Consumables!$A$5:$A$856,$A24,Service_Consumables!$E$5:$E$856,BD$5,Service_Consumables!$H$5:$H$856,"Auto-deduct")</f>
        <v>0</v>
      </c>
      <c r="BE24" s="15" t="n">
        <f aca="false">SUMIFS(Service_Consumables!$L$5:$L$856,Service_Consumables!$A$5:$A$856,$A24,Service_Consumables!$E$5:$E$856,BE$5,Service_Consumables!$H$5:$H$856,"Auto-deduct")</f>
        <v>0</v>
      </c>
      <c r="BF24" s="15" t="n">
        <f aca="false">SUMIFS(Service_Consumables!$L$5:$L$856,Service_Consumables!$A$5:$A$856,$A24,Service_Consumables!$E$5:$E$856,BF$5,Service_Consumables!$H$5:$H$856,"Auto-deduct")</f>
        <v>0</v>
      </c>
      <c r="BG24" s="15" t="n">
        <f aca="false">SUMIFS(Service_Consumables!$L$5:$L$856,Service_Consumables!$A$5:$A$856,$A24,Service_Consumables!$E$5:$E$856,BG$5,Service_Consumables!$H$5:$H$856,"Auto-deduct")</f>
        <v>0</v>
      </c>
      <c r="BH24" s="15" t="n">
        <f aca="false">SUMIFS(Service_Consumables!$L$5:$L$856,Service_Consumables!$A$5:$A$856,$A24,Service_Consumables!$E$5:$E$856,BH$5,Service_Consumables!$H$5:$H$856,"Auto-deduct")</f>
        <v>1</v>
      </c>
      <c r="BI24" s="15" t="n">
        <f aca="false">SUMIFS(Service_Consumables!$L$5:$L$856,Service_Consumables!$A$5:$A$856,$A24,Service_Consumables!$E$5:$E$856,BI$5,Service_Consumables!$H$5:$H$856,"Auto-deduct")</f>
        <v>0</v>
      </c>
    </row>
    <row r="25" customFormat="false" ht="15" hidden="false" customHeight="false" outlineLevel="0" collapsed="false">
      <c r="A25" s="14" t="n">
        <f aca="false">Services!A24</f>
        <v>20</v>
      </c>
      <c r="B25" s="14" t="str">
        <f aca="false">Services!B24</f>
        <v>Electrocautery (ECT)</v>
      </c>
      <c r="C25" s="14" t="str">
        <f aca="false">Services!C24</f>
        <v>Warts &amp; Milia Removal</v>
      </c>
      <c r="D25" s="15" t="n">
        <f aca="false">SUMIFS(Service_Consumables!$L$5:$L$856,Service_Consumables!$A$5:$A$856,$A25,Service_Consumables!$E$5:$E$856,D$5,Service_Consumables!$H$5:$H$856,"Auto-deduct")</f>
        <v>0</v>
      </c>
      <c r="E25" s="15" t="n">
        <f aca="false">SUMIFS(Service_Consumables!$L$5:$L$856,Service_Consumables!$A$5:$A$856,$A25,Service_Consumables!$E$5:$E$856,E$5,Service_Consumables!$H$5:$H$856,"Auto-deduct")</f>
        <v>0</v>
      </c>
      <c r="F25" s="15" t="n">
        <f aca="false">SUMIFS(Service_Consumables!$L$5:$L$856,Service_Consumables!$A$5:$A$856,$A25,Service_Consumables!$E$5:$E$856,F$5,Service_Consumables!$H$5:$H$856,"Auto-deduct")</f>
        <v>0</v>
      </c>
      <c r="G25" s="15" t="n">
        <f aca="false">SUMIFS(Service_Consumables!$L$5:$L$856,Service_Consumables!$A$5:$A$856,$A25,Service_Consumables!$E$5:$E$856,G$5,Service_Consumables!$H$5:$H$856,"Auto-deduct")</f>
        <v>0</v>
      </c>
      <c r="H25" s="15" t="n">
        <f aca="false">SUMIFS(Service_Consumables!$L$5:$L$856,Service_Consumables!$A$5:$A$856,$A25,Service_Consumables!$E$5:$E$856,H$5,Service_Consumables!$H$5:$H$856,"Auto-deduct")</f>
        <v>0</v>
      </c>
      <c r="I25" s="15" t="n">
        <f aca="false">SUMIFS(Service_Consumables!$L$5:$L$856,Service_Consumables!$A$5:$A$856,$A25,Service_Consumables!$E$5:$E$856,I$5,Service_Consumables!$H$5:$H$856,"Auto-deduct")</f>
        <v>0</v>
      </c>
      <c r="J25" s="15" t="n">
        <f aca="false">SUMIFS(Service_Consumables!$L$5:$L$856,Service_Consumables!$A$5:$A$856,$A25,Service_Consumables!$E$5:$E$856,J$5,Service_Consumables!$H$5:$H$856,"Auto-deduct")</f>
        <v>0</v>
      </c>
      <c r="K25" s="15" t="n">
        <f aca="false">SUMIFS(Service_Consumables!$L$5:$L$856,Service_Consumables!$A$5:$A$856,$A25,Service_Consumables!$E$5:$E$856,K$5,Service_Consumables!$H$5:$H$856,"Auto-deduct")</f>
        <v>0</v>
      </c>
      <c r="L25" s="15" t="n">
        <f aca="false">SUMIFS(Service_Consumables!$L$5:$L$856,Service_Consumables!$A$5:$A$856,$A25,Service_Consumables!$E$5:$E$856,L$5,Service_Consumables!$H$5:$H$856,"Auto-deduct")</f>
        <v>0</v>
      </c>
      <c r="M25" s="15" t="n">
        <f aca="false">SUMIFS(Service_Consumables!$L$5:$L$856,Service_Consumables!$A$5:$A$856,$A25,Service_Consumables!$E$5:$E$856,M$5,Service_Consumables!$H$5:$H$856,"Auto-deduct")</f>
        <v>0</v>
      </c>
      <c r="N25" s="15" t="n">
        <f aca="false">SUMIFS(Service_Consumables!$L$5:$L$856,Service_Consumables!$A$5:$A$856,$A25,Service_Consumables!$E$5:$E$856,N$5,Service_Consumables!$H$5:$H$856,"Auto-deduct")</f>
        <v>0</v>
      </c>
      <c r="O25" s="15" t="n">
        <f aca="false">SUMIFS(Service_Consumables!$L$5:$L$856,Service_Consumables!$A$5:$A$856,$A25,Service_Consumables!$E$5:$E$856,O$5,Service_Consumables!$H$5:$H$856,"Auto-deduct")</f>
        <v>1</v>
      </c>
      <c r="P25" s="15" t="n">
        <f aca="false">SUMIFS(Service_Consumables!$L$5:$L$856,Service_Consumables!$A$5:$A$856,$A25,Service_Consumables!$E$5:$E$856,P$5,Service_Consumables!$H$5:$H$856,"Auto-deduct")</f>
        <v>1</v>
      </c>
      <c r="Q25" s="15" t="n">
        <f aca="false">SUMIFS(Service_Consumables!$L$5:$L$856,Service_Consumables!$A$5:$A$856,$A25,Service_Consumables!$E$5:$E$856,Q$5,Service_Consumables!$H$5:$H$856,"Auto-deduct")</f>
        <v>1</v>
      </c>
      <c r="R25" s="15" t="n">
        <f aca="false">SUMIFS(Service_Consumables!$L$5:$L$856,Service_Consumables!$A$5:$A$856,$A25,Service_Consumables!$E$5:$E$856,R$5,Service_Consumables!$H$5:$H$856,"Auto-deduct")</f>
        <v>0</v>
      </c>
      <c r="S25" s="15" t="n">
        <f aca="false">SUMIFS(Service_Consumables!$L$5:$L$856,Service_Consumables!$A$5:$A$856,$A25,Service_Consumables!$E$5:$E$856,S$5,Service_Consumables!$H$5:$H$856,"Auto-deduct")</f>
        <v>0</v>
      </c>
      <c r="T25" s="15" t="n">
        <f aca="false">SUMIFS(Service_Consumables!$L$5:$L$856,Service_Consumables!$A$5:$A$856,$A25,Service_Consumables!$E$5:$E$856,T$5,Service_Consumables!$H$5:$H$856,"Auto-deduct")</f>
        <v>0</v>
      </c>
      <c r="U25" s="15" t="n">
        <f aca="false">SUMIFS(Service_Consumables!$L$5:$L$856,Service_Consumables!$A$5:$A$856,$A25,Service_Consumables!$E$5:$E$856,U$5,Service_Consumables!$H$5:$H$856,"Auto-deduct")</f>
        <v>0</v>
      </c>
      <c r="V25" s="15" t="n">
        <f aca="false">SUMIFS(Service_Consumables!$L$5:$L$856,Service_Consumables!$A$5:$A$856,$A25,Service_Consumables!$E$5:$E$856,V$5,Service_Consumables!$H$5:$H$856,"Auto-deduct")</f>
        <v>0</v>
      </c>
      <c r="W25" s="15" t="n">
        <f aca="false">SUMIFS(Service_Consumables!$L$5:$L$856,Service_Consumables!$A$5:$A$856,$A25,Service_Consumables!$E$5:$E$856,W$5,Service_Consumables!$H$5:$H$856,"Auto-deduct")</f>
        <v>4</v>
      </c>
      <c r="X25" s="15" t="n">
        <f aca="false">SUMIFS(Service_Consumables!$L$5:$L$856,Service_Consumables!$A$5:$A$856,$A25,Service_Consumables!$E$5:$E$856,X$5,Service_Consumables!$H$5:$H$856,"Auto-deduct")</f>
        <v>0</v>
      </c>
      <c r="Y25" s="15" t="n">
        <f aca="false">SUMIFS(Service_Consumables!$L$5:$L$856,Service_Consumables!$A$5:$A$856,$A25,Service_Consumables!$E$5:$E$856,Y$5,Service_Consumables!$H$5:$H$856,"Auto-deduct")</f>
        <v>0</v>
      </c>
      <c r="Z25" s="15" t="n">
        <f aca="false">SUMIFS(Service_Consumables!$L$5:$L$856,Service_Consumables!$A$5:$A$856,$A25,Service_Consumables!$E$5:$E$856,Z$5,Service_Consumables!$H$5:$H$856,"Auto-deduct")</f>
        <v>20</v>
      </c>
      <c r="AA25" s="15" t="n">
        <f aca="false">SUMIFS(Service_Consumables!$L$5:$L$856,Service_Consumables!$A$5:$A$856,$A25,Service_Consumables!$E$5:$E$856,AA$5,Service_Consumables!$H$5:$H$856,"Auto-deduct")</f>
        <v>2</v>
      </c>
      <c r="AB25" s="15" t="n">
        <f aca="false">SUMIFS(Service_Consumables!$L$5:$L$856,Service_Consumables!$A$5:$A$856,$A25,Service_Consumables!$E$5:$E$856,AB$5,Service_Consumables!$H$5:$H$856,"Auto-deduct")</f>
        <v>3</v>
      </c>
      <c r="AC25" s="15" t="n">
        <f aca="false">SUMIFS(Service_Consumables!$L$5:$L$856,Service_Consumables!$A$5:$A$856,$A25,Service_Consumables!$E$5:$E$856,AC$5,Service_Consumables!$H$5:$H$856,"Auto-deduct")</f>
        <v>0</v>
      </c>
      <c r="AD25" s="15" t="n">
        <f aca="false">SUMIFS(Service_Consumables!$L$5:$L$856,Service_Consumables!$A$5:$A$856,$A25,Service_Consumables!$E$5:$E$856,AD$5,Service_Consumables!$H$5:$H$856,"Auto-deduct")</f>
        <v>5</v>
      </c>
      <c r="AE25" s="15" t="n">
        <f aca="false">SUMIFS(Service_Consumables!$L$5:$L$856,Service_Consumables!$A$5:$A$856,$A25,Service_Consumables!$E$5:$E$856,AE$5,Service_Consumables!$H$5:$H$856,"Auto-deduct")</f>
        <v>0</v>
      </c>
      <c r="AF25" s="15" t="n">
        <f aca="false">SUMIFS(Service_Consumables!$L$5:$L$856,Service_Consumables!$A$5:$A$856,$A25,Service_Consumables!$E$5:$E$856,AF$5,Service_Consumables!$H$5:$H$856,"Auto-deduct")</f>
        <v>0</v>
      </c>
      <c r="AG25" s="15" t="n">
        <f aca="false">SUMIFS(Service_Consumables!$L$5:$L$856,Service_Consumables!$A$5:$A$856,$A25,Service_Consumables!$E$5:$E$856,AG$5,Service_Consumables!$H$5:$H$856,"Auto-deduct")</f>
        <v>0</v>
      </c>
      <c r="AH25" s="15" t="n">
        <f aca="false">SUMIFS(Service_Consumables!$L$5:$L$856,Service_Consumables!$A$5:$A$856,$A25,Service_Consumables!$E$5:$E$856,AH$5,Service_Consumables!$H$5:$H$856,"Auto-deduct")</f>
        <v>0</v>
      </c>
      <c r="AI25" s="15" t="n">
        <f aca="false">SUMIFS(Service_Consumables!$L$5:$L$856,Service_Consumables!$A$5:$A$856,$A25,Service_Consumables!$E$5:$E$856,AI$5,Service_Consumables!$H$5:$H$856,"Auto-deduct")</f>
        <v>0</v>
      </c>
      <c r="AJ25" s="15" t="n">
        <f aca="false">SUMIFS(Service_Consumables!$L$5:$L$856,Service_Consumables!$A$5:$A$856,$A25,Service_Consumables!$E$5:$E$856,AJ$5,Service_Consumables!$H$5:$H$856,"Auto-deduct")</f>
        <v>0</v>
      </c>
      <c r="AK25" s="15" t="n">
        <f aca="false">SUMIFS(Service_Consumables!$L$5:$L$856,Service_Consumables!$A$5:$A$856,$A25,Service_Consumables!$E$5:$E$856,AK$5,Service_Consumables!$H$5:$H$856,"Auto-deduct")</f>
        <v>0</v>
      </c>
      <c r="AL25" s="15" t="n">
        <f aca="false">SUMIFS(Service_Consumables!$L$5:$L$856,Service_Consumables!$A$5:$A$856,$A25,Service_Consumables!$E$5:$E$856,AL$5,Service_Consumables!$H$5:$H$856,"Auto-deduct")</f>
        <v>0</v>
      </c>
      <c r="AM25" s="15" t="n">
        <f aca="false">SUMIFS(Service_Consumables!$L$5:$L$856,Service_Consumables!$A$5:$A$856,$A25,Service_Consumables!$E$5:$E$856,AM$5,Service_Consumables!$H$5:$H$856,"Auto-deduct")</f>
        <v>0</v>
      </c>
      <c r="AN25" s="15" t="n">
        <f aca="false">SUMIFS(Service_Consumables!$L$5:$L$856,Service_Consumables!$A$5:$A$856,$A25,Service_Consumables!$E$5:$E$856,AN$5,Service_Consumables!$H$5:$H$856,"Auto-deduct")</f>
        <v>0</v>
      </c>
      <c r="AO25" s="15" t="n">
        <f aca="false">SUMIFS(Service_Consumables!$L$5:$L$856,Service_Consumables!$A$5:$A$856,$A25,Service_Consumables!$E$5:$E$856,AO$5,Service_Consumables!$H$5:$H$856,"Auto-deduct")</f>
        <v>0</v>
      </c>
      <c r="AP25" s="15" t="n">
        <f aca="false">SUMIFS(Service_Consumables!$L$5:$L$856,Service_Consumables!$A$5:$A$856,$A25,Service_Consumables!$E$5:$E$856,AP$5,Service_Consumables!$H$5:$H$856,"Auto-deduct")</f>
        <v>0</v>
      </c>
      <c r="AQ25" s="15" t="n">
        <f aca="false">SUMIFS(Service_Consumables!$L$5:$L$856,Service_Consumables!$A$5:$A$856,$A25,Service_Consumables!$E$5:$E$856,AQ$5,Service_Consumables!$H$5:$H$856,"Auto-deduct")</f>
        <v>0</v>
      </c>
      <c r="AR25" s="15" t="n">
        <f aca="false">SUMIFS(Service_Consumables!$L$5:$L$856,Service_Consumables!$A$5:$A$856,$A25,Service_Consumables!$E$5:$E$856,AR$5,Service_Consumables!$H$5:$H$856,"Auto-deduct")</f>
        <v>0</v>
      </c>
      <c r="AS25" s="15" t="n">
        <f aca="false">SUMIFS(Service_Consumables!$L$5:$L$856,Service_Consumables!$A$5:$A$856,$A25,Service_Consumables!$E$5:$E$856,AS$5,Service_Consumables!$H$5:$H$856,"Auto-deduct")</f>
        <v>0</v>
      </c>
      <c r="AT25" s="15" t="n">
        <f aca="false">SUMIFS(Service_Consumables!$L$5:$L$856,Service_Consumables!$A$5:$A$856,$A25,Service_Consumables!$E$5:$E$856,AT$5,Service_Consumables!$H$5:$H$856,"Auto-deduct")</f>
        <v>0</v>
      </c>
      <c r="AU25" s="15" t="n">
        <f aca="false">SUMIFS(Service_Consumables!$L$5:$L$856,Service_Consumables!$A$5:$A$856,$A25,Service_Consumables!$E$5:$E$856,AU$5,Service_Consumables!$H$5:$H$856,"Auto-deduct")</f>
        <v>0</v>
      </c>
      <c r="AV25" s="15" t="n">
        <f aca="false">SUMIFS(Service_Consumables!$L$5:$L$856,Service_Consumables!$A$5:$A$856,$A25,Service_Consumables!$E$5:$E$856,AV$5,Service_Consumables!$H$5:$H$856,"Auto-deduct")</f>
        <v>0</v>
      </c>
      <c r="AW25" s="15" t="n">
        <f aca="false">SUMIFS(Service_Consumables!$L$5:$L$856,Service_Consumables!$A$5:$A$856,$A25,Service_Consumables!$E$5:$E$856,AW$5,Service_Consumables!$H$5:$H$856,"Auto-deduct")</f>
        <v>0</v>
      </c>
      <c r="AX25" s="15" t="n">
        <f aca="false">SUMIFS(Service_Consumables!$L$5:$L$856,Service_Consumables!$A$5:$A$856,$A25,Service_Consumables!$E$5:$E$856,AX$5,Service_Consumables!$H$5:$H$856,"Auto-deduct")</f>
        <v>0</v>
      </c>
      <c r="AY25" s="15" t="n">
        <f aca="false">SUMIFS(Service_Consumables!$L$5:$L$856,Service_Consumables!$A$5:$A$856,$A25,Service_Consumables!$E$5:$E$856,AY$5,Service_Consumables!$H$5:$H$856,"Auto-deduct")</f>
        <v>0</v>
      </c>
      <c r="AZ25" s="15" t="n">
        <f aca="false">SUMIFS(Service_Consumables!$L$5:$L$856,Service_Consumables!$A$5:$A$856,$A25,Service_Consumables!$E$5:$E$856,AZ$5,Service_Consumables!$H$5:$H$856,"Auto-deduct")</f>
        <v>0</v>
      </c>
      <c r="BA25" s="15" t="n">
        <f aca="false">SUMIFS(Service_Consumables!$L$5:$L$856,Service_Consumables!$A$5:$A$856,$A25,Service_Consumables!$E$5:$E$856,BA$5,Service_Consumables!$H$5:$H$856,"Auto-deduct")</f>
        <v>0</v>
      </c>
      <c r="BB25" s="15" t="n">
        <f aca="false">SUMIFS(Service_Consumables!$L$5:$L$856,Service_Consumables!$A$5:$A$856,$A25,Service_Consumables!$E$5:$E$856,BB$5,Service_Consumables!$H$5:$H$856,"Auto-deduct")</f>
        <v>0</v>
      </c>
      <c r="BC25" s="15" t="n">
        <f aca="false">SUMIFS(Service_Consumables!$L$5:$L$856,Service_Consumables!$A$5:$A$856,$A25,Service_Consumables!$E$5:$E$856,BC$5,Service_Consumables!$H$5:$H$856,"Auto-deduct")</f>
        <v>0</v>
      </c>
      <c r="BD25" s="15" t="n">
        <f aca="false">SUMIFS(Service_Consumables!$L$5:$L$856,Service_Consumables!$A$5:$A$856,$A25,Service_Consumables!$E$5:$E$856,BD$5,Service_Consumables!$H$5:$H$856,"Auto-deduct")</f>
        <v>0</v>
      </c>
      <c r="BE25" s="15" t="n">
        <f aca="false">SUMIFS(Service_Consumables!$L$5:$L$856,Service_Consumables!$A$5:$A$856,$A25,Service_Consumables!$E$5:$E$856,BE$5,Service_Consumables!$H$5:$H$856,"Auto-deduct")</f>
        <v>0</v>
      </c>
      <c r="BF25" s="15" t="n">
        <f aca="false">SUMIFS(Service_Consumables!$L$5:$L$856,Service_Consumables!$A$5:$A$856,$A25,Service_Consumables!$E$5:$E$856,BF$5,Service_Consumables!$H$5:$H$856,"Auto-deduct")</f>
        <v>0</v>
      </c>
      <c r="BG25" s="15" t="n">
        <f aca="false">SUMIFS(Service_Consumables!$L$5:$L$856,Service_Consumables!$A$5:$A$856,$A25,Service_Consumables!$E$5:$E$856,BG$5,Service_Consumables!$H$5:$H$856,"Auto-deduct")</f>
        <v>0</v>
      </c>
      <c r="BH25" s="15" t="n">
        <f aca="false">SUMIFS(Service_Consumables!$L$5:$L$856,Service_Consumables!$A$5:$A$856,$A25,Service_Consumables!$E$5:$E$856,BH$5,Service_Consumables!$H$5:$H$856,"Auto-deduct")</f>
        <v>0</v>
      </c>
      <c r="BI25" s="15" t="n">
        <f aca="false">SUMIFS(Service_Consumables!$L$5:$L$856,Service_Consumables!$A$5:$A$856,$A25,Service_Consumables!$E$5:$E$856,BI$5,Service_Consumables!$H$5:$H$856,"Auto-deduct")</f>
        <v>3</v>
      </c>
    </row>
    <row r="26" customFormat="false" ht="15" hidden="false" customHeight="false" outlineLevel="0" collapsed="false">
      <c r="A26" s="14" t="n">
        <f aca="false">Services!A25</f>
        <v>21</v>
      </c>
      <c r="B26" s="14" t="str">
        <f aca="false">Services!B25</f>
        <v>Paraffin Therapy</v>
      </c>
      <c r="C26" s="14" t="str">
        <f aca="false">Services!C25</f>
        <v>Hands</v>
      </c>
      <c r="D26" s="15" t="n">
        <f aca="false">SUMIFS(Service_Consumables!$L$5:$L$856,Service_Consumables!$A$5:$A$856,$A26,Service_Consumables!$E$5:$E$856,D$5,Service_Consumables!$H$5:$H$856,"Auto-deduct")</f>
        <v>0</v>
      </c>
      <c r="E26" s="15" t="n">
        <f aca="false">SUMIFS(Service_Consumables!$L$5:$L$856,Service_Consumables!$A$5:$A$856,$A26,Service_Consumables!$E$5:$E$856,E$5,Service_Consumables!$H$5:$H$856,"Auto-deduct")</f>
        <v>0</v>
      </c>
      <c r="F26" s="15" t="n">
        <f aca="false">SUMIFS(Service_Consumables!$L$5:$L$856,Service_Consumables!$A$5:$A$856,$A26,Service_Consumables!$E$5:$E$856,F$5,Service_Consumables!$H$5:$H$856,"Auto-deduct")</f>
        <v>0</v>
      </c>
      <c r="G26" s="15" t="n">
        <f aca="false">SUMIFS(Service_Consumables!$L$5:$L$856,Service_Consumables!$A$5:$A$856,$A26,Service_Consumables!$E$5:$E$856,G$5,Service_Consumables!$H$5:$H$856,"Auto-deduct")</f>
        <v>0</v>
      </c>
      <c r="H26" s="15" t="n">
        <f aca="false">SUMIFS(Service_Consumables!$L$5:$L$856,Service_Consumables!$A$5:$A$856,$A26,Service_Consumables!$E$5:$E$856,H$5,Service_Consumables!$H$5:$H$856,"Auto-deduct")</f>
        <v>0</v>
      </c>
      <c r="I26" s="15" t="n">
        <f aca="false">SUMIFS(Service_Consumables!$L$5:$L$856,Service_Consumables!$A$5:$A$856,$A26,Service_Consumables!$E$5:$E$856,I$5,Service_Consumables!$H$5:$H$856,"Auto-deduct")</f>
        <v>0</v>
      </c>
      <c r="J26" s="15" t="n">
        <f aca="false">SUMIFS(Service_Consumables!$L$5:$L$856,Service_Consumables!$A$5:$A$856,$A26,Service_Consumables!$E$5:$E$856,J$5,Service_Consumables!$H$5:$H$856,"Auto-deduct")</f>
        <v>0</v>
      </c>
      <c r="K26" s="15" t="n">
        <f aca="false">SUMIFS(Service_Consumables!$L$5:$L$856,Service_Consumables!$A$5:$A$856,$A26,Service_Consumables!$E$5:$E$856,K$5,Service_Consumables!$H$5:$H$856,"Auto-deduct")</f>
        <v>0</v>
      </c>
      <c r="L26" s="15" t="n">
        <f aca="false">SUMIFS(Service_Consumables!$L$5:$L$856,Service_Consumables!$A$5:$A$856,$A26,Service_Consumables!$E$5:$E$856,L$5,Service_Consumables!$H$5:$H$856,"Auto-deduct")</f>
        <v>0</v>
      </c>
      <c r="M26" s="15" t="n">
        <f aca="false">SUMIFS(Service_Consumables!$L$5:$L$856,Service_Consumables!$A$5:$A$856,$A26,Service_Consumables!$E$5:$E$856,M$5,Service_Consumables!$H$5:$H$856,"Auto-deduct")</f>
        <v>0</v>
      </c>
      <c r="N26" s="15" t="n">
        <f aca="false">SUMIFS(Service_Consumables!$L$5:$L$856,Service_Consumables!$A$5:$A$856,$A26,Service_Consumables!$E$5:$E$856,N$5,Service_Consumables!$H$5:$H$856,"Auto-deduct")</f>
        <v>0</v>
      </c>
      <c r="O26" s="15" t="n">
        <f aca="false">SUMIFS(Service_Consumables!$L$5:$L$856,Service_Consumables!$A$5:$A$856,$A26,Service_Consumables!$E$5:$E$856,O$5,Service_Consumables!$H$5:$H$856,"Auto-deduct")</f>
        <v>0</v>
      </c>
      <c r="P26" s="15" t="n">
        <f aca="false">SUMIFS(Service_Consumables!$L$5:$L$856,Service_Consumables!$A$5:$A$856,$A26,Service_Consumables!$E$5:$E$856,P$5,Service_Consumables!$H$5:$H$856,"Auto-deduct")</f>
        <v>1</v>
      </c>
      <c r="Q26" s="15" t="n">
        <f aca="false">SUMIFS(Service_Consumables!$L$5:$L$856,Service_Consumables!$A$5:$A$856,$A26,Service_Consumables!$E$5:$E$856,Q$5,Service_Consumables!$H$5:$H$856,"Auto-deduct")</f>
        <v>1</v>
      </c>
      <c r="R26" s="15" t="n">
        <f aca="false">SUMIFS(Service_Consumables!$L$5:$L$856,Service_Consumables!$A$5:$A$856,$A26,Service_Consumables!$E$5:$E$856,R$5,Service_Consumables!$H$5:$H$856,"Auto-deduct")</f>
        <v>0</v>
      </c>
      <c r="S26" s="15" t="n">
        <f aca="false">SUMIFS(Service_Consumables!$L$5:$L$856,Service_Consumables!$A$5:$A$856,$A26,Service_Consumables!$E$5:$E$856,S$5,Service_Consumables!$H$5:$H$856,"Auto-deduct")</f>
        <v>4</v>
      </c>
      <c r="T26" s="15" t="n">
        <f aca="false">SUMIFS(Service_Consumables!$L$5:$L$856,Service_Consumables!$A$5:$A$856,$A26,Service_Consumables!$E$5:$E$856,T$5,Service_Consumables!$H$5:$H$856,"Auto-deduct")</f>
        <v>0</v>
      </c>
      <c r="U26" s="15" t="n">
        <f aca="false">SUMIFS(Service_Consumables!$L$5:$L$856,Service_Consumables!$A$5:$A$856,$A26,Service_Consumables!$E$5:$E$856,U$5,Service_Consumables!$H$5:$H$856,"Auto-deduct")</f>
        <v>0</v>
      </c>
      <c r="V26" s="15" t="n">
        <f aca="false">SUMIFS(Service_Consumables!$L$5:$L$856,Service_Consumables!$A$5:$A$856,$A26,Service_Consumables!$E$5:$E$856,V$5,Service_Consumables!$H$5:$H$856,"Auto-deduct")</f>
        <v>0</v>
      </c>
      <c r="W26" s="15" t="n">
        <f aca="false">SUMIFS(Service_Consumables!$L$5:$L$856,Service_Consumables!$A$5:$A$856,$A26,Service_Consumables!$E$5:$E$856,W$5,Service_Consumables!$H$5:$H$856,"Auto-deduct")</f>
        <v>0</v>
      </c>
      <c r="X26" s="15" t="n">
        <f aca="false">SUMIFS(Service_Consumables!$L$5:$L$856,Service_Consumables!$A$5:$A$856,$A26,Service_Consumables!$E$5:$E$856,X$5,Service_Consumables!$H$5:$H$856,"Auto-deduct")</f>
        <v>0</v>
      </c>
      <c r="Y26" s="15" t="n">
        <f aca="false">SUMIFS(Service_Consumables!$L$5:$L$856,Service_Consumables!$A$5:$A$856,$A26,Service_Consumables!$E$5:$E$856,Y$5,Service_Consumables!$H$5:$H$856,"Auto-deduct")</f>
        <v>0</v>
      </c>
      <c r="Z26" s="15" t="n">
        <f aca="false">SUMIFS(Service_Consumables!$L$5:$L$856,Service_Consumables!$A$5:$A$856,$A26,Service_Consumables!$E$5:$E$856,Z$5,Service_Consumables!$H$5:$H$856,"Auto-deduct")</f>
        <v>60</v>
      </c>
      <c r="AA26" s="15" t="n">
        <f aca="false">SUMIFS(Service_Consumables!$L$5:$L$856,Service_Consumables!$A$5:$A$856,$A26,Service_Consumables!$E$5:$E$856,AA$5,Service_Consumables!$H$5:$H$856,"Auto-deduct")</f>
        <v>0</v>
      </c>
      <c r="AB26" s="15" t="n">
        <f aca="false">SUMIFS(Service_Consumables!$L$5:$L$856,Service_Consumables!$A$5:$A$856,$A26,Service_Consumables!$E$5:$E$856,AB$5,Service_Consumables!$H$5:$H$856,"Auto-deduct")</f>
        <v>0</v>
      </c>
      <c r="AC26" s="15" t="n">
        <f aca="false">SUMIFS(Service_Consumables!$L$5:$L$856,Service_Consumables!$A$5:$A$856,$A26,Service_Consumables!$E$5:$E$856,AC$5,Service_Consumables!$H$5:$H$856,"Auto-deduct")</f>
        <v>2</v>
      </c>
      <c r="AD26" s="15" t="n">
        <f aca="false">SUMIFS(Service_Consumables!$L$5:$L$856,Service_Consumables!$A$5:$A$856,$A26,Service_Consumables!$E$5:$E$856,AD$5,Service_Consumables!$H$5:$H$856,"Auto-deduct")</f>
        <v>5</v>
      </c>
      <c r="AE26" s="15" t="n">
        <f aca="false">SUMIFS(Service_Consumables!$L$5:$L$856,Service_Consumables!$A$5:$A$856,$A26,Service_Consumables!$E$5:$E$856,AE$5,Service_Consumables!$H$5:$H$856,"Auto-deduct")</f>
        <v>0</v>
      </c>
      <c r="AF26" s="15" t="n">
        <f aca="false">SUMIFS(Service_Consumables!$L$5:$L$856,Service_Consumables!$A$5:$A$856,$A26,Service_Consumables!$E$5:$E$856,AF$5,Service_Consumables!$H$5:$H$856,"Auto-deduct")</f>
        <v>0</v>
      </c>
      <c r="AG26" s="15" t="n">
        <f aca="false">SUMIFS(Service_Consumables!$L$5:$L$856,Service_Consumables!$A$5:$A$856,$A26,Service_Consumables!$E$5:$E$856,AG$5,Service_Consumables!$H$5:$H$856,"Auto-deduct")</f>
        <v>0</v>
      </c>
      <c r="AH26" s="15" t="n">
        <f aca="false">SUMIFS(Service_Consumables!$L$5:$L$856,Service_Consumables!$A$5:$A$856,$A26,Service_Consumables!$E$5:$E$856,AH$5,Service_Consumables!$H$5:$H$856,"Auto-deduct")</f>
        <v>0</v>
      </c>
      <c r="AI26" s="15" t="n">
        <f aca="false">SUMIFS(Service_Consumables!$L$5:$L$856,Service_Consumables!$A$5:$A$856,$A26,Service_Consumables!$E$5:$E$856,AI$5,Service_Consumables!$H$5:$H$856,"Auto-deduct")</f>
        <v>0</v>
      </c>
      <c r="AJ26" s="15" t="n">
        <f aca="false">SUMIFS(Service_Consumables!$L$5:$L$856,Service_Consumables!$A$5:$A$856,$A26,Service_Consumables!$E$5:$E$856,AJ$5,Service_Consumables!$H$5:$H$856,"Auto-deduct")</f>
        <v>0</v>
      </c>
      <c r="AK26" s="15" t="n">
        <f aca="false">SUMIFS(Service_Consumables!$L$5:$L$856,Service_Consumables!$A$5:$A$856,$A26,Service_Consumables!$E$5:$E$856,AK$5,Service_Consumables!$H$5:$H$856,"Auto-deduct")</f>
        <v>0</v>
      </c>
      <c r="AL26" s="15" t="n">
        <f aca="false">SUMIFS(Service_Consumables!$L$5:$L$856,Service_Consumables!$A$5:$A$856,$A26,Service_Consumables!$E$5:$E$856,AL$5,Service_Consumables!$H$5:$H$856,"Auto-deduct")</f>
        <v>0</v>
      </c>
      <c r="AM26" s="15" t="n">
        <f aca="false">SUMIFS(Service_Consumables!$L$5:$L$856,Service_Consumables!$A$5:$A$856,$A26,Service_Consumables!$E$5:$E$856,AM$5,Service_Consumables!$H$5:$H$856,"Auto-deduct")</f>
        <v>0</v>
      </c>
      <c r="AN26" s="15" t="n">
        <f aca="false">SUMIFS(Service_Consumables!$L$5:$L$856,Service_Consumables!$A$5:$A$856,$A26,Service_Consumables!$E$5:$E$856,AN$5,Service_Consumables!$H$5:$H$856,"Auto-deduct")</f>
        <v>0</v>
      </c>
      <c r="AO26" s="15" t="n">
        <f aca="false">SUMIFS(Service_Consumables!$L$5:$L$856,Service_Consumables!$A$5:$A$856,$A26,Service_Consumables!$E$5:$E$856,AO$5,Service_Consumables!$H$5:$H$856,"Auto-deduct")</f>
        <v>0</v>
      </c>
      <c r="AP26" s="15" t="n">
        <f aca="false">SUMIFS(Service_Consumables!$L$5:$L$856,Service_Consumables!$A$5:$A$856,$A26,Service_Consumables!$E$5:$E$856,AP$5,Service_Consumables!$H$5:$H$856,"Auto-deduct")</f>
        <v>0</v>
      </c>
      <c r="AQ26" s="15" t="n">
        <f aca="false">SUMIFS(Service_Consumables!$L$5:$L$856,Service_Consumables!$A$5:$A$856,$A26,Service_Consumables!$E$5:$E$856,AQ$5,Service_Consumables!$H$5:$H$856,"Auto-deduct")</f>
        <v>0</v>
      </c>
      <c r="AR26" s="15" t="n">
        <f aca="false">SUMIFS(Service_Consumables!$L$5:$L$856,Service_Consumables!$A$5:$A$856,$A26,Service_Consumables!$E$5:$E$856,AR$5,Service_Consumables!$H$5:$H$856,"Auto-deduct")</f>
        <v>0</v>
      </c>
      <c r="AS26" s="15" t="n">
        <f aca="false">SUMIFS(Service_Consumables!$L$5:$L$856,Service_Consumables!$A$5:$A$856,$A26,Service_Consumables!$E$5:$E$856,AS$5,Service_Consumables!$H$5:$H$856,"Auto-deduct")</f>
        <v>0</v>
      </c>
      <c r="AT26" s="15" t="n">
        <f aca="false">SUMIFS(Service_Consumables!$L$5:$L$856,Service_Consumables!$A$5:$A$856,$A26,Service_Consumables!$E$5:$E$856,AT$5,Service_Consumables!$H$5:$H$856,"Auto-deduct")</f>
        <v>0</v>
      </c>
      <c r="AU26" s="15" t="n">
        <f aca="false">SUMIFS(Service_Consumables!$L$5:$L$856,Service_Consumables!$A$5:$A$856,$A26,Service_Consumables!$E$5:$E$856,AU$5,Service_Consumables!$H$5:$H$856,"Auto-deduct")</f>
        <v>0</v>
      </c>
      <c r="AV26" s="15" t="n">
        <f aca="false">SUMIFS(Service_Consumables!$L$5:$L$856,Service_Consumables!$A$5:$A$856,$A26,Service_Consumables!$E$5:$E$856,AV$5,Service_Consumables!$H$5:$H$856,"Auto-deduct")</f>
        <v>0</v>
      </c>
      <c r="AW26" s="15" t="n">
        <f aca="false">SUMIFS(Service_Consumables!$L$5:$L$856,Service_Consumables!$A$5:$A$856,$A26,Service_Consumables!$E$5:$E$856,AW$5,Service_Consumables!$H$5:$H$856,"Auto-deduct")</f>
        <v>0</v>
      </c>
      <c r="AX26" s="15" t="n">
        <f aca="false">SUMIFS(Service_Consumables!$L$5:$L$856,Service_Consumables!$A$5:$A$856,$A26,Service_Consumables!$E$5:$E$856,AX$5,Service_Consumables!$H$5:$H$856,"Auto-deduct")</f>
        <v>0</v>
      </c>
      <c r="AY26" s="15" t="n">
        <f aca="false">SUMIFS(Service_Consumables!$L$5:$L$856,Service_Consumables!$A$5:$A$856,$A26,Service_Consumables!$E$5:$E$856,AY$5,Service_Consumables!$H$5:$H$856,"Auto-deduct")</f>
        <v>0</v>
      </c>
      <c r="AZ26" s="15" t="n">
        <f aca="false">SUMIFS(Service_Consumables!$L$5:$L$856,Service_Consumables!$A$5:$A$856,$A26,Service_Consumables!$E$5:$E$856,AZ$5,Service_Consumables!$H$5:$H$856,"Auto-deduct")</f>
        <v>0</v>
      </c>
      <c r="BA26" s="15" t="n">
        <f aca="false">SUMIFS(Service_Consumables!$L$5:$L$856,Service_Consumables!$A$5:$A$856,$A26,Service_Consumables!$E$5:$E$856,BA$5,Service_Consumables!$H$5:$H$856,"Auto-deduct")</f>
        <v>0</v>
      </c>
      <c r="BB26" s="15" t="n">
        <f aca="false">SUMIFS(Service_Consumables!$L$5:$L$856,Service_Consumables!$A$5:$A$856,$A26,Service_Consumables!$E$5:$E$856,BB$5,Service_Consumables!$H$5:$H$856,"Auto-deduct")</f>
        <v>0</v>
      </c>
      <c r="BC26" s="15" t="n">
        <f aca="false">SUMIFS(Service_Consumables!$L$5:$L$856,Service_Consumables!$A$5:$A$856,$A26,Service_Consumables!$E$5:$E$856,BC$5,Service_Consumables!$H$5:$H$856,"Auto-deduct")</f>
        <v>0</v>
      </c>
      <c r="BD26" s="15" t="n">
        <f aca="false">SUMIFS(Service_Consumables!$L$5:$L$856,Service_Consumables!$A$5:$A$856,$A26,Service_Consumables!$E$5:$E$856,BD$5,Service_Consumables!$H$5:$H$856,"Auto-deduct")</f>
        <v>0</v>
      </c>
      <c r="BE26" s="15" t="n">
        <f aca="false">SUMIFS(Service_Consumables!$L$5:$L$856,Service_Consumables!$A$5:$A$856,$A26,Service_Consumables!$E$5:$E$856,BE$5,Service_Consumables!$H$5:$H$856,"Auto-deduct")</f>
        <v>0</v>
      </c>
      <c r="BF26" s="15" t="n">
        <f aca="false">SUMIFS(Service_Consumables!$L$5:$L$856,Service_Consumables!$A$5:$A$856,$A26,Service_Consumables!$E$5:$E$856,BF$5,Service_Consumables!$H$5:$H$856,"Auto-deduct")</f>
        <v>0</v>
      </c>
      <c r="BG26" s="15" t="n">
        <f aca="false">SUMIFS(Service_Consumables!$L$5:$L$856,Service_Consumables!$A$5:$A$856,$A26,Service_Consumables!$E$5:$E$856,BG$5,Service_Consumables!$H$5:$H$856,"Auto-deduct")</f>
        <v>0</v>
      </c>
      <c r="BH26" s="15" t="n">
        <f aca="false">SUMIFS(Service_Consumables!$L$5:$L$856,Service_Consumables!$A$5:$A$856,$A26,Service_Consumables!$E$5:$E$856,BH$5,Service_Consumables!$H$5:$H$856,"Auto-deduct")</f>
        <v>0</v>
      </c>
      <c r="BI26" s="15" t="n">
        <f aca="false">SUMIFS(Service_Consumables!$L$5:$L$856,Service_Consumables!$A$5:$A$856,$A26,Service_Consumables!$E$5:$E$856,BI$5,Service_Consumables!$H$5:$H$856,"Auto-deduct")</f>
        <v>0</v>
      </c>
    </row>
    <row r="27" customFormat="false" ht="15" hidden="false" customHeight="false" outlineLevel="0" collapsed="false">
      <c r="A27" s="14" t="n">
        <f aca="false">Services!A26</f>
        <v>22</v>
      </c>
      <c r="B27" s="14" t="str">
        <f aca="false">Services!B26</f>
        <v>Paraffin Therapy</v>
      </c>
      <c r="C27" s="14" t="str">
        <f aca="false">Services!C26</f>
        <v>Foot</v>
      </c>
      <c r="D27" s="15" t="n">
        <f aca="false">SUMIFS(Service_Consumables!$L$5:$L$856,Service_Consumables!$A$5:$A$856,$A27,Service_Consumables!$E$5:$E$856,D$5,Service_Consumables!$H$5:$H$856,"Auto-deduct")</f>
        <v>0</v>
      </c>
      <c r="E27" s="15" t="n">
        <f aca="false">SUMIFS(Service_Consumables!$L$5:$L$856,Service_Consumables!$A$5:$A$856,$A27,Service_Consumables!$E$5:$E$856,E$5,Service_Consumables!$H$5:$H$856,"Auto-deduct")</f>
        <v>0</v>
      </c>
      <c r="F27" s="15" t="n">
        <f aca="false">SUMIFS(Service_Consumables!$L$5:$L$856,Service_Consumables!$A$5:$A$856,$A27,Service_Consumables!$E$5:$E$856,F$5,Service_Consumables!$H$5:$H$856,"Auto-deduct")</f>
        <v>0</v>
      </c>
      <c r="G27" s="15" t="n">
        <f aca="false">SUMIFS(Service_Consumables!$L$5:$L$856,Service_Consumables!$A$5:$A$856,$A27,Service_Consumables!$E$5:$E$856,G$5,Service_Consumables!$H$5:$H$856,"Auto-deduct")</f>
        <v>0</v>
      </c>
      <c r="H27" s="15" t="n">
        <f aca="false">SUMIFS(Service_Consumables!$L$5:$L$856,Service_Consumables!$A$5:$A$856,$A27,Service_Consumables!$E$5:$E$856,H$5,Service_Consumables!$H$5:$H$856,"Auto-deduct")</f>
        <v>0</v>
      </c>
      <c r="I27" s="15" t="n">
        <f aca="false">SUMIFS(Service_Consumables!$L$5:$L$856,Service_Consumables!$A$5:$A$856,$A27,Service_Consumables!$E$5:$E$856,I$5,Service_Consumables!$H$5:$H$856,"Auto-deduct")</f>
        <v>0</v>
      </c>
      <c r="J27" s="15" t="n">
        <f aca="false">SUMIFS(Service_Consumables!$L$5:$L$856,Service_Consumables!$A$5:$A$856,$A27,Service_Consumables!$E$5:$E$856,J$5,Service_Consumables!$H$5:$H$856,"Auto-deduct")</f>
        <v>0</v>
      </c>
      <c r="K27" s="15" t="n">
        <f aca="false">SUMIFS(Service_Consumables!$L$5:$L$856,Service_Consumables!$A$5:$A$856,$A27,Service_Consumables!$E$5:$E$856,K$5,Service_Consumables!$H$5:$H$856,"Auto-deduct")</f>
        <v>0</v>
      </c>
      <c r="L27" s="15" t="n">
        <f aca="false">SUMIFS(Service_Consumables!$L$5:$L$856,Service_Consumables!$A$5:$A$856,$A27,Service_Consumables!$E$5:$E$856,L$5,Service_Consumables!$H$5:$H$856,"Auto-deduct")</f>
        <v>0</v>
      </c>
      <c r="M27" s="15" t="n">
        <f aca="false">SUMIFS(Service_Consumables!$L$5:$L$856,Service_Consumables!$A$5:$A$856,$A27,Service_Consumables!$E$5:$E$856,M$5,Service_Consumables!$H$5:$H$856,"Auto-deduct")</f>
        <v>0</v>
      </c>
      <c r="N27" s="15" t="n">
        <f aca="false">SUMIFS(Service_Consumables!$L$5:$L$856,Service_Consumables!$A$5:$A$856,$A27,Service_Consumables!$E$5:$E$856,N$5,Service_Consumables!$H$5:$H$856,"Auto-deduct")</f>
        <v>0</v>
      </c>
      <c r="O27" s="15" t="n">
        <f aca="false">SUMIFS(Service_Consumables!$L$5:$L$856,Service_Consumables!$A$5:$A$856,$A27,Service_Consumables!$E$5:$E$856,O$5,Service_Consumables!$H$5:$H$856,"Auto-deduct")</f>
        <v>0</v>
      </c>
      <c r="P27" s="15" t="n">
        <f aca="false">SUMIFS(Service_Consumables!$L$5:$L$856,Service_Consumables!$A$5:$A$856,$A27,Service_Consumables!$E$5:$E$856,P$5,Service_Consumables!$H$5:$H$856,"Auto-deduct")</f>
        <v>1</v>
      </c>
      <c r="Q27" s="15" t="n">
        <f aca="false">SUMIFS(Service_Consumables!$L$5:$L$856,Service_Consumables!$A$5:$A$856,$A27,Service_Consumables!$E$5:$E$856,Q$5,Service_Consumables!$H$5:$H$856,"Auto-deduct")</f>
        <v>1</v>
      </c>
      <c r="R27" s="15" t="n">
        <f aca="false">SUMIFS(Service_Consumables!$L$5:$L$856,Service_Consumables!$A$5:$A$856,$A27,Service_Consumables!$E$5:$E$856,R$5,Service_Consumables!$H$5:$H$856,"Auto-deduct")</f>
        <v>0</v>
      </c>
      <c r="S27" s="15" t="n">
        <f aca="false">SUMIFS(Service_Consumables!$L$5:$L$856,Service_Consumables!$A$5:$A$856,$A27,Service_Consumables!$E$5:$E$856,S$5,Service_Consumables!$H$5:$H$856,"Auto-deduct")</f>
        <v>4</v>
      </c>
      <c r="T27" s="15" t="n">
        <f aca="false">SUMIFS(Service_Consumables!$L$5:$L$856,Service_Consumables!$A$5:$A$856,$A27,Service_Consumables!$E$5:$E$856,T$5,Service_Consumables!$H$5:$H$856,"Auto-deduct")</f>
        <v>0</v>
      </c>
      <c r="U27" s="15" t="n">
        <f aca="false">SUMIFS(Service_Consumables!$L$5:$L$856,Service_Consumables!$A$5:$A$856,$A27,Service_Consumables!$E$5:$E$856,U$5,Service_Consumables!$H$5:$H$856,"Auto-deduct")</f>
        <v>0</v>
      </c>
      <c r="V27" s="15" t="n">
        <f aca="false">SUMIFS(Service_Consumables!$L$5:$L$856,Service_Consumables!$A$5:$A$856,$A27,Service_Consumables!$E$5:$E$856,V$5,Service_Consumables!$H$5:$H$856,"Auto-deduct")</f>
        <v>0</v>
      </c>
      <c r="W27" s="15" t="n">
        <f aca="false">SUMIFS(Service_Consumables!$L$5:$L$856,Service_Consumables!$A$5:$A$856,$A27,Service_Consumables!$E$5:$E$856,W$5,Service_Consumables!$H$5:$H$856,"Auto-deduct")</f>
        <v>0</v>
      </c>
      <c r="X27" s="15" t="n">
        <f aca="false">SUMIFS(Service_Consumables!$L$5:$L$856,Service_Consumables!$A$5:$A$856,$A27,Service_Consumables!$E$5:$E$856,X$5,Service_Consumables!$H$5:$H$856,"Auto-deduct")</f>
        <v>0</v>
      </c>
      <c r="Y27" s="15" t="n">
        <f aca="false">SUMIFS(Service_Consumables!$L$5:$L$856,Service_Consumables!$A$5:$A$856,$A27,Service_Consumables!$E$5:$E$856,Y$5,Service_Consumables!$H$5:$H$856,"Auto-deduct")</f>
        <v>0</v>
      </c>
      <c r="Z27" s="15" t="n">
        <f aca="false">SUMIFS(Service_Consumables!$L$5:$L$856,Service_Consumables!$A$5:$A$856,$A27,Service_Consumables!$E$5:$E$856,Z$5,Service_Consumables!$H$5:$H$856,"Auto-deduct")</f>
        <v>60</v>
      </c>
      <c r="AA27" s="15" t="n">
        <f aca="false">SUMIFS(Service_Consumables!$L$5:$L$856,Service_Consumables!$A$5:$A$856,$A27,Service_Consumables!$E$5:$E$856,AA$5,Service_Consumables!$H$5:$H$856,"Auto-deduct")</f>
        <v>0</v>
      </c>
      <c r="AB27" s="15" t="n">
        <f aca="false">SUMIFS(Service_Consumables!$L$5:$L$856,Service_Consumables!$A$5:$A$856,$A27,Service_Consumables!$E$5:$E$856,AB$5,Service_Consumables!$H$5:$H$856,"Auto-deduct")</f>
        <v>0</v>
      </c>
      <c r="AC27" s="15" t="n">
        <f aca="false">SUMIFS(Service_Consumables!$L$5:$L$856,Service_Consumables!$A$5:$A$856,$A27,Service_Consumables!$E$5:$E$856,AC$5,Service_Consumables!$H$5:$H$856,"Auto-deduct")</f>
        <v>2</v>
      </c>
      <c r="AD27" s="15" t="n">
        <f aca="false">SUMIFS(Service_Consumables!$L$5:$L$856,Service_Consumables!$A$5:$A$856,$A27,Service_Consumables!$E$5:$E$856,AD$5,Service_Consumables!$H$5:$H$856,"Auto-deduct")</f>
        <v>5</v>
      </c>
      <c r="AE27" s="15" t="n">
        <f aca="false">SUMIFS(Service_Consumables!$L$5:$L$856,Service_Consumables!$A$5:$A$856,$A27,Service_Consumables!$E$5:$E$856,AE$5,Service_Consumables!$H$5:$H$856,"Auto-deduct")</f>
        <v>0</v>
      </c>
      <c r="AF27" s="15" t="n">
        <f aca="false">SUMIFS(Service_Consumables!$L$5:$L$856,Service_Consumables!$A$5:$A$856,$A27,Service_Consumables!$E$5:$E$856,AF$5,Service_Consumables!$H$5:$H$856,"Auto-deduct")</f>
        <v>0</v>
      </c>
      <c r="AG27" s="15" t="n">
        <f aca="false">SUMIFS(Service_Consumables!$L$5:$L$856,Service_Consumables!$A$5:$A$856,$A27,Service_Consumables!$E$5:$E$856,AG$5,Service_Consumables!$H$5:$H$856,"Auto-deduct")</f>
        <v>0</v>
      </c>
      <c r="AH27" s="15" t="n">
        <f aca="false">SUMIFS(Service_Consumables!$L$5:$L$856,Service_Consumables!$A$5:$A$856,$A27,Service_Consumables!$E$5:$E$856,AH$5,Service_Consumables!$H$5:$H$856,"Auto-deduct")</f>
        <v>0</v>
      </c>
      <c r="AI27" s="15" t="n">
        <f aca="false">SUMIFS(Service_Consumables!$L$5:$L$856,Service_Consumables!$A$5:$A$856,$A27,Service_Consumables!$E$5:$E$856,AI$5,Service_Consumables!$H$5:$H$856,"Auto-deduct")</f>
        <v>0</v>
      </c>
      <c r="AJ27" s="15" t="n">
        <f aca="false">SUMIFS(Service_Consumables!$L$5:$L$856,Service_Consumables!$A$5:$A$856,$A27,Service_Consumables!$E$5:$E$856,AJ$5,Service_Consumables!$H$5:$H$856,"Auto-deduct")</f>
        <v>0</v>
      </c>
      <c r="AK27" s="15" t="n">
        <f aca="false">SUMIFS(Service_Consumables!$L$5:$L$856,Service_Consumables!$A$5:$A$856,$A27,Service_Consumables!$E$5:$E$856,AK$5,Service_Consumables!$H$5:$H$856,"Auto-deduct")</f>
        <v>0</v>
      </c>
      <c r="AL27" s="15" t="n">
        <f aca="false">SUMIFS(Service_Consumables!$L$5:$L$856,Service_Consumables!$A$5:$A$856,$A27,Service_Consumables!$E$5:$E$856,AL$5,Service_Consumables!$H$5:$H$856,"Auto-deduct")</f>
        <v>0</v>
      </c>
      <c r="AM27" s="15" t="n">
        <f aca="false">SUMIFS(Service_Consumables!$L$5:$L$856,Service_Consumables!$A$5:$A$856,$A27,Service_Consumables!$E$5:$E$856,AM$5,Service_Consumables!$H$5:$H$856,"Auto-deduct")</f>
        <v>0</v>
      </c>
      <c r="AN27" s="15" t="n">
        <f aca="false">SUMIFS(Service_Consumables!$L$5:$L$856,Service_Consumables!$A$5:$A$856,$A27,Service_Consumables!$E$5:$E$856,AN$5,Service_Consumables!$H$5:$H$856,"Auto-deduct")</f>
        <v>0</v>
      </c>
      <c r="AO27" s="15" t="n">
        <f aca="false">SUMIFS(Service_Consumables!$L$5:$L$856,Service_Consumables!$A$5:$A$856,$A27,Service_Consumables!$E$5:$E$856,AO$5,Service_Consumables!$H$5:$H$856,"Auto-deduct")</f>
        <v>0</v>
      </c>
      <c r="AP27" s="15" t="n">
        <f aca="false">SUMIFS(Service_Consumables!$L$5:$L$856,Service_Consumables!$A$5:$A$856,$A27,Service_Consumables!$E$5:$E$856,AP$5,Service_Consumables!$H$5:$H$856,"Auto-deduct")</f>
        <v>0</v>
      </c>
      <c r="AQ27" s="15" t="n">
        <f aca="false">SUMIFS(Service_Consumables!$L$5:$L$856,Service_Consumables!$A$5:$A$856,$A27,Service_Consumables!$E$5:$E$856,AQ$5,Service_Consumables!$H$5:$H$856,"Auto-deduct")</f>
        <v>0</v>
      </c>
      <c r="AR27" s="15" t="n">
        <f aca="false">SUMIFS(Service_Consumables!$L$5:$L$856,Service_Consumables!$A$5:$A$856,$A27,Service_Consumables!$E$5:$E$856,AR$5,Service_Consumables!$H$5:$H$856,"Auto-deduct")</f>
        <v>0</v>
      </c>
      <c r="AS27" s="15" t="n">
        <f aca="false">SUMIFS(Service_Consumables!$L$5:$L$856,Service_Consumables!$A$5:$A$856,$A27,Service_Consumables!$E$5:$E$856,AS$5,Service_Consumables!$H$5:$H$856,"Auto-deduct")</f>
        <v>0</v>
      </c>
      <c r="AT27" s="15" t="n">
        <f aca="false">SUMIFS(Service_Consumables!$L$5:$L$856,Service_Consumables!$A$5:$A$856,$A27,Service_Consumables!$E$5:$E$856,AT$5,Service_Consumables!$H$5:$H$856,"Auto-deduct")</f>
        <v>0</v>
      </c>
      <c r="AU27" s="15" t="n">
        <f aca="false">SUMIFS(Service_Consumables!$L$5:$L$856,Service_Consumables!$A$5:$A$856,$A27,Service_Consumables!$E$5:$E$856,AU$5,Service_Consumables!$H$5:$H$856,"Auto-deduct")</f>
        <v>0</v>
      </c>
      <c r="AV27" s="15" t="n">
        <f aca="false">SUMIFS(Service_Consumables!$L$5:$L$856,Service_Consumables!$A$5:$A$856,$A27,Service_Consumables!$E$5:$E$856,AV$5,Service_Consumables!$H$5:$H$856,"Auto-deduct")</f>
        <v>0</v>
      </c>
      <c r="AW27" s="15" t="n">
        <f aca="false">SUMIFS(Service_Consumables!$L$5:$L$856,Service_Consumables!$A$5:$A$856,$A27,Service_Consumables!$E$5:$E$856,AW$5,Service_Consumables!$H$5:$H$856,"Auto-deduct")</f>
        <v>0</v>
      </c>
      <c r="AX27" s="15" t="n">
        <f aca="false">SUMIFS(Service_Consumables!$L$5:$L$856,Service_Consumables!$A$5:$A$856,$A27,Service_Consumables!$E$5:$E$856,AX$5,Service_Consumables!$H$5:$H$856,"Auto-deduct")</f>
        <v>0</v>
      </c>
      <c r="AY27" s="15" t="n">
        <f aca="false">SUMIFS(Service_Consumables!$L$5:$L$856,Service_Consumables!$A$5:$A$856,$A27,Service_Consumables!$E$5:$E$856,AY$5,Service_Consumables!$H$5:$H$856,"Auto-deduct")</f>
        <v>0</v>
      </c>
      <c r="AZ27" s="15" t="n">
        <f aca="false">SUMIFS(Service_Consumables!$L$5:$L$856,Service_Consumables!$A$5:$A$856,$A27,Service_Consumables!$E$5:$E$856,AZ$5,Service_Consumables!$H$5:$H$856,"Auto-deduct")</f>
        <v>0</v>
      </c>
      <c r="BA27" s="15" t="n">
        <f aca="false">SUMIFS(Service_Consumables!$L$5:$L$856,Service_Consumables!$A$5:$A$856,$A27,Service_Consumables!$E$5:$E$856,BA$5,Service_Consumables!$H$5:$H$856,"Auto-deduct")</f>
        <v>0</v>
      </c>
      <c r="BB27" s="15" t="n">
        <f aca="false">SUMIFS(Service_Consumables!$L$5:$L$856,Service_Consumables!$A$5:$A$856,$A27,Service_Consumables!$E$5:$E$856,BB$5,Service_Consumables!$H$5:$H$856,"Auto-deduct")</f>
        <v>0</v>
      </c>
      <c r="BC27" s="15" t="n">
        <f aca="false">SUMIFS(Service_Consumables!$L$5:$L$856,Service_Consumables!$A$5:$A$856,$A27,Service_Consumables!$E$5:$E$856,BC$5,Service_Consumables!$H$5:$H$856,"Auto-deduct")</f>
        <v>0</v>
      </c>
      <c r="BD27" s="15" t="n">
        <f aca="false">SUMIFS(Service_Consumables!$L$5:$L$856,Service_Consumables!$A$5:$A$856,$A27,Service_Consumables!$E$5:$E$856,BD$5,Service_Consumables!$H$5:$H$856,"Auto-deduct")</f>
        <v>0</v>
      </c>
      <c r="BE27" s="15" t="n">
        <f aca="false">SUMIFS(Service_Consumables!$L$5:$L$856,Service_Consumables!$A$5:$A$856,$A27,Service_Consumables!$E$5:$E$856,BE$5,Service_Consumables!$H$5:$H$856,"Auto-deduct")</f>
        <v>0</v>
      </c>
      <c r="BF27" s="15" t="n">
        <f aca="false">SUMIFS(Service_Consumables!$L$5:$L$856,Service_Consumables!$A$5:$A$856,$A27,Service_Consumables!$E$5:$E$856,BF$5,Service_Consumables!$H$5:$H$856,"Auto-deduct")</f>
        <v>0</v>
      </c>
      <c r="BG27" s="15" t="n">
        <f aca="false">SUMIFS(Service_Consumables!$L$5:$L$856,Service_Consumables!$A$5:$A$856,$A27,Service_Consumables!$E$5:$E$856,BG$5,Service_Consumables!$H$5:$H$856,"Auto-deduct")</f>
        <v>0</v>
      </c>
      <c r="BH27" s="15" t="n">
        <f aca="false">SUMIFS(Service_Consumables!$L$5:$L$856,Service_Consumables!$A$5:$A$856,$A27,Service_Consumables!$E$5:$E$856,BH$5,Service_Consumables!$H$5:$H$856,"Auto-deduct")</f>
        <v>0</v>
      </c>
      <c r="BI27" s="15" t="n">
        <f aca="false">SUMIFS(Service_Consumables!$L$5:$L$856,Service_Consumables!$A$5:$A$856,$A27,Service_Consumables!$E$5:$E$856,BI$5,Service_Consumables!$H$5:$H$856,"Auto-deduct")</f>
        <v>0</v>
      </c>
    </row>
    <row r="28" customFormat="false" ht="15" hidden="false" customHeight="false" outlineLevel="0" collapsed="false">
      <c r="A28" s="14" t="n">
        <f aca="false">Services!A27</f>
        <v>23</v>
      </c>
      <c r="B28" s="14" t="str">
        <f aca="false">Services!B27</f>
        <v>Paraffin Therapy</v>
      </c>
      <c r="C28" s="14" t="str">
        <f aca="false">Services!C27</f>
        <v>Hand &amp; Foot</v>
      </c>
      <c r="D28" s="15" t="n">
        <f aca="false">SUMIFS(Service_Consumables!$L$5:$L$856,Service_Consumables!$A$5:$A$856,$A28,Service_Consumables!$E$5:$E$856,D$5,Service_Consumables!$H$5:$H$856,"Auto-deduct")</f>
        <v>0</v>
      </c>
      <c r="E28" s="15" t="n">
        <f aca="false">SUMIFS(Service_Consumables!$L$5:$L$856,Service_Consumables!$A$5:$A$856,$A28,Service_Consumables!$E$5:$E$856,E$5,Service_Consumables!$H$5:$H$856,"Auto-deduct")</f>
        <v>0</v>
      </c>
      <c r="F28" s="15" t="n">
        <f aca="false">SUMIFS(Service_Consumables!$L$5:$L$856,Service_Consumables!$A$5:$A$856,$A28,Service_Consumables!$E$5:$E$856,F$5,Service_Consumables!$H$5:$H$856,"Auto-deduct")</f>
        <v>0</v>
      </c>
      <c r="G28" s="15" t="n">
        <f aca="false">SUMIFS(Service_Consumables!$L$5:$L$856,Service_Consumables!$A$5:$A$856,$A28,Service_Consumables!$E$5:$E$856,G$5,Service_Consumables!$H$5:$H$856,"Auto-deduct")</f>
        <v>0</v>
      </c>
      <c r="H28" s="15" t="n">
        <f aca="false">SUMIFS(Service_Consumables!$L$5:$L$856,Service_Consumables!$A$5:$A$856,$A28,Service_Consumables!$E$5:$E$856,H$5,Service_Consumables!$H$5:$H$856,"Auto-deduct")</f>
        <v>0</v>
      </c>
      <c r="I28" s="15" t="n">
        <f aca="false">SUMIFS(Service_Consumables!$L$5:$L$856,Service_Consumables!$A$5:$A$856,$A28,Service_Consumables!$E$5:$E$856,I$5,Service_Consumables!$H$5:$H$856,"Auto-deduct")</f>
        <v>0</v>
      </c>
      <c r="J28" s="15" t="n">
        <f aca="false">SUMIFS(Service_Consumables!$L$5:$L$856,Service_Consumables!$A$5:$A$856,$A28,Service_Consumables!$E$5:$E$856,J$5,Service_Consumables!$H$5:$H$856,"Auto-deduct")</f>
        <v>0</v>
      </c>
      <c r="K28" s="15" t="n">
        <f aca="false">SUMIFS(Service_Consumables!$L$5:$L$856,Service_Consumables!$A$5:$A$856,$A28,Service_Consumables!$E$5:$E$856,K$5,Service_Consumables!$H$5:$H$856,"Auto-deduct")</f>
        <v>0</v>
      </c>
      <c r="L28" s="15" t="n">
        <f aca="false">SUMIFS(Service_Consumables!$L$5:$L$856,Service_Consumables!$A$5:$A$856,$A28,Service_Consumables!$E$5:$E$856,L$5,Service_Consumables!$H$5:$H$856,"Auto-deduct")</f>
        <v>0</v>
      </c>
      <c r="M28" s="15" t="n">
        <f aca="false">SUMIFS(Service_Consumables!$L$5:$L$856,Service_Consumables!$A$5:$A$856,$A28,Service_Consumables!$E$5:$E$856,M$5,Service_Consumables!$H$5:$H$856,"Auto-deduct")</f>
        <v>0</v>
      </c>
      <c r="N28" s="15" t="n">
        <f aca="false">SUMIFS(Service_Consumables!$L$5:$L$856,Service_Consumables!$A$5:$A$856,$A28,Service_Consumables!$E$5:$E$856,N$5,Service_Consumables!$H$5:$H$856,"Auto-deduct")</f>
        <v>0</v>
      </c>
      <c r="O28" s="15" t="n">
        <f aca="false">SUMIFS(Service_Consumables!$L$5:$L$856,Service_Consumables!$A$5:$A$856,$A28,Service_Consumables!$E$5:$E$856,O$5,Service_Consumables!$H$5:$H$856,"Auto-deduct")</f>
        <v>0</v>
      </c>
      <c r="P28" s="15" t="n">
        <f aca="false">SUMIFS(Service_Consumables!$L$5:$L$856,Service_Consumables!$A$5:$A$856,$A28,Service_Consumables!$E$5:$E$856,P$5,Service_Consumables!$H$5:$H$856,"Auto-deduct")</f>
        <v>1</v>
      </c>
      <c r="Q28" s="15" t="n">
        <f aca="false">SUMIFS(Service_Consumables!$L$5:$L$856,Service_Consumables!$A$5:$A$856,$A28,Service_Consumables!$E$5:$E$856,Q$5,Service_Consumables!$H$5:$H$856,"Auto-deduct")</f>
        <v>1</v>
      </c>
      <c r="R28" s="15" t="n">
        <f aca="false">SUMIFS(Service_Consumables!$L$5:$L$856,Service_Consumables!$A$5:$A$856,$A28,Service_Consumables!$E$5:$E$856,R$5,Service_Consumables!$H$5:$H$856,"Auto-deduct")</f>
        <v>0</v>
      </c>
      <c r="S28" s="15" t="n">
        <f aca="false">SUMIFS(Service_Consumables!$L$5:$L$856,Service_Consumables!$A$5:$A$856,$A28,Service_Consumables!$E$5:$E$856,S$5,Service_Consumables!$H$5:$H$856,"Auto-deduct")</f>
        <v>4</v>
      </c>
      <c r="T28" s="15" t="n">
        <f aca="false">SUMIFS(Service_Consumables!$L$5:$L$856,Service_Consumables!$A$5:$A$856,$A28,Service_Consumables!$E$5:$E$856,T$5,Service_Consumables!$H$5:$H$856,"Auto-deduct")</f>
        <v>0</v>
      </c>
      <c r="U28" s="15" t="n">
        <f aca="false">SUMIFS(Service_Consumables!$L$5:$L$856,Service_Consumables!$A$5:$A$856,$A28,Service_Consumables!$E$5:$E$856,U$5,Service_Consumables!$H$5:$H$856,"Auto-deduct")</f>
        <v>0</v>
      </c>
      <c r="V28" s="15" t="n">
        <f aca="false">SUMIFS(Service_Consumables!$L$5:$L$856,Service_Consumables!$A$5:$A$856,$A28,Service_Consumables!$E$5:$E$856,V$5,Service_Consumables!$H$5:$H$856,"Auto-deduct")</f>
        <v>0</v>
      </c>
      <c r="W28" s="15" t="n">
        <f aca="false">SUMIFS(Service_Consumables!$L$5:$L$856,Service_Consumables!$A$5:$A$856,$A28,Service_Consumables!$E$5:$E$856,W$5,Service_Consumables!$H$5:$H$856,"Auto-deduct")</f>
        <v>0</v>
      </c>
      <c r="X28" s="15" t="n">
        <f aca="false">SUMIFS(Service_Consumables!$L$5:$L$856,Service_Consumables!$A$5:$A$856,$A28,Service_Consumables!$E$5:$E$856,X$5,Service_Consumables!$H$5:$H$856,"Auto-deduct")</f>
        <v>0</v>
      </c>
      <c r="Y28" s="15" t="n">
        <f aca="false">SUMIFS(Service_Consumables!$L$5:$L$856,Service_Consumables!$A$5:$A$856,$A28,Service_Consumables!$E$5:$E$856,Y$5,Service_Consumables!$H$5:$H$856,"Auto-deduct")</f>
        <v>0</v>
      </c>
      <c r="Z28" s="15" t="n">
        <f aca="false">SUMIFS(Service_Consumables!$L$5:$L$856,Service_Consumables!$A$5:$A$856,$A28,Service_Consumables!$E$5:$E$856,Z$5,Service_Consumables!$H$5:$H$856,"Auto-deduct")</f>
        <v>120</v>
      </c>
      <c r="AA28" s="15" t="n">
        <f aca="false">SUMIFS(Service_Consumables!$L$5:$L$856,Service_Consumables!$A$5:$A$856,$A28,Service_Consumables!$E$5:$E$856,AA$5,Service_Consumables!$H$5:$H$856,"Auto-deduct")</f>
        <v>0</v>
      </c>
      <c r="AB28" s="15" t="n">
        <f aca="false">SUMIFS(Service_Consumables!$L$5:$L$856,Service_Consumables!$A$5:$A$856,$A28,Service_Consumables!$E$5:$E$856,AB$5,Service_Consumables!$H$5:$H$856,"Auto-deduct")</f>
        <v>0</v>
      </c>
      <c r="AC28" s="15" t="n">
        <f aca="false">SUMIFS(Service_Consumables!$L$5:$L$856,Service_Consumables!$A$5:$A$856,$A28,Service_Consumables!$E$5:$E$856,AC$5,Service_Consumables!$H$5:$H$856,"Auto-deduct")</f>
        <v>2</v>
      </c>
      <c r="AD28" s="15" t="n">
        <f aca="false">SUMIFS(Service_Consumables!$L$5:$L$856,Service_Consumables!$A$5:$A$856,$A28,Service_Consumables!$E$5:$E$856,AD$5,Service_Consumables!$H$5:$H$856,"Auto-deduct")</f>
        <v>5</v>
      </c>
      <c r="AE28" s="15" t="n">
        <f aca="false">SUMIFS(Service_Consumables!$L$5:$L$856,Service_Consumables!$A$5:$A$856,$A28,Service_Consumables!$E$5:$E$856,AE$5,Service_Consumables!$H$5:$H$856,"Auto-deduct")</f>
        <v>0</v>
      </c>
      <c r="AF28" s="15" t="n">
        <f aca="false">SUMIFS(Service_Consumables!$L$5:$L$856,Service_Consumables!$A$5:$A$856,$A28,Service_Consumables!$E$5:$E$856,AF$5,Service_Consumables!$H$5:$H$856,"Auto-deduct")</f>
        <v>0</v>
      </c>
      <c r="AG28" s="15" t="n">
        <f aca="false">SUMIFS(Service_Consumables!$L$5:$L$856,Service_Consumables!$A$5:$A$856,$A28,Service_Consumables!$E$5:$E$856,AG$5,Service_Consumables!$H$5:$H$856,"Auto-deduct")</f>
        <v>0</v>
      </c>
      <c r="AH28" s="15" t="n">
        <f aca="false">SUMIFS(Service_Consumables!$L$5:$L$856,Service_Consumables!$A$5:$A$856,$A28,Service_Consumables!$E$5:$E$856,AH$5,Service_Consumables!$H$5:$H$856,"Auto-deduct")</f>
        <v>0</v>
      </c>
      <c r="AI28" s="15" t="n">
        <f aca="false">SUMIFS(Service_Consumables!$L$5:$L$856,Service_Consumables!$A$5:$A$856,$A28,Service_Consumables!$E$5:$E$856,AI$5,Service_Consumables!$H$5:$H$856,"Auto-deduct")</f>
        <v>0</v>
      </c>
      <c r="AJ28" s="15" t="n">
        <f aca="false">SUMIFS(Service_Consumables!$L$5:$L$856,Service_Consumables!$A$5:$A$856,$A28,Service_Consumables!$E$5:$E$856,AJ$5,Service_Consumables!$H$5:$H$856,"Auto-deduct")</f>
        <v>0</v>
      </c>
      <c r="AK28" s="15" t="n">
        <f aca="false">SUMIFS(Service_Consumables!$L$5:$L$856,Service_Consumables!$A$5:$A$856,$A28,Service_Consumables!$E$5:$E$856,AK$5,Service_Consumables!$H$5:$H$856,"Auto-deduct")</f>
        <v>0</v>
      </c>
      <c r="AL28" s="15" t="n">
        <f aca="false">SUMIFS(Service_Consumables!$L$5:$L$856,Service_Consumables!$A$5:$A$856,$A28,Service_Consumables!$E$5:$E$856,AL$5,Service_Consumables!$H$5:$H$856,"Auto-deduct")</f>
        <v>0</v>
      </c>
      <c r="AM28" s="15" t="n">
        <f aca="false">SUMIFS(Service_Consumables!$L$5:$L$856,Service_Consumables!$A$5:$A$856,$A28,Service_Consumables!$E$5:$E$856,AM$5,Service_Consumables!$H$5:$H$856,"Auto-deduct")</f>
        <v>0</v>
      </c>
      <c r="AN28" s="15" t="n">
        <f aca="false">SUMIFS(Service_Consumables!$L$5:$L$856,Service_Consumables!$A$5:$A$856,$A28,Service_Consumables!$E$5:$E$856,AN$5,Service_Consumables!$H$5:$H$856,"Auto-deduct")</f>
        <v>0</v>
      </c>
      <c r="AO28" s="15" t="n">
        <f aca="false">SUMIFS(Service_Consumables!$L$5:$L$856,Service_Consumables!$A$5:$A$856,$A28,Service_Consumables!$E$5:$E$856,AO$5,Service_Consumables!$H$5:$H$856,"Auto-deduct")</f>
        <v>0</v>
      </c>
      <c r="AP28" s="15" t="n">
        <f aca="false">SUMIFS(Service_Consumables!$L$5:$L$856,Service_Consumables!$A$5:$A$856,$A28,Service_Consumables!$E$5:$E$856,AP$5,Service_Consumables!$H$5:$H$856,"Auto-deduct")</f>
        <v>0</v>
      </c>
      <c r="AQ28" s="15" t="n">
        <f aca="false">SUMIFS(Service_Consumables!$L$5:$L$856,Service_Consumables!$A$5:$A$856,$A28,Service_Consumables!$E$5:$E$856,AQ$5,Service_Consumables!$H$5:$H$856,"Auto-deduct")</f>
        <v>0</v>
      </c>
      <c r="AR28" s="15" t="n">
        <f aca="false">SUMIFS(Service_Consumables!$L$5:$L$856,Service_Consumables!$A$5:$A$856,$A28,Service_Consumables!$E$5:$E$856,AR$5,Service_Consumables!$H$5:$H$856,"Auto-deduct")</f>
        <v>0</v>
      </c>
      <c r="AS28" s="15" t="n">
        <f aca="false">SUMIFS(Service_Consumables!$L$5:$L$856,Service_Consumables!$A$5:$A$856,$A28,Service_Consumables!$E$5:$E$856,AS$5,Service_Consumables!$H$5:$H$856,"Auto-deduct")</f>
        <v>0</v>
      </c>
      <c r="AT28" s="15" t="n">
        <f aca="false">SUMIFS(Service_Consumables!$L$5:$L$856,Service_Consumables!$A$5:$A$856,$A28,Service_Consumables!$E$5:$E$856,AT$5,Service_Consumables!$H$5:$H$856,"Auto-deduct")</f>
        <v>0</v>
      </c>
      <c r="AU28" s="15" t="n">
        <f aca="false">SUMIFS(Service_Consumables!$L$5:$L$856,Service_Consumables!$A$5:$A$856,$A28,Service_Consumables!$E$5:$E$856,AU$5,Service_Consumables!$H$5:$H$856,"Auto-deduct")</f>
        <v>0</v>
      </c>
      <c r="AV28" s="15" t="n">
        <f aca="false">SUMIFS(Service_Consumables!$L$5:$L$856,Service_Consumables!$A$5:$A$856,$A28,Service_Consumables!$E$5:$E$856,AV$5,Service_Consumables!$H$5:$H$856,"Auto-deduct")</f>
        <v>0</v>
      </c>
      <c r="AW28" s="15" t="n">
        <f aca="false">SUMIFS(Service_Consumables!$L$5:$L$856,Service_Consumables!$A$5:$A$856,$A28,Service_Consumables!$E$5:$E$856,AW$5,Service_Consumables!$H$5:$H$856,"Auto-deduct")</f>
        <v>0</v>
      </c>
      <c r="AX28" s="15" t="n">
        <f aca="false">SUMIFS(Service_Consumables!$L$5:$L$856,Service_Consumables!$A$5:$A$856,$A28,Service_Consumables!$E$5:$E$856,AX$5,Service_Consumables!$H$5:$H$856,"Auto-deduct")</f>
        <v>0</v>
      </c>
      <c r="AY28" s="15" t="n">
        <f aca="false">SUMIFS(Service_Consumables!$L$5:$L$856,Service_Consumables!$A$5:$A$856,$A28,Service_Consumables!$E$5:$E$856,AY$5,Service_Consumables!$H$5:$H$856,"Auto-deduct")</f>
        <v>0</v>
      </c>
      <c r="AZ28" s="15" t="n">
        <f aca="false">SUMIFS(Service_Consumables!$L$5:$L$856,Service_Consumables!$A$5:$A$856,$A28,Service_Consumables!$E$5:$E$856,AZ$5,Service_Consumables!$H$5:$H$856,"Auto-deduct")</f>
        <v>0</v>
      </c>
      <c r="BA28" s="15" t="n">
        <f aca="false">SUMIFS(Service_Consumables!$L$5:$L$856,Service_Consumables!$A$5:$A$856,$A28,Service_Consumables!$E$5:$E$856,BA$5,Service_Consumables!$H$5:$H$856,"Auto-deduct")</f>
        <v>0</v>
      </c>
      <c r="BB28" s="15" t="n">
        <f aca="false">SUMIFS(Service_Consumables!$L$5:$L$856,Service_Consumables!$A$5:$A$856,$A28,Service_Consumables!$E$5:$E$856,BB$5,Service_Consumables!$H$5:$H$856,"Auto-deduct")</f>
        <v>0</v>
      </c>
      <c r="BC28" s="15" t="n">
        <f aca="false">SUMIFS(Service_Consumables!$L$5:$L$856,Service_Consumables!$A$5:$A$856,$A28,Service_Consumables!$E$5:$E$856,BC$5,Service_Consumables!$H$5:$H$856,"Auto-deduct")</f>
        <v>0</v>
      </c>
      <c r="BD28" s="15" t="n">
        <f aca="false">SUMIFS(Service_Consumables!$L$5:$L$856,Service_Consumables!$A$5:$A$856,$A28,Service_Consumables!$E$5:$E$856,BD$5,Service_Consumables!$H$5:$H$856,"Auto-deduct")</f>
        <v>0</v>
      </c>
      <c r="BE28" s="15" t="n">
        <f aca="false">SUMIFS(Service_Consumables!$L$5:$L$856,Service_Consumables!$A$5:$A$856,$A28,Service_Consumables!$E$5:$E$856,BE$5,Service_Consumables!$H$5:$H$856,"Auto-deduct")</f>
        <v>0</v>
      </c>
      <c r="BF28" s="15" t="n">
        <f aca="false">SUMIFS(Service_Consumables!$L$5:$L$856,Service_Consumables!$A$5:$A$856,$A28,Service_Consumables!$E$5:$E$856,BF$5,Service_Consumables!$H$5:$H$856,"Auto-deduct")</f>
        <v>0</v>
      </c>
      <c r="BG28" s="15" t="n">
        <f aca="false">SUMIFS(Service_Consumables!$L$5:$L$856,Service_Consumables!$A$5:$A$856,$A28,Service_Consumables!$E$5:$E$856,BG$5,Service_Consumables!$H$5:$H$856,"Auto-deduct")</f>
        <v>0</v>
      </c>
      <c r="BH28" s="15" t="n">
        <f aca="false">SUMIFS(Service_Consumables!$L$5:$L$856,Service_Consumables!$A$5:$A$856,$A28,Service_Consumables!$E$5:$E$856,BH$5,Service_Consumables!$H$5:$H$856,"Auto-deduct")</f>
        <v>0</v>
      </c>
      <c r="BI28" s="15" t="n">
        <f aca="false">SUMIFS(Service_Consumables!$L$5:$L$856,Service_Consumables!$A$5:$A$856,$A28,Service_Consumables!$E$5:$E$856,BI$5,Service_Consumables!$H$5:$H$856,"Auto-deduct")</f>
        <v>0</v>
      </c>
    </row>
    <row r="29" customFormat="false" ht="15" hidden="false" customHeight="false" outlineLevel="0" collapsed="false">
      <c r="A29" s="14" t="n">
        <f aca="false">Services!A28</f>
        <v>24</v>
      </c>
      <c r="B29" s="14" t="str">
        <f aca="false">Services!B28</f>
        <v>Foot Treatment</v>
      </c>
      <c r="C29" s="14" t="str">
        <f aca="false">Services!C28</f>
        <v>Foot Spa</v>
      </c>
      <c r="D29" s="15" t="n">
        <f aca="false">SUMIFS(Service_Consumables!$L$5:$L$856,Service_Consumables!$A$5:$A$856,$A29,Service_Consumables!$E$5:$E$856,D$5,Service_Consumables!$H$5:$H$856,"Auto-deduct")</f>
        <v>0</v>
      </c>
      <c r="E29" s="15" t="n">
        <f aca="false">SUMIFS(Service_Consumables!$L$5:$L$856,Service_Consumables!$A$5:$A$856,$A29,Service_Consumables!$E$5:$E$856,E$5,Service_Consumables!$H$5:$H$856,"Auto-deduct")</f>
        <v>0</v>
      </c>
      <c r="F29" s="15" t="n">
        <f aca="false">SUMIFS(Service_Consumables!$L$5:$L$856,Service_Consumables!$A$5:$A$856,$A29,Service_Consumables!$E$5:$E$856,F$5,Service_Consumables!$H$5:$H$856,"Auto-deduct")</f>
        <v>0</v>
      </c>
      <c r="G29" s="15" t="n">
        <f aca="false">SUMIFS(Service_Consumables!$L$5:$L$856,Service_Consumables!$A$5:$A$856,$A29,Service_Consumables!$E$5:$E$856,G$5,Service_Consumables!$H$5:$H$856,"Auto-deduct")</f>
        <v>0</v>
      </c>
      <c r="H29" s="15" t="n">
        <f aca="false">SUMIFS(Service_Consumables!$L$5:$L$856,Service_Consumables!$A$5:$A$856,$A29,Service_Consumables!$E$5:$E$856,H$5,Service_Consumables!$H$5:$H$856,"Auto-deduct")</f>
        <v>0</v>
      </c>
      <c r="I29" s="15" t="n">
        <f aca="false">SUMIFS(Service_Consumables!$L$5:$L$856,Service_Consumables!$A$5:$A$856,$A29,Service_Consumables!$E$5:$E$856,I$5,Service_Consumables!$H$5:$H$856,"Auto-deduct")</f>
        <v>0</v>
      </c>
      <c r="J29" s="15" t="n">
        <f aca="false">SUMIFS(Service_Consumables!$L$5:$L$856,Service_Consumables!$A$5:$A$856,$A29,Service_Consumables!$E$5:$E$856,J$5,Service_Consumables!$H$5:$H$856,"Auto-deduct")</f>
        <v>0</v>
      </c>
      <c r="K29" s="15" t="n">
        <f aca="false">SUMIFS(Service_Consumables!$L$5:$L$856,Service_Consumables!$A$5:$A$856,$A29,Service_Consumables!$E$5:$E$856,K$5,Service_Consumables!$H$5:$H$856,"Auto-deduct")</f>
        <v>0</v>
      </c>
      <c r="L29" s="15" t="n">
        <f aca="false">SUMIFS(Service_Consumables!$L$5:$L$856,Service_Consumables!$A$5:$A$856,$A29,Service_Consumables!$E$5:$E$856,L$5,Service_Consumables!$H$5:$H$856,"Auto-deduct")</f>
        <v>0</v>
      </c>
      <c r="M29" s="15" t="n">
        <f aca="false">SUMIFS(Service_Consumables!$L$5:$L$856,Service_Consumables!$A$5:$A$856,$A29,Service_Consumables!$E$5:$E$856,M$5,Service_Consumables!$H$5:$H$856,"Auto-deduct")</f>
        <v>0</v>
      </c>
      <c r="N29" s="15" t="n">
        <f aca="false">SUMIFS(Service_Consumables!$L$5:$L$856,Service_Consumables!$A$5:$A$856,$A29,Service_Consumables!$E$5:$E$856,N$5,Service_Consumables!$H$5:$H$856,"Auto-deduct")</f>
        <v>0</v>
      </c>
      <c r="O29" s="15" t="n">
        <f aca="false">SUMIFS(Service_Consumables!$L$5:$L$856,Service_Consumables!$A$5:$A$856,$A29,Service_Consumables!$E$5:$E$856,O$5,Service_Consumables!$H$5:$H$856,"Auto-deduct")</f>
        <v>0</v>
      </c>
      <c r="P29" s="15" t="n">
        <f aca="false">SUMIFS(Service_Consumables!$L$5:$L$856,Service_Consumables!$A$5:$A$856,$A29,Service_Consumables!$E$5:$E$856,P$5,Service_Consumables!$H$5:$H$856,"Auto-deduct")</f>
        <v>1</v>
      </c>
      <c r="Q29" s="15" t="n">
        <f aca="false">SUMIFS(Service_Consumables!$L$5:$L$856,Service_Consumables!$A$5:$A$856,$A29,Service_Consumables!$E$5:$E$856,Q$5,Service_Consumables!$H$5:$H$856,"Auto-deduct")</f>
        <v>1</v>
      </c>
      <c r="R29" s="15" t="n">
        <f aca="false">SUMIFS(Service_Consumables!$L$5:$L$856,Service_Consumables!$A$5:$A$856,$A29,Service_Consumables!$E$5:$E$856,R$5,Service_Consumables!$H$5:$H$856,"Auto-deduct")</f>
        <v>0</v>
      </c>
      <c r="S29" s="15" t="n">
        <f aca="false">SUMIFS(Service_Consumables!$L$5:$L$856,Service_Consumables!$A$5:$A$856,$A29,Service_Consumables!$E$5:$E$856,S$5,Service_Consumables!$H$5:$H$856,"Auto-deduct")</f>
        <v>6</v>
      </c>
      <c r="T29" s="15" t="n">
        <f aca="false">SUMIFS(Service_Consumables!$L$5:$L$856,Service_Consumables!$A$5:$A$856,$A29,Service_Consumables!$E$5:$E$856,T$5,Service_Consumables!$H$5:$H$856,"Auto-deduct")</f>
        <v>0</v>
      </c>
      <c r="U29" s="15" t="n">
        <f aca="false">SUMIFS(Service_Consumables!$L$5:$L$856,Service_Consumables!$A$5:$A$856,$A29,Service_Consumables!$E$5:$E$856,U$5,Service_Consumables!$H$5:$H$856,"Auto-deduct")</f>
        <v>0</v>
      </c>
      <c r="V29" s="15" t="n">
        <f aca="false">SUMIFS(Service_Consumables!$L$5:$L$856,Service_Consumables!$A$5:$A$856,$A29,Service_Consumables!$E$5:$E$856,V$5,Service_Consumables!$H$5:$H$856,"Auto-deduct")</f>
        <v>5</v>
      </c>
      <c r="W29" s="15" t="n">
        <f aca="false">SUMIFS(Service_Consumables!$L$5:$L$856,Service_Consumables!$A$5:$A$856,$A29,Service_Consumables!$E$5:$E$856,W$5,Service_Consumables!$H$5:$H$856,"Auto-deduct")</f>
        <v>0</v>
      </c>
      <c r="X29" s="15" t="n">
        <f aca="false">SUMIFS(Service_Consumables!$L$5:$L$856,Service_Consumables!$A$5:$A$856,$A29,Service_Consumables!$E$5:$E$856,X$5,Service_Consumables!$H$5:$H$856,"Auto-deduct")</f>
        <v>0</v>
      </c>
      <c r="Y29" s="15" t="n">
        <f aca="false">SUMIFS(Service_Consumables!$L$5:$L$856,Service_Consumables!$A$5:$A$856,$A29,Service_Consumables!$E$5:$E$856,Y$5,Service_Consumables!$H$5:$H$856,"Auto-deduct")</f>
        <v>0</v>
      </c>
      <c r="Z29" s="15" t="n">
        <f aca="false">SUMIFS(Service_Consumables!$L$5:$L$856,Service_Consumables!$A$5:$A$856,$A29,Service_Consumables!$E$5:$E$856,Z$5,Service_Consumables!$H$5:$H$856,"Auto-deduct")</f>
        <v>0</v>
      </c>
      <c r="AA29" s="15" t="n">
        <f aca="false">SUMIFS(Service_Consumables!$L$5:$L$856,Service_Consumables!$A$5:$A$856,$A29,Service_Consumables!$E$5:$E$856,AA$5,Service_Consumables!$H$5:$H$856,"Auto-deduct")</f>
        <v>0</v>
      </c>
      <c r="AB29" s="15" t="n">
        <f aca="false">SUMIFS(Service_Consumables!$L$5:$L$856,Service_Consumables!$A$5:$A$856,$A29,Service_Consumables!$E$5:$E$856,AB$5,Service_Consumables!$H$5:$H$856,"Auto-deduct")</f>
        <v>0</v>
      </c>
      <c r="AC29" s="15" t="n">
        <f aca="false">SUMIFS(Service_Consumables!$L$5:$L$856,Service_Consumables!$A$5:$A$856,$A29,Service_Consumables!$E$5:$E$856,AC$5,Service_Consumables!$H$5:$H$856,"Auto-deduct")</f>
        <v>3</v>
      </c>
      <c r="AD29" s="15" t="n">
        <f aca="false">SUMIFS(Service_Consumables!$L$5:$L$856,Service_Consumables!$A$5:$A$856,$A29,Service_Consumables!$E$5:$E$856,AD$5,Service_Consumables!$H$5:$H$856,"Auto-deduct")</f>
        <v>20</v>
      </c>
      <c r="AE29" s="15" t="n">
        <f aca="false">SUMIFS(Service_Consumables!$L$5:$L$856,Service_Consumables!$A$5:$A$856,$A29,Service_Consumables!$E$5:$E$856,AE$5,Service_Consumables!$H$5:$H$856,"Auto-deduct")</f>
        <v>0</v>
      </c>
      <c r="AF29" s="15" t="n">
        <f aca="false">SUMIFS(Service_Consumables!$L$5:$L$856,Service_Consumables!$A$5:$A$856,$A29,Service_Consumables!$E$5:$E$856,AF$5,Service_Consumables!$H$5:$H$856,"Auto-deduct")</f>
        <v>0</v>
      </c>
      <c r="AG29" s="15" t="n">
        <f aca="false">SUMIFS(Service_Consumables!$L$5:$L$856,Service_Consumables!$A$5:$A$856,$A29,Service_Consumables!$E$5:$E$856,AG$5,Service_Consumables!$H$5:$H$856,"Auto-deduct")</f>
        <v>0</v>
      </c>
      <c r="AH29" s="15" t="n">
        <f aca="false">SUMIFS(Service_Consumables!$L$5:$L$856,Service_Consumables!$A$5:$A$856,$A29,Service_Consumables!$E$5:$E$856,AH$5,Service_Consumables!$H$5:$H$856,"Auto-deduct")</f>
        <v>0</v>
      </c>
      <c r="AI29" s="15" t="n">
        <f aca="false">SUMIFS(Service_Consumables!$L$5:$L$856,Service_Consumables!$A$5:$A$856,$A29,Service_Consumables!$E$5:$E$856,AI$5,Service_Consumables!$H$5:$H$856,"Auto-deduct")</f>
        <v>0</v>
      </c>
      <c r="AJ29" s="15" t="n">
        <f aca="false">SUMIFS(Service_Consumables!$L$5:$L$856,Service_Consumables!$A$5:$A$856,$A29,Service_Consumables!$E$5:$E$856,AJ$5,Service_Consumables!$H$5:$H$856,"Auto-deduct")</f>
        <v>0</v>
      </c>
      <c r="AK29" s="15" t="n">
        <f aca="false">SUMIFS(Service_Consumables!$L$5:$L$856,Service_Consumables!$A$5:$A$856,$A29,Service_Consumables!$E$5:$E$856,AK$5,Service_Consumables!$H$5:$H$856,"Auto-deduct")</f>
        <v>0</v>
      </c>
      <c r="AL29" s="15" t="n">
        <f aca="false">SUMIFS(Service_Consumables!$L$5:$L$856,Service_Consumables!$A$5:$A$856,$A29,Service_Consumables!$E$5:$E$856,AL$5,Service_Consumables!$H$5:$H$856,"Auto-deduct")</f>
        <v>0</v>
      </c>
      <c r="AM29" s="15" t="n">
        <f aca="false">SUMIFS(Service_Consumables!$L$5:$L$856,Service_Consumables!$A$5:$A$856,$A29,Service_Consumables!$E$5:$E$856,AM$5,Service_Consumables!$H$5:$H$856,"Auto-deduct")</f>
        <v>0</v>
      </c>
      <c r="AN29" s="15" t="n">
        <f aca="false">SUMIFS(Service_Consumables!$L$5:$L$856,Service_Consumables!$A$5:$A$856,$A29,Service_Consumables!$E$5:$E$856,AN$5,Service_Consumables!$H$5:$H$856,"Auto-deduct")</f>
        <v>0</v>
      </c>
      <c r="AO29" s="15" t="n">
        <f aca="false">SUMIFS(Service_Consumables!$L$5:$L$856,Service_Consumables!$A$5:$A$856,$A29,Service_Consumables!$E$5:$E$856,AO$5,Service_Consumables!$H$5:$H$856,"Auto-deduct")</f>
        <v>0</v>
      </c>
      <c r="AP29" s="15" t="n">
        <f aca="false">SUMIFS(Service_Consumables!$L$5:$L$856,Service_Consumables!$A$5:$A$856,$A29,Service_Consumables!$E$5:$E$856,AP$5,Service_Consumables!$H$5:$H$856,"Auto-deduct")</f>
        <v>0</v>
      </c>
      <c r="AQ29" s="15" t="n">
        <f aca="false">SUMIFS(Service_Consumables!$L$5:$L$856,Service_Consumables!$A$5:$A$856,$A29,Service_Consumables!$E$5:$E$856,AQ$5,Service_Consumables!$H$5:$H$856,"Auto-deduct")</f>
        <v>0</v>
      </c>
      <c r="AR29" s="15" t="n">
        <f aca="false">SUMIFS(Service_Consumables!$L$5:$L$856,Service_Consumables!$A$5:$A$856,$A29,Service_Consumables!$E$5:$E$856,AR$5,Service_Consumables!$H$5:$H$856,"Auto-deduct")</f>
        <v>0</v>
      </c>
      <c r="AS29" s="15" t="n">
        <f aca="false">SUMIFS(Service_Consumables!$L$5:$L$856,Service_Consumables!$A$5:$A$856,$A29,Service_Consumables!$E$5:$E$856,AS$5,Service_Consumables!$H$5:$H$856,"Auto-deduct")</f>
        <v>0</v>
      </c>
      <c r="AT29" s="15" t="n">
        <f aca="false">SUMIFS(Service_Consumables!$L$5:$L$856,Service_Consumables!$A$5:$A$856,$A29,Service_Consumables!$E$5:$E$856,AT$5,Service_Consumables!$H$5:$H$856,"Auto-deduct")</f>
        <v>0</v>
      </c>
      <c r="AU29" s="15" t="n">
        <f aca="false">SUMIFS(Service_Consumables!$L$5:$L$856,Service_Consumables!$A$5:$A$856,$A29,Service_Consumables!$E$5:$E$856,AU$5,Service_Consumables!$H$5:$H$856,"Auto-deduct")</f>
        <v>0</v>
      </c>
      <c r="AV29" s="15" t="n">
        <f aca="false">SUMIFS(Service_Consumables!$L$5:$L$856,Service_Consumables!$A$5:$A$856,$A29,Service_Consumables!$E$5:$E$856,AV$5,Service_Consumables!$H$5:$H$856,"Auto-deduct")</f>
        <v>0</v>
      </c>
      <c r="AW29" s="15" t="n">
        <f aca="false">SUMIFS(Service_Consumables!$L$5:$L$856,Service_Consumables!$A$5:$A$856,$A29,Service_Consumables!$E$5:$E$856,AW$5,Service_Consumables!$H$5:$H$856,"Auto-deduct")</f>
        <v>0</v>
      </c>
      <c r="AX29" s="15" t="n">
        <f aca="false">SUMIFS(Service_Consumables!$L$5:$L$856,Service_Consumables!$A$5:$A$856,$A29,Service_Consumables!$E$5:$E$856,AX$5,Service_Consumables!$H$5:$H$856,"Auto-deduct")</f>
        <v>0</v>
      </c>
      <c r="AY29" s="15" t="n">
        <f aca="false">SUMIFS(Service_Consumables!$L$5:$L$856,Service_Consumables!$A$5:$A$856,$A29,Service_Consumables!$E$5:$E$856,AY$5,Service_Consumables!$H$5:$H$856,"Auto-deduct")</f>
        <v>0</v>
      </c>
      <c r="AZ29" s="15" t="n">
        <f aca="false">SUMIFS(Service_Consumables!$L$5:$L$856,Service_Consumables!$A$5:$A$856,$A29,Service_Consumables!$E$5:$E$856,AZ$5,Service_Consumables!$H$5:$H$856,"Auto-deduct")</f>
        <v>0</v>
      </c>
      <c r="BA29" s="15" t="n">
        <f aca="false">SUMIFS(Service_Consumables!$L$5:$L$856,Service_Consumables!$A$5:$A$856,$A29,Service_Consumables!$E$5:$E$856,BA$5,Service_Consumables!$H$5:$H$856,"Auto-deduct")</f>
        <v>0</v>
      </c>
      <c r="BB29" s="15" t="n">
        <f aca="false">SUMIFS(Service_Consumables!$L$5:$L$856,Service_Consumables!$A$5:$A$856,$A29,Service_Consumables!$E$5:$E$856,BB$5,Service_Consumables!$H$5:$H$856,"Auto-deduct")</f>
        <v>0</v>
      </c>
      <c r="BC29" s="15" t="n">
        <f aca="false">SUMIFS(Service_Consumables!$L$5:$L$856,Service_Consumables!$A$5:$A$856,$A29,Service_Consumables!$E$5:$E$856,BC$5,Service_Consumables!$H$5:$H$856,"Auto-deduct")</f>
        <v>0</v>
      </c>
      <c r="BD29" s="15" t="n">
        <f aca="false">SUMIFS(Service_Consumables!$L$5:$L$856,Service_Consumables!$A$5:$A$856,$A29,Service_Consumables!$E$5:$E$856,BD$5,Service_Consumables!$H$5:$H$856,"Auto-deduct")</f>
        <v>0</v>
      </c>
      <c r="BE29" s="15" t="n">
        <f aca="false">SUMIFS(Service_Consumables!$L$5:$L$856,Service_Consumables!$A$5:$A$856,$A29,Service_Consumables!$E$5:$E$856,BE$5,Service_Consumables!$H$5:$H$856,"Auto-deduct")</f>
        <v>0</v>
      </c>
      <c r="BF29" s="15" t="n">
        <f aca="false">SUMIFS(Service_Consumables!$L$5:$L$856,Service_Consumables!$A$5:$A$856,$A29,Service_Consumables!$E$5:$E$856,BF$5,Service_Consumables!$H$5:$H$856,"Auto-deduct")</f>
        <v>0</v>
      </c>
      <c r="BG29" s="15" t="n">
        <f aca="false">SUMIFS(Service_Consumables!$L$5:$L$856,Service_Consumables!$A$5:$A$856,$A29,Service_Consumables!$E$5:$E$856,BG$5,Service_Consumables!$H$5:$H$856,"Auto-deduct")</f>
        <v>0</v>
      </c>
      <c r="BH29" s="15" t="n">
        <f aca="false">SUMIFS(Service_Consumables!$L$5:$L$856,Service_Consumables!$A$5:$A$856,$A29,Service_Consumables!$E$5:$E$856,BH$5,Service_Consumables!$H$5:$H$856,"Auto-deduct")</f>
        <v>0</v>
      </c>
      <c r="BI29" s="15" t="n">
        <f aca="false">SUMIFS(Service_Consumables!$L$5:$L$856,Service_Consumables!$A$5:$A$856,$A29,Service_Consumables!$E$5:$E$856,BI$5,Service_Consumables!$H$5:$H$856,"Auto-deduct")</f>
        <v>0</v>
      </c>
    </row>
    <row r="30" customFormat="false" ht="15" hidden="false" customHeight="false" outlineLevel="0" collapsed="false">
      <c r="A30" s="14" t="n">
        <f aca="false">Services!A29</f>
        <v>25</v>
      </c>
      <c r="B30" s="14" t="str">
        <f aca="false">Services!B29</f>
        <v>Foot Treatment</v>
      </c>
      <c r="C30" s="14" t="str">
        <f aca="false">Services!C29</f>
        <v>Pedicure</v>
      </c>
      <c r="D30" s="15" t="n">
        <f aca="false">SUMIFS(Service_Consumables!$L$5:$L$856,Service_Consumables!$A$5:$A$856,$A30,Service_Consumables!$E$5:$E$856,D$5,Service_Consumables!$H$5:$H$856,"Auto-deduct")</f>
        <v>0</v>
      </c>
      <c r="E30" s="15" t="n">
        <f aca="false">SUMIFS(Service_Consumables!$L$5:$L$856,Service_Consumables!$A$5:$A$856,$A30,Service_Consumables!$E$5:$E$856,E$5,Service_Consumables!$H$5:$H$856,"Auto-deduct")</f>
        <v>0</v>
      </c>
      <c r="F30" s="15" t="n">
        <f aca="false">SUMIFS(Service_Consumables!$L$5:$L$856,Service_Consumables!$A$5:$A$856,$A30,Service_Consumables!$E$5:$E$856,F$5,Service_Consumables!$H$5:$H$856,"Auto-deduct")</f>
        <v>0</v>
      </c>
      <c r="G30" s="15" t="n">
        <f aca="false">SUMIFS(Service_Consumables!$L$5:$L$856,Service_Consumables!$A$5:$A$856,$A30,Service_Consumables!$E$5:$E$856,G$5,Service_Consumables!$H$5:$H$856,"Auto-deduct")</f>
        <v>0</v>
      </c>
      <c r="H30" s="15" t="n">
        <f aca="false">SUMIFS(Service_Consumables!$L$5:$L$856,Service_Consumables!$A$5:$A$856,$A30,Service_Consumables!$E$5:$E$856,H$5,Service_Consumables!$H$5:$H$856,"Auto-deduct")</f>
        <v>0</v>
      </c>
      <c r="I30" s="15" t="n">
        <f aca="false">SUMIFS(Service_Consumables!$L$5:$L$856,Service_Consumables!$A$5:$A$856,$A30,Service_Consumables!$E$5:$E$856,I$5,Service_Consumables!$H$5:$H$856,"Auto-deduct")</f>
        <v>0</v>
      </c>
      <c r="J30" s="15" t="n">
        <f aca="false">SUMIFS(Service_Consumables!$L$5:$L$856,Service_Consumables!$A$5:$A$856,$A30,Service_Consumables!$E$5:$E$856,J$5,Service_Consumables!$H$5:$H$856,"Auto-deduct")</f>
        <v>0</v>
      </c>
      <c r="K30" s="15" t="n">
        <f aca="false">SUMIFS(Service_Consumables!$L$5:$L$856,Service_Consumables!$A$5:$A$856,$A30,Service_Consumables!$E$5:$E$856,K$5,Service_Consumables!$H$5:$H$856,"Auto-deduct")</f>
        <v>0</v>
      </c>
      <c r="L30" s="15" t="n">
        <f aca="false">SUMIFS(Service_Consumables!$L$5:$L$856,Service_Consumables!$A$5:$A$856,$A30,Service_Consumables!$E$5:$E$856,L$5,Service_Consumables!$H$5:$H$856,"Auto-deduct")</f>
        <v>0</v>
      </c>
      <c r="M30" s="15" t="n">
        <f aca="false">SUMIFS(Service_Consumables!$L$5:$L$856,Service_Consumables!$A$5:$A$856,$A30,Service_Consumables!$E$5:$E$856,M$5,Service_Consumables!$H$5:$H$856,"Auto-deduct")</f>
        <v>0</v>
      </c>
      <c r="N30" s="15" t="n">
        <f aca="false">SUMIFS(Service_Consumables!$L$5:$L$856,Service_Consumables!$A$5:$A$856,$A30,Service_Consumables!$E$5:$E$856,N$5,Service_Consumables!$H$5:$H$856,"Auto-deduct")</f>
        <v>0</v>
      </c>
      <c r="O30" s="15" t="n">
        <f aca="false">SUMIFS(Service_Consumables!$L$5:$L$856,Service_Consumables!$A$5:$A$856,$A30,Service_Consumables!$E$5:$E$856,O$5,Service_Consumables!$H$5:$H$856,"Auto-deduct")</f>
        <v>0</v>
      </c>
      <c r="P30" s="15" t="n">
        <f aca="false">SUMIFS(Service_Consumables!$L$5:$L$856,Service_Consumables!$A$5:$A$856,$A30,Service_Consumables!$E$5:$E$856,P$5,Service_Consumables!$H$5:$H$856,"Auto-deduct")</f>
        <v>1</v>
      </c>
      <c r="Q30" s="15" t="n">
        <f aca="false">SUMIFS(Service_Consumables!$L$5:$L$856,Service_Consumables!$A$5:$A$856,$A30,Service_Consumables!$E$5:$E$856,Q$5,Service_Consumables!$H$5:$H$856,"Auto-deduct")</f>
        <v>1</v>
      </c>
      <c r="R30" s="15" t="n">
        <f aca="false">SUMIFS(Service_Consumables!$L$5:$L$856,Service_Consumables!$A$5:$A$856,$A30,Service_Consumables!$E$5:$E$856,R$5,Service_Consumables!$H$5:$H$856,"Auto-deduct")</f>
        <v>0</v>
      </c>
      <c r="S30" s="15" t="n">
        <f aca="false">SUMIFS(Service_Consumables!$L$5:$L$856,Service_Consumables!$A$5:$A$856,$A30,Service_Consumables!$E$5:$E$856,S$5,Service_Consumables!$H$5:$H$856,"Auto-deduct")</f>
        <v>4</v>
      </c>
      <c r="T30" s="15" t="n">
        <f aca="false">SUMIFS(Service_Consumables!$L$5:$L$856,Service_Consumables!$A$5:$A$856,$A30,Service_Consumables!$E$5:$E$856,T$5,Service_Consumables!$H$5:$H$856,"Auto-deduct")</f>
        <v>0</v>
      </c>
      <c r="U30" s="15" t="n">
        <f aca="false">SUMIFS(Service_Consumables!$L$5:$L$856,Service_Consumables!$A$5:$A$856,$A30,Service_Consumables!$E$5:$E$856,U$5,Service_Consumables!$H$5:$H$856,"Auto-deduct")</f>
        <v>0</v>
      </c>
      <c r="V30" s="15" t="n">
        <f aca="false">SUMIFS(Service_Consumables!$L$5:$L$856,Service_Consumables!$A$5:$A$856,$A30,Service_Consumables!$E$5:$E$856,V$5,Service_Consumables!$H$5:$H$856,"Auto-deduct")</f>
        <v>5</v>
      </c>
      <c r="W30" s="15" t="n">
        <f aca="false">SUMIFS(Service_Consumables!$L$5:$L$856,Service_Consumables!$A$5:$A$856,$A30,Service_Consumables!$E$5:$E$856,W$5,Service_Consumables!$H$5:$H$856,"Auto-deduct")</f>
        <v>4</v>
      </c>
      <c r="X30" s="15" t="n">
        <f aca="false">SUMIFS(Service_Consumables!$L$5:$L$856,Service_Consumables!$A$5:$A$856,$A30,Service_Consumables!$E$5:$E$856,X$5,Service_Consumables!$H$5:$H$856,"Auto-deduct")</f>
        <v>0</v>
      </c>
      <c r="Y30" s="15" t="n">
        <f aca="false">SUMIFS(Service_Consumables!$L$5:$L$856,Service_Consumables!$A$5:$A$856,$A30,Service_Consumables!$E$5:$E$856,Y$5,Service_Consumables!$H$5:$H$856,"Auto-deduct")</f>
        <v>0</v>
      </c>
      <c r="Z30" s="15" t="n">
        <f aca="false">SUMIFS(Service_Consumables!$L$5:$L$856,Service_Consumables!$A$5:$A$856,$A30,Service_Consumables!$E$5:$E$856,Z$5,Service_Consumables!$H$5:$H$856,"Auto-deduct")</f>
        <v>0</v>
      </c>
      <c r="AA30" s="15" t="n">
        <f aca="false">SUMIFS(Service_Consumables!$L$5:$L$856,Service_Consumables!$A$5:$A$856,$A30,Service_Consumables!$E$5:$E$856,AA$5,Service_Consumables!$H$5:$H$856,"Auto-deduct")</f>
        <v>2</v>
      </c>
      <c r="AB30" s="15" t="n">
        <f aca="false">SUMIFS(Service_Consumables!$L$5:$L$856,Service_Consumables!$A$5:$A$856,$A30,Service_Consumables!$E$5:$E$856,AB$5,Service_Consumables!$H$5:$H$856,"Auto-deduct")</f>
        <v>0</v>
      </c>
      <c r="AC30" s="15" t="n">
        <f aca="false">SUMIFS(Service_Consumables!$L$5:$L$856,Service_Consumables!$A$5:$A$856,$A30,Service_Consumables!$E$5:$E$856,AC$5,Service_Consumables!$H$5:$H$856,"Auto-deduct")</f>
        <v>2</v>
      </c>
      <c r="AD30" s="15" t="n">
        <f aca="false">SUMIFS(Service_Consumables!$L$5:$L$856,Service_Consumables!$A$5:$A$856,$A30,Service_Consumables!$E$5:$E$856,AD$5,Service_Consumables!$H$5:$H$856,"Auto-deduct")</f>
        <v>15</v>
      </c>
      <c r="AE30" s="15" t="n">
        <f aca="false">SUMIFS(Service_Consumables!$L$5:$L$856,Service_Consumables!$A$5:$A$856,$A30,Service_Consumables!$E$5:$E$856,AE$5,Service_Consumables!$H$5:$H$856,"Auto-deduct")</f>
        <v>0</v>
      </c>
      <c r="AF30" s="15" t="n">
        <f aca="false">SUMIFS(Service_Consumables!$L$5:$L$856,Service_Consumables!$A$5:$A$856,$A30,Service_Consumables!$E$5:$E$856,AF$5,Service_Consumables!$H$5:$H$856,"Auto-deduct")</f>
        <v>0</v>
      </c>
      <c r="AG30" s="15" t="n">
        <f aca="false">SUMIFS(Service_Consumables!$L$5:$L$856,Service_Consumables!$A$5:$A$856,$A30,Service_Consumables!$E$5:$E$856,AG$5,Service_Consumables!$H$5:$H$856,"Auto-deduct")</f>
        <v>0</v>
      </c>
      <c r="AH30" s="15" t="n">
        <f aca="false">SUMIFS(Service_Consumables!$L$5:$L$856,Service_Consumables!$A$5:$A$856,$A30,Service_Consumables!$E$5:$E$856,AH$5,Service_Consumables!$H$5:$H$856,"Auto-deduct")</f>
        <v>0</v>
      </c>
      <c r="AI30" s="15" t="n">
        <f aca="false">SUMIFS(Service_Consumables!$L$5:$L$856,Service_Consumables!$A$5:$A$856,$A30,Service_Consumables!$E$5:$E$856,AI$5,Service_Consumables!$H$5:$H$856,"Auto-deduct")</f>
        <v>0</v>
      </c>
      <c r="AJ30" s="15" t="n">
        <f aca="false">SUMIFS(Service_Consumables!$L$5:$L$856,Service_Consumables!$A$5:$A$856,$A30,Service_Consumables!$E$5:$E$856,AJ$5,Service_Consumables!$H$5:$H$856,"Auto-deduct")</f>
        <v>0</v>
      </c>
      <c r="AK30" s="15" t="n">
        <f aca="false">SUMIFS(Service_Consumables!$L$5:$L$856,Service_Consumables!$A$5:$A$856,$A30,Service_Consumables!$E$5:$E$856,AK$5,Service_Consumables!$H$5:$H$856,"Auto-deduct")</f>
        <v>0</v>
      </c>
      <c r="AL30" s="15" t="n">
        <f aca="false">SUMIFS(Service_Consumables!$L$5:$L$856,Service_Consumables!$A$5:$A$856,$A30,Service_Consumables!$E$5:$E$856,AL$5,Service_Consumables!$H$5:$H$856,"Auto-deduct")</f>
        <v>0</v>
      </c>
      <c r="AM30" s="15" t="n">
        <f aca="false">SUMIFS(Service_Consumables!$L$5:$L$856,Service_Consumables!$A$5:$A$856,$A30,Service_Consumables!$E$5:$E$856,AM$5,Service_Consumables!$H$5:$H$856,"Auto-deduct")</f>
        <v>0</v>
      </c>
      <c r="AN30" s="15" t="n">
        <f aca="false">SUMIFS(Service_Consumables!$L$5:$L$856,Service_Consumables!$A$5:$A$856,$A30,Service_Consumables!$E$5:$E$856,AN$5,Service_Consumables!$H$5:$H$856,"Auto-deduct")</f>
        <v>0</v>
      </c>
      <c r="AO30" s="15" t="n">
        <f aca="false">SUMIFS(Service_Consumables!$L$5:$L$856,Service_Consumables!$A$5:$A$856,$A30,Service_Consumables!$E$5:$E$856,AO$5,Service_Consumables!$H$5:$H$856,"Auto-deduct")</f>
        <v>0</v>
      </c>
      <c r="AP30" s="15" t="n">
        <f aca="false">SUMIFS(Service_Consumables!$L$5:$L$856,Service_Consumables!$A$5:$A$856,$A30,Service_Consumables!$E$5:$E$856,AP$5,Service_Consumables!$H$5:$H$856,"Auto-deduct")</f>
        <v>0</v>
      </c>
      <c r="AQ30" s="15" t="n">
        <f aca="false">SUMIFS(Service_Consumables!$L$5:$L$856,Service_Consumables!$A$5:$A$856,$A30,Service_Consumables!$E$5:$E$856,AQ$5,Service_Consumables!$H$5:$H$856,"Auto-deduct")</f>
        <v>0</v>
      </c>
      <c r="AR30" s="15" t="n">
        <f aca="false">SUMIFS(Service_Consumables!$L$5:$L$856,Service_Consumables!$A$5:$A$856,$A30,Service_Consumables!$E$5:$E$856,AR$5,Service_Consumables!$H$5:$H$856,"Auto-deduct")</f>
        <v>0</v>
      </c>
      <c r="AS30" s="15" t="n">
        <f aca="false">SUMIFS(Service_Consumables!$L$5:$L$856,Service_Consumables!$A$5:$A$856,$A30,Service_Consumables!$E$5:$E$856,AS$5,Service_Consumables!$H$5:$H$856,"Auto-deduct")</f>
        <v>0</v>
      </c>
      <c r="AT30" s="15" t="n">
        <f aca="false">SUMIFS(Service_Consumables!$L$5:$L$856,Service_Consumables!$A$5:$A$856,$A30,Service_Consumables!$E$5:$E$856,AT$5,Service_Consumables!$H$5:$H$856,"Auto-deduct")</f>
        <v>0</v>
      </c>
      <c r="AU30" s="15" t="n">
        <f aca="false">SUMIFS(Service_Consumables!$L$5:$L$856,Service_Consumables!$A$5:$A$856,$A30,Service_Consumables!$E$5:$E$856,AU$5,Service_Consumables!$H$5:$H$856,"Auto-deduct")</f>
        <v>0</v>
      </c>
      <c r="AV30" s="15" t="n">
        <f aca="false">SUMIFS(Service_Consumables!$L$5:$L$856,Service_Consumables!$A$5:$A$856,$A30,Service_Consumables!$E$5:$E$856,AV$5,Service_Consumables!$H$5:$H$856,"Auto-deduct")</f>
        <v>0</v>
      </c>
      <c r="AW30" s="15" t="n">
        <f aca="false">SUMIFS(Service_Consumables!$L$5:$L$856,Service_Consumables!$A$5:$A$856,$A30,Service_Consumables!$E$5:$E$856,AW$5,Service_Consumables!$H$5:$H$856,"Auto-deduct")</f>
        <v>0</v>
      </c>
      <c r="AX30" s="15" t="n">
        <f aca="false">SUMIFS(Service_Consumables!$L$5:$L$856,Service_Consumables!$A$5:$A$856,$A30,Service_Consumables!$E$5:$E$856,AX$5,Service_Consumables!$H$5:$H$856,"Auto-deduct")</f>
        <v>0</v>
      </c>
      <c r="AY30" s="15" t="n">
        <f aca="false">SUMIFS(Service_Consumables!$L$5:$L$856,Service_Consumables!$A$5:$A$856,$A30,Service_Consumables!$E$5:$E$856,AY$5,Service_Consumables!$H$5:$H$856,"Auto-deduct")</f>
        <v>0</v>
      </c>
      <c r="AZ30" s="15" t="n">
        <f aca="false">SUMIFS(Service_Consumables!$L$5:$L$856,Service_Consumables!$A$5:$A$856,$A30,Service_Consumables!$E$5:$E$856,AZ$5,Service_Consumables!$H$5:$H$856,"Auto-deduct")</f>
        <v>0</v>
      </c>
      <c r="BA30" s="15" t="n">
        <f aca="false">SUMIFS(Service_Consumables!$L$5:$L$856,Service_Consumables!$A$5:$A$856,$A30,Service_Consumables!$E$5:$E$856,BA$5,Service_Consumables!$H$5:$H$856,"Auto-deduct")</f>
        <v>0</v>
      </c>
      <c r="BB30" s="15" t="n">
        <f aca="false">SUMIFS(Service_Consumables!$L$5:$L$856,Service_Consumables!$A$5:$A$856,$A30,Service_Consumables!$E$5:$E$856,BB$5,Service_Consumables!$H$5:$H$856,"Auto-deduct")</f>
        <v>0</v>
      </c>
      <c r="BC30" s="15" t="n">
        <f aca="false">SUMIFS(Service_Consumables!$L$5:$L$856,Service_Consumables!$A$5:$A$856,$A30,Service_Consumables!$E$5:$E$856,BC$5,Service_Consumables!$H$5:$H$856,"Auto-deduct")</f>
        <v>0</v>
      </c>
      <c r="BD30" s="15" t="n">
        <f aca="false">SUMIFS(Service_Consumables!$L$5:$L$856,Service_Consumables!$A$5:$A$856,$A30,Service_Consumables!$E$5:$E$856,BD$5,Service_Consumables!$H$5:$H$856,"Auto-deduct")</f>
        <v>0</v>
      </c>
      <c r="BE30" s="15" t="n">
        <f aca="false">SUMIFS(Service_Consumables!$L$5:$L$856,Service_Consumables!$A$5:$A$856,$A30,Service_Consumables!$E$5:$E$856,BE$5,Service_Consumables!$H$5:$H$856,"Auto-deduct")</f>
        <v>0</v>
      </c>
      <c r="BF30" s="15" t="n">
        <f aca="false">SUMIFS(Service_Consumables!$L$5:$L$856,Service_Consumables!$A$5:$A$856,$A30,Service_Consumables!$E$5:$E$856,BF$5,Service_Consumables!$H$5:$H$856,"Auto-deduct")</f>
        <v>0</v>
      </c>
      <c r="BG30" s="15" t="n">
        <f aca="false">SUMIFS(Service_Consumables!$L$5:$L$856,Service_Consumables!$A$5:$A$856,$A30,Service_Consumables!$E$5:$E$856,BG$5,Service_Consumables!$H$5:$H$856,"Auto-deduct")</f>
        <v>0</v>
      </c>
      <c r="BH30" s="15" t="n">
        <f aca="false">SUMIFS(Service_Consumables!$L$5:$L$856,Service_Consumables!$A$5:$A$856,$A30,Service_Consumables!$E$5:$E$856,BH$5,Service_Consumables!$H$5:$H$856,"Auto-deduct")</f>
        <v>0</v>
      </c>
      <c r="BI30" s="15" t="n">
        <f aca="false">SUMIFS(Service_Consumables!$L$5:$L$856,Service_Consumables!$A$5:$A$856,$A30,Service_Consumables!$E$5:$E$856,BI$5,Service_Consumables!$H$5:$H$856,"Auto-deduct")</f>
        <v>0</v>
      </c>
    </row>
    <row r="31" customFormat="false" ht="15" hidden="false" customHeight="false" outlineLevel="0" collapsed="false">
      <c r="A31" s="14" t="n">
        <f aca="false">Services!A30</f>
        <v>26</v>
      </c>
      <c r="B31" s="14" t="str">
        <f aca="false">Services!B30</f>
        <v>Foot Treatment</v>
      </c>
      <c r="C31" s="14" t="str">
        <f aca="false">Services!C30</f>
        <v>Pedicure w/ Foot Spa</v>
      </c>
      <c r="D31" s="15" t="n">
        <f aca="false">SUMIFS(Service_Consumables!$L$5:$L$856,Service_Consumables!$A$5:$A$856,$A31,Service_Consumables!$E$5:$E$856,D$5,Service_Consumables!$H$5:$H$856,"Auto-deduct")</f>
        <v>0</v>
      </c>
      <c r="E31" s="15" t="n">
        <f aca="false">SUMIFS(Service_Consumables!$L$5:$L$856,Service_Consumables!$A$5:$A$856,$A31,Service_Consumables!$E$5:$E$856,E$5,Service_Consumables!$H$5:$H$856,"Auto-deduct")</f>
        <v>0</v>
      </c>
      <c r="F31" s="15" t="n">
        <f aca="false">SUMIFS(Service_Consumables!$L$5:$L$856,Service_Consumables!$A$5:$A$856,$A31,Service_Consumables!$E$5:$E$856,F$5,Service_Consumables!$H$5:$H$856,"Auto-deduct")</f>
        <v>0</v>
      </c>
      <c r="G31" s="15" t="n">
        <f aca="false">SUMIFS(Service_Consumables!$L$5:$L$856,Service_Consumables!$A$5:$A$856,$A31,Service_Consumables!$E$5:$E$856,G$5,Service_Consumables!$H$5:$H$856,"Auto-deduct")</f>
        <v>0</v>
      </c>
      <c r="H31" s="15" t="n">
        <f aca="false">SUMIFS(Service_Consumables!$L$5:$L$856,Service_Consumables!$A$5:$A$856,$A31,Service_Consumables!$E$5:$E$856,H$5,Service_Consumables!$H$5:$H$856,"Auto-deduct")</f>
        <v>0</v>
      </c>
      <c r="I31" s="15" t="n">
        <f aca="false">SUMIFS(Service_Consumables!$L$5:$L$856,Service_Consumables!$A$5:$A$856,$A31,Service_Consumables!$E$5:$E$856,I$5,Service_Consumables!$H$5:$H$856,"Auto-deduct")</f>
        <v>0</v>
      </c>
      <c r="J31" s="15" t="n">
        <f aca="false">SUMIFS(Service_Consumables!$L$5:$L$856,Service_Consumables!$A$5:$A$856,$A31,Service_Consumables!$E$5:$E$856,J$5,Service_Consumables!$H$5:$H$856,"Auto-deduct")</f>
        <v>0</v>
      </c>
      <c r="K31" s="15" t="n">
        <f aca="false">SUMIFS(Service_Consumables!$L$5:$L$856,Service_Consumables!$A$5:$A$856,$A31,Service_Consumables!$E$5:$E$856,K$5,Service_Consumables!$H$5:$H$856,"Auto-deduct")</f>
        <v>0</v>
      </c>
      <c r="L31" s="15" t="n">
        <f aca="false">SUMIFS(Service_Consumables!$L$5:$L$856,Service_Consumables!$A$5:$A$856,$A31,Service_Consumables!$E$5:$E$856,L$5,Service_Consumables!$H$5:$H$856,"Auto-deduct")</f>
        <v>0</v>
      </c>
      <c r="M31" s="15" t="n">
        <f aca="false">SUMIFS(Service_Consumables!$L$5:$L$856,Service_Consumables!$A$5:$A$856,$A31,Service_Consumables!$E$5:$E$856,M$5,Service_Consumables!$H$5:$H$856,"Auto-deduct")</f>
        <v>0</v>
      </c>
      <c r="N31" s="15" t="n">
        <f aca="false">SUMIFS(Service_Consumables!$L$5:$L$856,Service_Consumables!$A$5:$A$856,$A31,Service_Consumables!$E$5:$E$856,N$5,Service_Consumables!$H$5:$H$856,"Auto-deduct")</f>
        <v>0</v>
      </c>
      <c r="O31" s="15" t="n">
        <f aca="false">SUMIFS(Service_Consumables!$L$5:$L$856,Service_Consumables!$A$5:$A$856,$A31,Service_Consumables!$E$5:$E$856,O$5,Service_Consumables!$H$5:$H$856,"Auto-deduct")</f>
        <v>0</v>
      </c>
      <c r="P31" s="15" t="n">
        <f aca="false">SUMIFS(Service_Consumables!$L$5:$L$856,Service_Consumables!$A$5:$A$856,$A31,Service_Consumables!$E$5:$E$856,P$5,Service_Consumables!$H$5:$H$856,"Auto-deduct")</f>
        <v>1</v>
      </c>
      <c r="Q31" s="15" t="n">
        <f aca="false">SUMIFS(Service_Consumables!$L$5:$L$856,Service_Consumables!$A$5:$A$856,$A31,Service_Consumables!$E$5:$E$856,Q$5,Service_Consumables!$H$5:$H$856,"Auto-deduct")</f>
        <v>1</v>
      </c>
      <c r="R31" s="15" t="n">
        <f aca="false">SUMIFS(Service_Consumables!$L$5:$L$856,Service_Consumables!$A$5:$A$856,$A31,Service_Consumables!$E$5:$E$856,R$5,Service_Consumables!$H$5:$H$856,"Auto-deduct")</f>
        <v>0</v>
      </c>
      <c r="S31" s="15" t="n">
        <f aca="false">SUMIFS(Service_Consumables!$L$5:$L$856,Service_Consumables!$A$5:$A$856,$A31,Service_Consumables!$E$5:$E$856,S$5,Service_Consumables!$H$5:$H$856,"Auto-deduct")</f>
        <v>10</v>
      </c>
      <c r="T31" s="15" t="n">
        <f aca="false">SUMIFS(Service_Consumables!$L$5:$L$856,Service_Consumables!$A$5:$A$856,$A31,Service_Consumables!$E$5:$E$856,T$5,Service_Consumables!$H$5:$H$856,"Auto-deduct")</f>
        <v>0</v>
      </c>
      <c r="U31" s="15" t="n">
        <f aca="false">SUMIFS(Service_Consumables!$L$5:$L$856,Service_Consumables!$A$5:$A$856,$A31,Service_Consumables!$E$5:$E$856,U$5,Service_Consumables!$H$5:$H$856,"Auto-deduct")</f>
        <v>0</v>
      </c>
      <c r="V31" s="15" t="n">
        <f aca="false">SUMIFS(Service_Consumables!$L$5:$L$856,Service_Consumables!$A$5:$A$856,$A31,Service_Consumables!$E$5:$E$856,V$5,Service_Consumables!$H$5:$H$856,"Auto-deduct")</f>
        <v>10</v>
      </c>
      <c r="W31" s="15" t="n">
        <f aca="false">SUMIFS(Service_Consumables!$L$5:$L$856,Service_Consumables!$A$5:$A$856,$A31,Service_Consumables!$E$5:$E$856,W$5,Service_Consumables!$H$5:$H$856,"Auto-deduct")</f>
        <v>4</v>
      </c>
      <c r="X31" s="15" t="n">
        <f aca="false">SUMIFS(Service_Consumables!$L$5:$L$856,Service_Consumables!$A$5:$A$856,$A31,Service_Consumables!$E$5:$E$856,X$5,Service_Consumables!$H$5:$H$856,"Auto-deduct")</f>
        <v>0</v>
      </c>
      <c r="Y31" s="15" t="n">
        <f aca="false">SUMIFS(Service_Consumables!$L$5:$L$856,Service_Consumables!$A$5:$A$856,$A31,Service_Consumables!$E$5:$E$856,Y$5,Service_Consumables!$H$5:$H$856,"Auto-deduct")</f>
        <v>0</v>
      </c>
      <c r="Z31" s="15" t="n">
        <f aca="false">SUMIFS(Service_Consumables!$L$5:$L$856,Service_Consumables!$A$5:$A$856,$A31,Service_Consumables!$E$5:$E$856,Z$5,Service_Consumables!$H$5:$H$856,"Auto-deduct")</f>
        <v>0</v>
      </c>
      <c r="AA31" s="15" t="n">
        <f aca="false">SUMIFS(Service_Consumables!$L$5:$L$856,Service_Consumables!$A$5:$A$856,$A31,Service_Consumables!$E$5:$E$856,AA$5,Service_Consumables!$H$5:$H$856,"Auto-deduct")</f>
        <v>2</v>
      </c>
      <c r="AB31" s="15" t="n">
        <f aca="false">SUMIFS(Service_Consumables!$L$5:$L$856,Service_Consumables!$A$5:$A$856,$A31,Service_Consumables!$E$5:$E$856,AB$5,Service_Consumables!$H$5:$H$856,"Auto-deduct")</f>
        <v>0</v>
      </c>
      <c r="AC31" s="15" t="n">
        <f aca="false">SUMIFS(Service_Consumables!$L$5:$L$856,Service_Consumables!$A$5:$A$856,$A31,Service_Consumables!$E$5:$E$856,AC$5,Service_Consumables!$H$5:$H$856,"Auto-deduct")</f>
        <v>5</v>
      </c>
      <c r="AD31" s="15" t="n">
        <f aca="false">SUMIFS(Service_Consumables!$L$5:$L$856,Service_Consumables!$A$5:$A$856,$A31,Service_Consumables!$E$5:$E$856,AD$5,Service_Consumables!$H$5:$H$856,"Auto-deduct")</f>
        <v>30</v>
      </c>
      <c r="AE31" s="15" t="n">
        <f aca="false">SUMIFS(Service_Consumables!$L$5:$L$856,Service_Consumables!$A$5:$A$856,$A31,Service_Consumables!$E$5:$E$856,AE$5,Service_Consumables!$H$5:$H$856,"Auto-deduct")</f>
        <v>0</v>
      </c>
      <c r="AF31" s="15" t="n">
        <f aca="false">SUMIFS(Service_Consumables!$L$5:$L$856,Service_Consumables!$A$5:$A$856,$A31,Service_Consumables!$E$5:$E$856,AF$5,Service_Consumables!$H$5:$H$856,"Auto-deduct")</f>
        <v>0</v>
      </c>
      <c r="AG31" s="15" t="n">
        <f aca="false">SUMIFS(Service_Consumables!$L$5:$L$856,Service_Consumables!$A$5:$A$856,$A31,Service_Consumables!$E$5:$E$856,AG$5,Service_Consumables!$H$5:$H$856,"Auto-deduct")</f>
        <v>0</v>
      </c>
      <c r="AH31" s="15" t="n">
        <f aca="false">SUMIFS(Service_Consumables!$L$5:$L$856,Service_Consumables!$A$5:$A$856,$A31,Service_Consumables!$E$5:$E$856,AH$5,Service_Consumables!$H$5:$H$856,"Auto-deduct")</f>
        <v>0</v>
      </c>
      <c r="AI31" s="15" t="n">
        <f aca="false">SUMIFS(Service_Consumables!$L$5:$L$856,Service_Consumables!$A$5:$A$856,$A31,Service_Consumables!$E$5:$E$856,AI$5,Service_Consumables!$H$5:$H$856,"Auto-deduct")</f>
        <v>0</v>
      </c>
      <c r="AJ31" s="15" t="n">
        <f aca="false">SUMIFS(Service_Consumables!$L$5:$L$856,Service_Consumables!$A$5:$A$856,$A31,Service_Consumables!$E$5:$E$856,AJ$5,Service_Consumables!$H$5:$H$856,"Auto-deduct")</f>
        <v>0</v>
      </c>
      <c r="AK31" s="15" t="n">
        <f aca="false">SUMIFS(Service_Consumables!$L$5:$L$856,Service_Consumables!$A$5:$A$856,$A31,Service_Consumables!$E$5:$E$856,AK$5,Service_Consumables!$H$5:$H$856,"Auto-deduct")</f>
        <v>0</v>
      </c>
      <c r="AL31" s="15" t="n">
        <f aca="false">SUMIFS(Service_Consumables!$L$5:$L$856,Service_Consumables!$A$5:$A$856,$A31,Service_Consumables!$E$5:$E$856,AL$5,Service_Consumables!$H$5:$H$856,"Auto-deduct")</f>
        <v>0</v>
      </c>
      <c r="AM31" s="15" t="n">
        <f aca="false">SUMIFS(Service_Consumables!$L$5:$L$856,Service_Consumables!$A$5:$A$856,$A31,Service_Consumables!$E$5:$E$856,AM$5,Service_Consumables!$H$5:$H$856,"Auto-deduct")</f>
        <v>0</v>
      </c>
      <c r="AN31" s="15" t="n">
        <f aca="false">SUMIFS(Service_Consumables!$L$5:$L$856,Service_Consumables!$A$5:$A$856,$A31,Service_Consumables!$E$5:$E$856,AN$5,Service_Consumables!$H$5:$H$856,"Auto-deduct")</f>
        <v>0</v>
      </c>
      <c r="AO31" s="15" t="n">
        <f aca="false">SUMIFS(Service_Consumables!$L$5:$L$856,Service_Consumables!$A$5:$A$856,$A31,Service_Consumables!$E$5:$E$856,AO$5,Service_Consumables!$H$5:$H$856,"Auto-deduct")</f>
        <v>0</v>
      </c>
      <c r="AP31" s="15" t="n">
        <f aca="false">SUMIFS(Service_Consumables!$L$5:$L$856,Service_Consumables!$A$5:$A$856,$A31,Service_Consumables!$E$5:$E$856,AP$5,Service_Consumables!$H$5:$H$856,"Auto-deduct")</f>
        <v>0</v>
      </c>
      <c r="AQ31" s="15" t="n">
        <f aca="false">SUMIFS(Service_Consumables!$L$5:$L$856,Service_Consumables!$A$5:$A$856,$A31,Service_Consumables!$E$5:$E$856,AQ$5,Service_Consumables!$H$5:$H$856,"Auto-deduct")</f>
        <v>0</v>
      </c>
      <c r="AR31" s="15" t="n">
        <f aca="false">SUMIFS(Service_Consumables!$L$5:$L$856,Service_Consumables!$A$5:$A$856,$A31,Service_Consumables!$E$5:$E$856,AR$5,Service_Consumables!$H$5:$H$856,"Auto-deduct")</f>
        <v>0</v>
      </c>
      <c r="AS31" s="15" t="n">
        <f aca="false">SUMIFS(Service_Consumables!$L$5:$L$856,Service_Consumables!$A$5:$A$856,$A31,Service_Consumables!$E$5:$E$856,AS$5,Service_Consumables!$H$5:$H$856,"Auto-deduct")</f>
        <v>0</v>
      </c>
      <c r="AT31" s="15" t="n">
        <f aca="false">SUMIFS(Service_Consumables!$L$5:$L$856,Service_Consumables!$A$5:$A$856,$A31,Service_Consumables!$E$5:$E$856,AT$5,Service_Consumables!$H$5:$H$856,"Auto-deduct")</f>
        <v>0</v>
      </c>
      <c r="AU31" s="15" t="n">
        <f aca="false">SUMIFS(Service_Consumables!$L$5:$L$856,Service_Consumables!$A$5:$A$856,$A31,Service_Consumables!$E$5:$E$856,AU$5,Service_Consumables!$H$5:$H$856,"Auto-deduct")</f>
        <v>0</v>
      </c>
      <c r="AV31" s="15" t="n">
        <f aca="false">SUMIFS(Service_Consumables!$L$5:$L$856,Service_Consumables!$A$5:$A$856,$A31,Service_Consumables!$E$5:$E$856,AV$5,Service_Consumables!$H$5:$H$856,"Auto-deduct")</f>
        <v>0</v>
      </c>
      <c r="AW31" s="15" t="n">
        <f aca="false">SUMIFS(Service_Consumables!$L$5:$L$856,Service_Consumables!$A$5:$A$856,$A31,Service_Consumables!$E$5:$E$856,AW$5,Service_Consumables!$H$5:$H$856,"Auto-deduct")</f>
        <v>0</v>
      </c>
      <c r="AX31" s="15" t="n">
        <f aca="false">SUMIFS(Service_Consumables!$L$5:$L$856,Service_Consumables!$A$5:$A$856,$A31,Service_Consumables!$E$5:$E$856,AX$5,Service_Consumables!$H$5:$H$856,"Auto-deduct")</f>
        <v>0</v>
      </c>
      <c r="AY31" s="15" t="n">
        <f aca="false">SUMIFS(Service_Consumables!$L$5:$L$856,Service_Consumables!$A$5:$A$856,$A31,Service_Consumables!$E$5:$E$856,AY$5,Service_Consumables!$H$5:$H$856,"Auto-deduct")</f>
        <v>0</v>
      </c>
      <c r="AZ31" s="15" t="n">
        <f aca="false">SUMIFS(Service_Consumables!$L$5:$L$856,Service_Consumables!$A$5:$A$856,$A31,Service_Consumables!$E$5:$E$856,AZ$5,Service_Consumables!$H$5:$H$856,"Auto-deduct")</f>
        <v>0</v>
      </c>
      <c r="BA31" s="15" t="n">
        <f aca="false">SUMIFS(Service_Consumables!$L$5:$L$856,Service_Consumables!$A$5:$A$856,$A31,Service_Consumables!$E$5:$E$856,BA$5,Service_Consumables!$H$5:$H$856,"Auto-deduct")</f>
        <v>0</v>
      </c>
      <c r="BB31" s="15" t="n">
        <f aca="false">SUMIFS(Service_Consumables!$L$5:$L$856,Service_Consumables!$A$5:$A$856,$A31,Service_Consumables!$E$5:$E$856,BB$5,Service_Consumables!$H$5:$H$856,"Auto-deduct")</f>
        <v>0</v>
      </c>
      <c r="BC31" s="15" t="n">
        <f aca="false">SUMIFS(Service_Consumables!$L$5:$L$856,Service_Consumables!$A$5:$A$856,$A31,Service_Consumables!$E$5:$E$856,BC$5,Service_Consumables!$H$5:$H$856,"Auto-deduct")</f>
        <v>0</v>
      </c>
      <c r="BD31" s="15" t="n">
        <f aca="false">SUMIFS(Service_Consumables!$L$5:$L$856,Service_Consumables!$A$5:$A$856,$A31,Service_Consumables!$E$5:$E$856,BD$5,Service_Consumables!$H$5:$H$856,"Auto-deduct")</f>
        <v>0</v>
      </c>
      <c r="BE31" s="15" t="n">
        <f aca="false">SUMIFS(Service_Consumables!$L$5:$L$856,Service_Consumables!$A$5:$A$856,$A31,Service_Consumables!$E$5:$E$856,BE$5,Service_Consumables!$H$5:$H$856,"Auto-deduct")</f>
        <v>0</v>
      </c>
      <c r="BF31" s="15" t="n">
        <f aca="false">SUMIFS(Service_Consumables!$L$5:$L$856,Service_Consumables!$A$5:$A$856,$A31,Service_Consumables!$E$5:$E$856,BF$5,Service_Consumables!$H$5:$H$856,"Auto-deduct")</f>
        <v>0</v>
      </c>
      <c r="BG31" s="15" t="n">
        <f aca="false">SUMIFS(Service_Consumables!$L$5:$L$856,Service_Consumables!$A$5:$A$856,$A31,Service_Consumables!$E$5:$E$856,BG$5,Service_Consumables!$H$5:$H$856,"Auto-deduct")</f>
        <v>0</v>
      </c>
      <c r="BH31" s="15" t="n">
        <f aca="false">SUMIFS(Service_Consumables!$L$5:$L$856,Service_Consumables!$A$5:$A$856,$A31,Service_Consumables!$E$5:$E$856,BH$5,Service_Consumables!$H$5:$H$856,"Auto-deduct")</f>
        <v>0</v>
      </c>
      <c r="BI31" s="15" t="n">
        <f aca="false">SUMIFS(Service_Consumables!$L$5:$L$856,Service_Consumables!$A$5:$A$856,$A31,Service_Consumables!$E$5:$E$856,BI$5,Service_Consumables!$H$5:$H$856,"Auto-deduct")</f>
        <v>0</v>
      </c>
    </row>
    <row r="32" customFormat="false" ht="15" hidden="false" customHeight="false" outlineLevel="0" collapsed="false">
      <c r="A32" s="14" t="n">
        <f aca="false">Services!A31</f>
        <v>27</v>
      </c>
      <c r="B32" s="14" t="str">
        <f aca="false">Services!B31</f>
        <v>Foot Treatment</v>
      </c>
      <c r="C32" s="14" t="str">
        <f aca="false">Services!C31</f>
        <v>Pedicure w/ Foot Spa (Premium)</v>
      </c>
      <c r="D32" s="15" t="n">
        <f aca="false">SUMIFS(Service_Consumables!$L$5:$L$856,Service_Consumables!$A$5:$A$856,$A32,Service_Consumables!$E$5:$E$856,D$5,Service_Consumables!$H$5:$H$856,"Auto-deduct")</f>
        <v>0</v>
      </c>
      <c r="E32" s="15" t="n">
        <f aca="false">SUMIFS(Service_Consumables!$L$5:$L$856,Service_Consumables!$A$5:$A$856,$A32,Service_Consumables!$E$5:$E$856,E$5,Service_Consumables!$H$5:$H$856,"Auto-deduct")</f>
        <v>0</v>
      </c>
      <c r="F32" s="15" t="n">
        <f aca="false">SUMIFS(Service_Consumables!$L$5:$L$856,Service_Consumables!$A$5:$A$856,$A32,Service_Consumables!$E$5:$E$856,F$5,Service_Consumables!$H$5:$H$856,"Auto-deduct")</f>
        <v>0</v>
      </c>
      <c r="G32" s="15" t="n">
        <f aca="false">SUMIFS(Service_Consumables!$L$5:$L$856,Service_Consumables!$A$5:$A$856,$A32,Service_Consumables!$E$5:$E$856,G$5,Service_Consumables!$H$5:$H$856,"Auto-deduct")</f>
        <v>0</v>
      </c>
      <c r="H32" s="15" t="n">
        <f aca="false">SUMIFS(Service_Consumables!$L$5:$L$856,Service_Consumables!$A$5:$A$856,$A32,Service_Consumables!$E$5:$E$856,H$5,Service_Consumables!$H$5:$H$856,"Auto-deduct")</f>
        <v>0</v>
      </c>
      <c r="I32" s="15" t="n">
        <f aca="false">SUMIFS(Service_Consumables!$L$5:$L$856,Service_Consumables!$A$5:$A$856,$A32,Service_Consumables!$E$5:$E$856,I$5,Service_Consumables!$H$5:$H$856,"Auto-deduct")</f>
        <v>0</v>
      </c>
      <c r="J32" s="15" t="n">
        <f aca="false">SUMIFS(Service_Consumables!$L$5:$L$856,Service_Consumables!$A$5:$A$856,$A32,Service_Consumables!$E$5:$E$856,J$5,Service_Consumables!$H$5:$H$856,"Auto-deduct")</f>
        <v>0</v>
      </c>
      <c r="K32" s="15" t="n">
        <f aca="false">SUMIFS(Service_Consumables!$L$5:$L$856,Service_Consumables!$A$5:$A$856,$A32,Service_Consumables!$E$5:$E$856,K$5,Service_Consumables!$H$5:$H$856,"Auto-deduct")</f>
        <v>0</v>
      </c>
      <c r="L32" s="15" t="n">
        <f aca="false">SUMIFS(Service_Consumables!$L$5:$L$856,Service_Consumables!$A$5:$A$856,$A32,Service_Consumables!$E$5:$E$856,L$5,Service_Consumables!$H$5:$H$856,"Auto-deduct")</f>
        <v>0</v>
      </c>
      <c r="M32" s="15" t="n">
        <f aca="false">SUMIFS(Service_Consumables!$L$5:$L$856,Service_Consumables!$A$5:$A$856,$A32,Service_Consumables!$E$5:$E$856,M$5,Service_Consumables!$H$5:$H$856,"Auto-deduct")</f>
        <v>0</v>
      </c>
      <c r="N32" s="15" t="n">
        <f aca="false">SUMIFS(Service_Consumables!$L$5:$L$856,Service_Consumables!$A$5:$A$856,$A32,Service_Consumables!$E$5:$E$856,N$5,Service_Consumables!$H$5:$H$856,"Auto-deduct")</f>
        <v>0</v>
      </c>
      <c r="O32" s="15" t="n">
        <f aca="false">SUMIFS(Service_Consumables!$L$5:$L$856,Service_Consumables!$A$5:$A$856,$A32,Service_Consumables!$E$5:$E$856,O$5,Service_Consumables!$H$5:$H$856,"Auto-deduct")</f>
        <v>0</v>
      </c>
      <c r="P32" s="15" t="n">
        <f aca="false">SUMIFS(Service_Consumables!$L$5:$L$856,Service_Consumables!$A$5:$A$856,$A32,Service_Consumables!$E$5:$E$856,P$5,Service_Consumables!$H$5:$H$856,"Auto-deduct")</f>
        <v>1</v>
      </c>
      <c r="Q32" s="15" t="n">
        <f aca="false">SUMIFS(Service_Consumables!$L$5:$L$856,Service_Consumables!$A$5:$A$856,$A32,Service_Consumables!$E$5:$E$856,Q$5,Service_Consumables!$H$5:$H$856,"Auto-deduct")</f>
        <v>1</v>
      </c>
      <c r="R32" s="15" t="n">
        <f aca="false">SUMIFS(Service_Consumables!$L$5:$L$856,Service_Consumables!$A$5:$A$856,$A32,Service_Consumables!$E$5:$E$856,R$5,Service_Consumables!$H$5:$H$856,"Auto-deduct")</f>
        <v>0</v>
      </c>
      <c r="S32" s="15" t="n">
        <f aca="false">SUMIFS(Service_Consumables!$L$5:$L$856,Service_Consumables!$A$5:$A$856,$A32,Service_Consumables!$E$5:$E$856,S$5,Service_Consumables!$H$5:$H$856,"Auto-deduct")</f>
        <v>10</v>
      </c>
      <c r="T32" s="15" t="n">
        <f aca="false">SUMIFS(Service_Consumables!$L$5:$L$856,Service_Consumables!$A$5:$A$856,$A32,Service_Consumables!$E$5:$E$856,T$5,Service_Consumables!$H$5:$H$856,"Auto-deduct")</f>
        <v>0</v>
      </c>
      <c r="U32" s="15" t="n">
        <f aca="false">SUMIFS(Service_Consumables!$L$5:$L$856,Service_Consumables!$A$5:$A$856,$A32,Service_Consumables!$E$5:$E$856,U$5,Service_Consumables!$H$5:$H$856,"Auto-deduct")</f>
        <v>0</v>
      </c>
      <c r="V32" s="15" t="n">
        <f aca="false">SUMIFS(Service_Consumables!$L$5:$L$856,Service_Consumables!$A$5:$A$856,$A32,Service_Consumables!$E$5:$E$856,V$5,Service_Consumables!$H$5:$H$856,"Auto-deduct")</f>
        <v>10</v>
      </c>
      <c r="W32" s="15" t="n">
        <f aca="false">SUMIFS(Service_Consumables!$L$5:$L$856,Service_Consumables!$A$5:$A$856,$A32,Service_Consumables!$E$5:$E$856,W$5,Service_Consumables!$H$5:$H$856,"Auto-deduct")</f>
        <v>4</v>
      </c>
      <c r="X32" s="15" t="n">
        <f aca="false">SUMIFS(Service_Consumables!$L$5:$L$856,Service_Consumables!$A$5:$A$856,$A32,Service_Consumables!$E$5:$E$856,X$5,Service_Consumables!$H$5:$H$856,"Auto-deduct")</f>
        <v>0</v>
      </c>
      <c r="Y32" s="15" t="n">
        <f aca="false">SUMIFS(Service_Consumables!$L$5:$L$856,Service_Consumables!$A$5:$A$856,$A32,Service_Consumables!$E$5:$E$856,Y$5,Service_Consumables!$H$5:$H$856,"Auto-deduct")</f>
        <v>0</v>
      </c>
      <c r="Z32" s="15" t="n">
        <f aca="false">SUMIFS(Service_Consumables!$L$5:$L$856,Service_Consumables!$A$5:$A$856,$A32,Service_Consumables!$E$5:$E$856,Z$5,Service_Consumables!$H$5:$H$856,"Auto-deduct")</f>
        <v>60</v>
      </c>
      <c r="AA32" s="15" t="n">
        <f aca="false">SUMIFS(Service_Consumables!$L$5:$L$856,Service_Consumables!$A$5:$A$856,$A32,Service_Consumables!$E$5:$E$856,AA$5,Service_Consumables!$H$5:$H$856,"Auto-deduct")</f>
        <v>2</v>
      </c>
      <c r="AB32" s="15" t="n">
        <f aca="false">SUMIFS(Service_Consumables!$L$5:$L$856,Service_Consumables!$A$5:$A$856,$A32,Service_Consumables!$E$5:$E$856,AB$5,Service_Consumables!$H$5:$H$856,"Auto-deduct")</f>
        <v>0</v>
      </c>
      <c r="AC32" s="15" t="n">
        <f aca="false">SUMIFS(Service_Consumables!$L$5:$L$856,Service_Consumables!$A$5:$A$856,$A32,Service_Consumables!$E$5:$E$856,AC$5,Service_Consumables!$H$5:$H$856,"Auto-deduct")</f>
        <v>7</v>
      </c>
      <c r="AD32" s="15" t="n">
        <f aca="false">SUMIFS(Service_Consumables!$L$5:$L$856,Service_Consumables!$A$5:$A$856,$A32,Service_Consumables!$E$5:$E$856,AD$5,Service_Consumables!$H$5:$H$856,"Auto-deduct")</f>
        <v>30</v>
      </c>
      <c r="AE32" s="15" t="n">
        <f aca="false">SUMIFS(Service_Consumables!$L$5:$L$856,Service_Consumables!$A$5:$A$856,$A32,Service_Consumables!$E$5:$E$856,AE$5,Service_Consumables!$H$5:$H$856,"Auto-deduct")</f>
        <v>0</v>
      </c>
      <c r="AF32" s="15" t="n">
        <f aca="false">SUMIFS(Service_Consumables!$L$5:$L$856,Service_Consumables!$A$5:$A$856,$A32,Service_Consumables!$E$5:$E$856,AF$5,Service_Consumables!$H$5:$H$856,"Auto-deduct")</f>
        <v>0</v>
      </c>
      <c r="AG32" s="15" t="n">
        <f aca="false">SUMIFS(Service_Consumables!$L$5:$L$856,Service_Consumables!$A$5:$A$856,$A32,Service_Consumables!$E$5:$E$856,AG$5,Service_Consumables!$H$5:$H$856,"Auto-deduct")</f>
        <v>0</v>
      </c>
      <c r="AH32" s="15" t="n">
        <f aca="false">SUMIFS(Service_Consumables!$L$5:$L$856,Service_Consumables!$A$5:$A$856,$A32,Service_Consumables!$E$5:$E$856,AH$5,Service_Consumables!$H$5:$H$856,"Auto-deduct")</f>
        <v>0</v>
      </c>
      <c r="AI32" s="15" t="n">
        <f aca="false">SUMIFS(Service_Consumables!$L$5:$L$856,Service_Consumables!$A$5:$A$856,$A32,Service_Consumables!$E$5:$E$856,AI$5,Service_Consumables!$H$5:$H$856,"Auto-deduct")</f>
        <v>0</v>
      </c>
      <c r="AJ32" s="15" t="n">
        <f aca="false">SUMIFS(Service_Consumables!$L$5:$L$856,Service_Consumables!$A$5:$A$856,$A32,Service_Consumables!$E$5:$E$856,AJ$5,Service_Consumables!$H$5:$H$856,"Auto-deduct")</f>
        <v>0</v>
      </c>
      <c r="AK32" s="15" t="n">
        <f aca="false">SUMIFS(Service_Consumables!$L$5:$L$856,Service_Consumables!$A$5:$A$856,$A32,Service_Consumables!$E$5:$E$856,AK$5,Service_Consumables!$H$5:$H$856,"Auto-deduct")</f>
        <v>0</v>
      </c>
      <c r="AL32" s="15" t="n">
        <f aca="false">SUMIFS(Service_Consumables!$L$5:$L$856,Service_Consumables!$A$5:$A$856,$A32,Service_Consumables!$E$5:$E$856,AL$5,Service_Consumables!$H$5:$H$856,"Auto-deduct")</f>
        <v>0</v>
      </c>
      <c r="AM32" s="15" t="n">
        <f aca="false">SUMIFS(Service_Consumables!$L$5:$L$856,Service_Consumables!$A$5:$A$856,$A32,Service_Consumables!$E$5:$E$856,AM$5,Service_Consumables!$H$5:$H$856,"Auto-deduct")</f>
        <v>0</v>
      </c>
      <c r="AN32" s="15" t="n">
        <f aca="false">SUMIFS(Service_Consumables!$L$5:$L$856,Service_Consumables!$A$5:$A$856,$A32,Service_Consumables!$E$5:$E$856,AN$5,Service_Consumables!$H$5:$H$856,"Auto-deduct")</f>
        <v>0</v>
      </c>
      <c r="AO32" s="15" t="n">
        <f aca="false">SUMIFS(Service_Consumables!$L$5:$L$856,Service_Consumables!$A$5:$A$856,$A32,Service_Consumables!$E$5:$E$856,AO$5,Service_Consumables!$H$5:$H$856,"Auto-deduct")</f>
        <v>0</v>
      </c>
      <c r="AP32" s="15" t="n">
        <f aca="false">SUMIFS(Service_Consumables!$L$5:$L$856,Service_Consumables!$A$5:$A$856,$A32,Service_Consumables!$E$5:$E$856,AP$5,Service_Consumables!$H$5:$H$856,"Auto-deduct")</f>
        <v>0</v>
      </c>
      <c r="AQ32" s="15" t="n">
        <f aca="false">SUMIFS(Service_Consumables!$L$5:$L$856,Service_Consumables!$A$5:$A$856,$A32,Service_Consumables!$E$5:$E$856,AQ$5,Service_Consumables!$H$5:$H$856,"Auto-deduct")</f>
        <v>0</v>
      </c>
      <c r="AR32" s="15" t="n">
        <f aca="false">SUMIFS(Service_Consumables!$L$5:$L$856,Service_Consumables!$A$5:$A$856,$A32,Service_Consumables!$E$5:$E$856,AR$5,Service_Consumables!$H$5:$H$856,"Auto-deduct")</f>
        <v>0</v>
      </c>
      <c r="AS32" s="15" t="n">
        <f aca="false">SUMIFS(Service_Consumables!$L$5:$L$856,Service_Consumables!$A$5:$A$856,$A32,Service_Consumables!$E$5:$E$856,AS$5,Service_Consumables!$H$5:$H$856,"Auto-deduct")</f>
        <v>0</v>
      </c>
      <c r="AT32" s="15" t="n">
        <f aca="false">SUMIFS(Service_Consumables!$L$5:$L$856,Service_Consumables!$A$5:$A$856,$A32,Service_Consumables!$E$5:$E$856,AT$5,Service_Consumables!$H$5:$H$856,"Auto-deduct")</f>
        <v>0</v>
      </c>
      <c r="AU32" s="15" t="n">
        <f aca="false">SUMIFS(Service_Consumables!$L$5:$L$856,Service_Consumables!$A$5:$A$856,$A32,Service_Consumables!$E$5:$E$856,AU$5,Service_Consumables!$H$5:$H$856,"Auto-deduct")</f>
        <v>0</v>
      </c>
      <c r="AV32" s="15" t="n">
        <f aca="false">SUMIFS(Service_Consumables!$L$5:$L$856,Service_Consumables!$A$5:$A$856,$A32,Service_Consumables!$E$5:$E$856,AV$5,Service_Consumables!$H$5:$H$856,"Auto-deduct")</f>
        <v>0</v>
      </c>
      <c r="AW32" s="15" t="n">
        <f aca="false">SUMIFS(Service_Consumables!$L$5:$L$856,Service_Consumables!$A$5:$A$856,$A32,Service_Consumables!$E$5:$E$856,AW$5,Service_Consumables!$H$5:$H$856,"Auto-deduct")</f>
        <v>0</v>
      </c>
      <c r="AX32" s="15" t="n">
        <f aca="false">SUMIFS(Service_Consumables!$L$5:$L$856,Service_Consumables!$A$5:$A$856,$A32,Service_Consumables!$E$5:$E$856,AX$5,Service_Consumables!$H$5:$H$856,"Auto-deduct")</f>
        <v>0</v>
      </c>
      <c r="AY32" s="15" t="n">
        <f aca="false">SUMIFS(Service_Consumables!$L$5:$L$856,Service_Consumables!$A$5:$A$856,$A32,Service_Consumables!$E$5:$E$856,AY$5,Service_Consumables!$H$5:$H$856,"Auto-deduct")</f>
        <v>0</v>
      </c>
      <c r="AZ32" s="15" t="n">
        <f aca="false">SUMIFS(Service_Consumables!$L$5:$L$856,Service_Consumables!$A$5:$A$856,$A32,Service_Consumables!$E$5:$E$856,AZ$5,Service_Consumables!$H$5:$H$856,"Auto-deduct")</f>
        <v>0</v>
      </c>
      <c r="BA32" s="15" t="n">
        <f aca="false">SUMIFS(Service_Consumables!$L$5:$L$856,Service_Consumables!$A$5:$A$856,$A32,Service_Consumables!$E$5:$E$856,BA$5,Service_Consumables!$H$5:$H$856,"Auto-deduct")</f>
        <v>0</v>
      </c>
      <c r="BB32" s="15" t="n">
        <f aca="false">SUMIFS(Service_Consumables!$L$5:$L$856,Service_Consumables!$A$5:$A$856,$A32,Service_Consumables!$E$5:$E$856,BB$5,Service_Consumables!$H$5:$H$856,"Auto-deduct")</f>
        <v>0</v>
      </c>
      <c r="BC32" s="15" t="n">
        <f aca="false">SUMIFS(Service_Consumables!$L$5:$L$856,Service_Consumables!$A$5:$A$856,$A32,Service_Consumables!$E$5:$E$856,BC$5,Service_Consumables!$H$5:$H$856,"Auto-deduct")</f>
        <v>0</v>
      </c>
      <c r="BD32" s="15" t="n">
        <f aca="false">SUMIFS(Service_Consumables!$L$5:$L$856,Service_Consumables!$A$5:$A$856,$A32,Service_Consumables!$E$5:$E$856,BD$5,Service_Consumables!$H$5:$H$856,"Auto-deduct")</f>
        <v>0</v>
      </c>
      <c r="BE32" s="15" t="n">
        <f aca="false">SUMIFS(Service_Consumables!$L$5:$L$856,Service_Consumables!$A$5:$A$856,$A32,Service_Consumables!$E$5:$E$856,BE$5,Service_Consumables!$H$5:$H$856,"Auto-deduct")</f>
        <v>0</v>
      </c>
      <c r="BF32" s="15" t="n">
        <f aca="false">SUMIFS(Service_Consumables!$L$5:$L$856,Service_Consumables!$A$5:$A$856,$A32,Service_Consumables!$E$5:$E$856,BF$5,Service_Consumables!$H$5:$H$856,"Auto-deduct")</f>
        <v>0</v>
      </c>
      <c r="BG32" s="15" t="n">
        <f aca="false">SUMIFS(Service_Consumables!$L$5:$L$856,Service_Consumables!$A$5:$A$856,$A32,Service_Consumables!$E$5:$E$856,BG$5,Service_Consumables!$H$5:$H$856,"Auto-deduct")</f>
        <v>0</v>
      </c>
      <c r="BH32" s="15" t="n">
        <f aca="false">SUMIFS(Service_Consumables!$L$5:$L$856,Service_Consumables!$A$5:$A$856,$A32,Service_Consumables!$E$5:$E$856,BH$5,Service_Consumables!$H$5:$H$856,"Auto-deduct")</f>
        <v>0</v>
      </c>
      <c r="BI32" s="15" t="n">
        <f aca="false">SUMIFS(Service_Consumables!$L$5:$L$856,Service_Consumables!$A$5:$A$856,$A32,Service_Consumables!$E$5:$E$856,BI$5,Service_Consumables!$H$5:$H$856,"Auto-deduct")</f>
        <v>0</v>
      </c>
    </row>
    <row r="33" customFormat="false" ht="15" hidden="false" customHeight="false" outlineLevel="0" collapsed="false">
      <c r="A33" s="14" t="n">
        <f aca="false">Services!A32</f>
        <v>28</v>
      </c>
      <c r="B33" s="14" t="str">
        <f aca="false">Services!B32</f>
        <v>Drip / Shot (ED/GS)</v>
      </c>
      <c r="C33" s="14" t="str">
        <f aca="false">Services!C32</f>
        <v>Anti-Aging Drip</v>
      </c>
      <c r="D33" s="15" t="n">
        <f aca="false">SUMIFS(Service_Consumables!$L$5:$L$856,Service_Consumables!$A$5:$A$856,$A33,Service_Consumables!$E$5:$E$856,D$5,Service_Consumables!$H$5:$H$856,"Auto-deduct")</f>
        <v>0</v>
      </c>
      <c r="E33" s="15" t="n">
        <f aca="false">SUMIFS(Service_Consumables!$L$5:$L$856,Service_Consumables!$A$5:$A$856,$A33,Service_Consumables!$E$5:$E$856,E$5,Service_Consumables!$H$5:$H$856,"Auto-deduct")</f>
        <v>0</v>
      </c>
      <c r="F33" s="15" t="n">
        <f aca="false">SUMIFS(Service_Consumables!$L$5:$L$856,Service_Consumables!$A$5:$A$856,$A33,Service_Consumables!$E$5:$E$856,F$5,Service_Consumables!$H$5:$H$856,"Auto-deduct")</f>
        <v>1</v>
      </c>
      <c r="G33" s="15" t="n">
        <f aca="false">SUMIFS(Service_Consumables!$L$5:$L$856,Service_Consumables!$A$5:$A$856,$A33,Service_Consumables!$E$5:$E$856,G$5,Service_Consumables!$H$5:$H$856,"Auto-deduct")</f>
        <v>0</v>
      </c>
      <c r="H33" s="15" t="n">
        <f aca="false">SUMIFS(Service_Consumables!$L$5:$L$856,Service_Consumables!$A$5:$A$856,$A33,Service_Consumables!$E$5:$E$856,H$5,Service_Consumables!$H$5:$H$856,"Auto-deduct")</f>
        <v>0</v>
      </c>
      <c r="I33" s="15" t="n">
        <f aca="false">SUMIFS(Service_Consumables!$L$5:$L$856,Service_Consumables!$A$5:$A$856,$A33,Service_Consumables!$E$5:$E$856,I$5,Service_Consumables!$H$5:$H$856,"Auto-deduct")</f>
        <v>0</v>
      </c>
      <c r="J33" s="15" t="n">
        <f aca="false">SUMIFS(Service_Consumables!$L$5:$L$856,Service_Consumables!$A$5:$A$856,$A33,Service_Consumables!$E$5:$E$856,J$5,Service_Consumables!$H$5:$H$856,"Auto-deduct")</f>
        <v>1</v>
      </c>
      <c r="K33" s="15" t="n">
        <f aca="false">SUMIFS(Service_Consumables!$L$5:$L$856,Service_Consumables!$A$5:$A$856,$A33,Service_Consumables!$E$5:$E$856,K$5,Service_Consumables!$H$5:$H$856,"Auto-deduct")</f>
        <v>0</v>
      </c>
      <c r="L33" s="15" t="n">
        <f aca="false">SUMIFS(Service_Consumables!$L$5:$L$856,Service_Consumables!$A$5:$A$856,$A33,Service_Consumables!$E$5:$E$856,L$5,Service_Consumables!$H$5:$H$856,"Auto-deduct")</f>
        <v>0</v>
      </c>
      <c r="M33" s="15" t="n">
        <f aca="false">SUMIFS(Service_Consumables!$L$5:$L$856,Service_Consumables!$A$5:$A$856,$A33,Service_Consumables!$E$5:$E$856,M$5,Service_Consumables!$H$5:$H$856,"Auto-deduct")</f>
        <v>1</v>
      </c>
      <c r="N33" s="15" t="n">
        <f aca="false">SUMIFS(Service_Consumables!$L$5:$L$856,Service_Consumables!$A$5:$A$856,$A33,Service_Consumables!$E$5:$E$856,N$5,Service_Consumables!$H$5:$H$856,"Auto-deduct")</f>
        <v>1</v>
      </c>
      <c r="O33" s="15" t="n">
        <f aca="false">SUMIFS(Service_Consumables!$L$5:$L$856,Service_Consumables!$A$5:$A$856,$A33,Service_Consumables!$E$5:$E$856,O$5,Service_Consumables!$H$5:$H$856,"Auto-deduct")</f>
        <v>0</v>
      </c>
      <c r="P33" s="15" t="n">
        <f aca="false">SUMIFS(Service_Consumables!$L$5:$L$856,Service_Consumables!$A$5:$A$856,$A33,Service_Consumables!$E$5:$E$856,P$5,Service_Consumables!$H$5:$H$856,"Auto-deduct")</f>
        <v>1</v>
      </c>
      <c r="Q33" s="15" t="n">
        <f aca="false">SUMIFS(Service_Consumables!$L$5:$L$856,Service_Consumables!$A$5:$A$856,$A33,Service_Consumables!$E$5:$E$856,Q$5,Service_Consumables!$H$5:$H$856,"Auto-deduct")</f>
        <v>1</v>
      </c>
      <c r="R33" s="15" t="n">
        <f aca="false">SUMIFS(Service_Consumables!$L$5:$L$856,Service_Consumables!$A$5:$A$856,$A33,Service_Consumables!$E$5:$E$856,R$5,Service_Consumables!$H$5:$H$856,"Auto-deduct")</f>
        <v>0</v>
      </c>
      <c r="S33" s="15" t="n">
        <f aca="false">SUMIFS(Service_Consumables!$L$5:$L$856,Service_Consumables!$A$5:$A$856,$A33,Service_Consumables!$E$5:$E$856,S$5,Service_Consumables!$H$5:$H$856,"Auto-deduct")</f>
        <v>0</v>
      </c>
      <c r="T33" s="15" t="n">
        <f aca="false">SUMIFS(Service_Consumables!$L$5:$L$856,Service_Consumables!$A$5:$A$856,$A33,Service_Consumables!$E$5:$E$856,T$5,Service_Consumables!$H$5:$H$856,"Auto-deduct")</f>
        <v>0</v>
      </c>
      <c r="U33" s="15" t="n">
        <f aca="false">SUMIFS(Service_Consumables!$L$5:$L$856,Service_Consumables!$A$5:$A$856,$A33,Service_Consumables!$E$5:$E$856,U$5,Service_Consumables!$H$5:$H$856,"Auto-deduct")</f>
        <v>0</v>
      </c>
      <c r="V33" s="15" t="n">
        <f aca="false">SUMIFS(Service_Consumables!$L$5:$L$856,Service_Consumables!$A$5:$A$856,$A33,Service_Consumables!$E$5:$E$856,V$5,Service_Consumables!$H$5:$H$856,"Auto-deduct")</f>
        <v>0</v>
      </c>
      <c r="W33" s="15" t="n">
        <f aca="false">SUMIFS(Service_Consumables!$L$5:$L$856,Service_Consumables!$A$5:$A$856,$A33,Service_Consumables!$E$5:$E$856,W$5,Service_Consumables!$H$5:$H$856,"Auto-deduct")</f>
        <v>0</v>
      </c>
      <c r="X33" s="15" t="n">
        <f aca="false">SUMIFS(Service_Consumables!$L$5:$L$856,Service_Consumables!$A$5:$A$856,$A33,Service_Consumables!$E$5:$E$856,X$5,Service_Consumables!$H$5:$H$856,"Auto-deduct")</f>
        <v>0</v>
      </c>
      <c r="Y33" s="15" t="n">
        <f aca="false">SUMIFS(Service_Consumables!$L$5:$L$856,Service_Consumables!$A$5:$A$856,$A33,Service_Consumables!$E$5:$E$856,Y$5,Service_Consumables!$H$5:$H$856,"Auto-deduct")</f>
        <v>20</v>
      </c>
      <c r="Z33" s="15" t="n">
        <f aca="false">SUMIFS(Service_Consumables!$L$5:$L$856,Service_Consumables!$A$5:$A$856,$A33,Service_Consumables!$E$5:$E$856,Z$5,Service_Consumables!$H$5:$H$856,"Auto-deduct")</f>
        <v>0</v>
      </c>
      <c r="AA33" s="15" t="n">
        <f aca="false">SUMIFS(Service_Consumables!$L$5:$L$856,Service_Consumables!$A$5:$A$856,$A33,Service_Consumables!$E$5:$E$856,AA$5,Service_Consumables!$H$5:$H$856,"Auto-deduct")</f>
        <v>0</v>
      </c>
      <c r="AB33" s="15" t="n">
        <f aca="false">SUMIFS(Service_Consumables!$L$5:$L$856,Service_Consumables!$A$5:$A$856,$A33,Service_Consumables!$E$5:$E$856,AB$5,Service_Consumables!$H$5:$H$856,"Auto-deduct")</f>
        <v>2</v>
      </c>
      <c r="AC33" s="15" t="n">
        <f aca="false">SUMIFS(Service_Consumables!$L$5:$L$856,Service_Consumables!$A$5:$A$856,$A33,Service_Consumables!$E$5:$E$856,AC$5,Service_Consumables!$H$5:$H$856,"Auto-deduct")</f>
        <v>0</v>
      </c>
      <c r="AD33" s="15" t="n">
        <f aca="false">SUMIFS(Service_Consumables!$L$5:$L$856,Service_Consumables!$A$5:$A$856,$A33,Service_Consumables!$E$5:$E$856,AD$5,Service_Consumables!$H$5:$H$856,"Auto-deduct")</f>
        <v>5</v>
      </c>
      <c r="AE33" s="15" t="n">
        <f aca="false">SUMIFS(Service_Consumables!$L$5:$L$856,Service_Consumables!$A$5:$A$856,$A33,Service_Consumables!$E$5:$E$856,AE$5,Service_Consumables!$H$5:$H$856,"Auto-deduct")</f>
        <v>0</v>
      </c>
      <c r="AF33" s="15" t="n">
        <f aca="false">SUMIFS(Service_Consumables!$L$5:$L$856,Service_Consumables!$A$5:$A$856,$A33,Service_Consumables!$E$5:$E$856,AF$5,Service_Consumables!$H$5:$H$856,"Auto-deduct")</f>
        <v>0</v>
      </c>
      <c r="AG33" s="15" t="n">
        <f aca="false">SUMIFS(Service_Consumables!$L$5:$L$856,Service_Consumables!$A$5:$A$856,$A33,Service_Consumables!$E$5:$E$856,AG$5,Service_Consumables!$H$5:$H$856,"Auto-deduct")</f>
        <v>0</v>
      </c>
      <c r="AH33" s="15" t="n">
        <f aca="false">SUMIFS(Service_Consumables!$L$5:$L$856,Service_Consumables!$A$5:$A$856,$A33,Service_Consumables!$E$5:$E$856,AH$5,Service_Consumables!$H$5:$H$856,"Auto-deduct")</f>
        <v>0</v>
      </c>
      <c r="AI33" s="15" t="n">
        <f aca="false">SUMIFS(Service_Consumables!$L$5:$L$856,Service_Consumables!$A$5:$A$856,$A33,Service_Consumables!$E$5:$E$856,AI$5,Service_Consumables!$H$5:$H$856,"Auto-deduct")</f>
        <v>0</v>
      </c>
      <c r="AJ33" s="15" t="n">
        <f aca="false">SUMIFS(Service_Consumables!$L$5:$L$856,Service_Consumables!$A$5:$A$856,$A33,Service_Consumables!$E$5:$E$856,AJ$5,Service_Consumables!$H$5:$H$856,"Auto-deduct")</f>
        <v>0</v>
      </c>
      <c r="AK33" s="15" t="n">
        <f aca="false">SUMIFS(Service_Consumables!$L$5:$L$856,Service_Consumables!$A$5:$A$856,$A33,Service_Consumables!$E$5:$E$856,AK$5,Service_Consumables!$H$5:$H$856,"Auto-deduct")</f>
        <v>0</v>
      </c>
      <c r="AL33" s="15" t="n">
        <f aca="false">SUMIFS(Service_Consumables!$L$5:$L$856,Service_Consumables!$A$5:$A$856,$A33,Service_Consumables!$E$5:$E$856,AL$5,Service_Consumables!$H$5:$H$856,"Auto-deduct")</f>
        <v>0</v>
      </c>
      <c r="AM33" s="15" t="n">
        <f aca="false">SUMIFS(Service_Consumables!$L$5:$L$856,Service_Consumables!$A$5:$A$856,$A33,Service_Consumables!$E$5:$E$856,AM$5,Service_Consumables!$H$5:$H$856,"Auto-deduct")</f>
        <v>0</v>
      </c>
      <c r="AN33" s="15" t="n">
        <f aca="false">SUMIFS(Service_Consumables!$L$5:$L$856,Service_Consumables!$A$5:$A$856,$A33,Service_Consumables!$E$5:$E$856,AN$5,Service_Consumables!$H$5:$H$856,"Auto-deduct")</f>
        <v>0</v>
      </c>
      <c r="AO33" s="15" t="n">
        <f aca="false">SUMIFS(Service_Consumables!$L$5:$L$856,Service_Consumables!$A$5:$A$856,$A33,Service_Consumables!$E$5:$E$856,AO$5,Service_Consumables!$H$5:$H$856,"Auto-deduct")</f>
        <v>0</v>
      </c>
      <c r="AP33" s="15" t="n">
        <f aca="false">SUMIFS(Service_Consumables!$L$5:$L$856,Service_Consumables!$A$5:$A$856,$A33,Service_Consumables!$E$5:$E$856,AP$5,Service_Consumables!$H$5:$H$856,"Auto-deduct")</f>
        <v>0</v>
      </c>
      <c r="AQ33" s="15" t="n">
        <f aca="false">SUMIFS(Service_Consumables!$L$5:$L$856,Service_Consumables!$A$5:$A$856,$A33,Service_Consumables!$E$5:$E$856,AQ$5,Service_Consumables!$H$5:$H$856,"Auto-deduct")</f>
        <v>0</v>
      </c>
      <c r="AR33" s="15" t="n">
        <f aca="false">SUMIFS(Service_Consumables!$L$5:$L$856,Service_Consumables!$A$5:$A$856,$A33,Service_Consumables!$E$5:$E$856,AR$5,Service_Consumables!$H$5:$H$856,"Auto-deduct")</f>
        <v>0</v>
      </c>
      <c r="AS33" s="15" t="n">
        <f aca="false">SUMIFS(Service_Consumables!$L$5:$L$856,Service_Consumables!$A$5:$A$856,$A33,Service_Consumables!$E$5:$E$856,AS$5,Service_Consumables!$H$5:$H$856,"Auto-deduct")</f>
        <v>0</v>
      </c>
      <c r="AT33" s="15" t="n">
        <f aca="false">SUMIFS(Service_Consumables!$L$5:$L$856,Service_Consumables!$A$5:$A$856,$A33,Service_Consumables!$E$5:$E$856,AT$5,Service_Consumables!$H$5:$H$856,"Auto-deduct")</f>
        <v>0</v>
      </c>
      <c r="AU33" s="15" t="n">
        <f aca="false">SUMIFS(Service_Consumables!$L$5:$L$856,Service_Consumables!$A$5:$A$856,$A33,Service_Consumables!$E$5:$E$856,AU$5,Service_Consumables!$H$5:$H$856,"Auto-deduct")</f>
        <v>0</v>
      </c>
      <c r="AV33" s="15" t="n">
        <f aca="false">SUMIFS(Service_Consumables!$L$5:$L$856,Service_Consumables!$A$5:$A$856,$A33,Service_Consumables!$E$5:$E$856,AV$5,Service_Consumables!$H$5:$H$856,"Auto-deduct")</f>
        <v>0</v>
      </c>
      <c r="AW33" s="15" t="n">
        <f aca="false">SUMIFS(Service_Consumables!$L$5:$L$856,Service_Consumables!$A$5:$A$856,$A33,Service_Consumables!$E$5:$E$856,AW$5,Service_Consumables!$H$5:$H$856,"Auto-deduct")</f>
        <v>0</v>
      </c>
      <c r="AX33" s="15" t="n">
        <f aca="false">SUMIFS(Service_Consumables!$L$5:$L$856,Service_Consumables!$A$5:$A$856,$A33,Service_Consumables!$E$5:$E$856,AX$5,Service_Consumables!$H$5:$H$856,"Auto-deduct")</f>
        <v>0</v>
      </c>
      <c r="AY33" s="15" t="n">
        <f aca="false">SUMIFS(Service_Consumables!$L$5:$L$856,Service_Consumables!$A$5:$A$856,$A33,Service_Consumables!$E$5:$E$856,AY$5,Service_Consumables!$H$5:$H$856,"Auto-deduct")</f>
        <v>0</v>
      </c>
      <c r="AZ33" s="15" t="n">
        <f aca="false">SUMIFS(Service_Consumables!$L$5:$L$856,Service_Consumables!$A$5:$A$856,$A33,Service_Consumables!$E$5:$E$856,AZ$5,Service_Consumables!$H$5:$H$856,"Auto-deduct")</f>
        <v>0</v>
      </c>
      <c r="BA33" s="15" t="n">
        <f aca="false">SUMIFS(Service_Consumables!$L$5:$L$856,Service_Consumables!$A$5:$A$856,$A33,Service_Consumables!$E$5:$E$856,BA$5,Service_Consumables!$H$5:$H$856,"Auto-deduct")</f>
        <v>0</v>
      </c>
      <c r="BB33" s="15" t="n">
        <f aca="false">SUMIFS(Service_Consumables!$L$5:$L$856,Service_Consumables!$A$5:$A$856,$A33,Service_Consumables!$E$5:$E$856,BB$5,Service_Consumables!$H$5:$H$856,"Auto-deduct")</f>
        <v>0</v>
      </c>
      <c r="BC33" s="15" t="n">
        <f aca="false">SUMIFS(Service_Consumables!$L$5:$L$856,Service_Consumables!$A$5:$A$856,$A33,Service_Consumables!$E$5:$E$856,BC$5,Service_Consumables!$H$5:$H$856,"Auto-deduct")</f>
        <v>0</v>
      </c>
      <c r="BD33" s="15" t="n">
        <f aca="false">SUMIFS(Service_Consumables!$L$5:$L$856,Service_Consumables!$A$5:$A$856,$A33,Service_Consumables!$E$5:$E$856,BD$5,Service_Consumables!$H$5:$H$856,"Auto-deduct")</f>
        <v>0</v>
      </c>
      <c r="BE33" s="15" t="n">
        <f aca="false">SUMIFS(Service_Consumables!$L$5:$L$856,Service_Consumables!$A$5:$A$856,$A33,Service_Consumables!$E$5:$E$856,BE$5,Service_Consumables!$H$5:$H$856,"Auto-deduct")</f>
        <v>0</v>
      </c>
      <c r="BF33" s="15" t="n">
        <f aca="false">SUMIFS(Service_Consumables!$L$5:$L$856,Service_Consumables!$A$5:$A$856,$A33,Service_Consumables!$E$5:$E$856,BF$5,Service_Consumables!$H$5:$H$856,"Auto-deduct")</f>
        <v>0</v>
      </c>
      <c r="BG33" s="15" t="n">
        <f aca="false">SUMIFS(Service_Consumables!$L$5:$L$856,Service_Consumables!$A$5:$A$856,$A33,Service_Consumables!$E$5:$E$856,BG$5,Service_Consumables!$H$5:$H$856,"Auto-deduct")</f>
        <v>0</v>
      </c>
      <c r="BH33" s="15" t="n">
        <f aca="false">SUMIFS(Service_Consumables!$L$5:$L$856,Service_Consumables!$A$5:$A$856,$A33,Service_Consumables!$E$5:$E$856,BH$5,Service_Consumables!$H$5:$H$856,"Auto-deduct")</f>
        <v>0</v>
      </c>
      <c r="BI33" s="15" t="n">
        <f aca="false">SUMIFS(Service_Consumables!$L$5:$L$856,Service_Consumables!$A$5:$A$856,$A33,Service_Consumables!$E$5:$E$856,BI$5,Service_Consumables!$H$5:$H$856,"Auto-deduct")</f>
        <v>0</v>
      </c>
    </row>
    <row r="34" customFormat="false" ht="15" hidden="false" customHeight="false" outlineLevel="0" collapsed="false">
      <c r="A34" s="14" t="n">
        <f aca="false">Services!A33</f>
        <v>29</v>
      </c>
      <c r="B34" s="14" t="str">
        <f aca="false">Services!B33</f>
        <v>Drip / Shot (ED/GS)</v>
      </c>
      <c r="C34" s="14" t="str">
        <f aca="false">Services!C33</f>
        <v>Immune Booster Drip</v>
      </c>
      <c r="D34" s="15" t="n">
        <f aca="false">SUMIFS(Service_Consumables!$L$5:$L$856,Service_Consumables!$A$5:$A$856,$A34,Service_Consumables!$E$5:$E$856,D$5,Service_Consumables!$H$5:$H$856,"Auto-deduct")</f>
        <v>0</v>
      </c>
      <c r="E34" s="15" t="n">
        <f aca="false">SUMIFS(Service_Consumables!$L$5:$L$856,Service_Consumables!$A$5:$A$856,$A34,Service_Consumables!$E$5:$E$856,E$5,Service_Consumables!$H$5:$H$856,"Auto-deduct")</f>
        <v>0</v>
      </c>
      <c r="F34" s="15" t="n">
        <f aca="false">SUMIFS(Service_Consumables!$L$5:$L$856,Service_Consumables!$A$5:$A$856,$A34,Service_Consumables!$E$5:$E$856,F$5,Service_Consumables!$H$5:$H$856,"Auto-deduct")</f>
        <v>1</v>
      </c>
      <c r="G34" s="15" t="n">
        <f aca="false">SUMIFS(Service_Consumables!$L$5:$L$856,Service_Consumables!$A$5:$A$856,$A34,Service_Consumables!$E$5:$E$856,G$5,Service_Consumables!$H$5:$H$856,"Auto-deduct")</f>
        <v>0</v>
      </c>
      <c r="H34" s="15" t="n">
        <f aca="false">SUMIFS(Service_Consumables!$L$5:$L$856,Service_Consumables!$A$5:$A$856,$A34,Service_Consumables!$E$5:$E$856,H$5,Service_Consumables!$H$5:$H$856,"Auto-deduct")</f>
        <v>0</v>
      </c>
      <c r="I34" s="15" t="n">
        <f aca="false">SUMIFS(Service_Consumables!$L$5:$L$856,Service_Consumables!$A$5:$A$856,$A34,Service_Consumables!$E$5:$E$856,I$5,Service_Consumables!$H$5:$H$856,"Auto-deduct")</f>
        <v>0</v>
      </c>
      <c r="J34" s="15" t="n">
        <f aca="false">SUMIFS(Service_Consumables!$L$5:$L$856,Service_Consumables!$A$5:$A$856,$A34,Service_Consumables!$E$5:$E$856,J$5,Service_Consumables!$H$5:$H$856,"Auto-deduct")</f>
        <v>1</v>
      </c>
      <c r="K34" s="15" t="n">
        <f aca="false">SUMIFS(Service_Consumables!$L$5:$L$856,Service_Consumables!$A$5:$A$856,$A34,Service_Consumables!$E$5:$E$856,K$5,Service_Consumables!$H$5:$H$856,"Auto-deduct")</f>
        <v>0</v>
      </c>
      <c r="L34" s="15" t="n">
        <f aca="false">SUMIFS(Service_Consumables!$L$5:$L$856,Service_Consumables!$A$5:$A$856,$A34,Service_Consumables!$E$5:$E$856,L$5,Service_Consumables!$H$5:$H$856,"Auto-deduct")</f>
        <v>0</v>
      </c>
      <c r="M34" s="15" t="n">
        <f aca="false">SUMIFS(Service_Consumables!$L$5:$L$856,Service_Consumables!$A$5:$A$856,$A34,Service_Consumables!$E$5:$E$856,M$5,Service_Consumables!$H$5:$H$856,"Auto-deduct")</f>
        <v>1</v>
      </c>
      <c r="N34" s="15" t="n">
        <f aca="false">SUMIFS(Service_Consumables!$L$5:$L$856,Service_Consumables!$A$5:$A$856,$A34,Service_Consumables!$E$5:$E$856,N$5,Service_Consumables!$H$5:$H$856,"Auto-deduct")</f>
        <v>1</v>
      </c>
      <c r="O34" s="15" t="n">
        <f aca="false">SUMIFS(Service_Consumables!$L$5:$L$856,Service_Consumables!$A$5:$A$856,$A34,Service_Consumables!$E$5:$E$856,O$5,Service_Consumables!$H$5:$H$856,"Auto-deduct")</f>
        <v>0</v>
      </c>
      <c r="P34" s="15" t="n">
        <f aca="false">SUMIFS(Service_Consumables!$L$5:$L$856,Service_Consumables!$A$5:$A$856,$A34,Service_Consumables!$E$5:$E$856,P$5,Service_Consumables!$H$5:$H$856,"Auto-deduct")</f>
        <v>1</v>
      </c>
      <c r="Q34" s="15" t="n">
        <f aca="false">SUMIFS(Service_Consumables!$L$5:$L$856,Service_Consumables!$A$5:$A$856,$A34,Service_Consumables!$E$5:$E$856,Q$5,Service_Consumables!$H$5:$H$856,"Auto-deduct")</f>
        <v>1</v>
      </c>
      <c r="R34" s="15" t="n">
        <f aca="false">SUMIFS(Service_Consumables!$L$5:$L$856,Service_Consumables!$A$5:$A$856,$A34,Service_Consumables!$E$5:$E$856,R$5,Service_Consumables!$H$5:$H$856,"Auto-deduct")</f>
        <v>0</v>
      </c>
      <c r="S34" s="15" t="n">
        <f aca="false">SUMIFS(Service_Consumables!$L$5:$L$856,Service_Consumables!$A$5:$A$856,$A34,Service_Consumables!$E$5:$E$856,S$5,Service_Consumables!$H$5:$H$856,"Auto-deduct")</f>
        <v>0</v>
      </c>
      <c r="T34" s="15" t="n">
        <f aca="false">SUMIFS(Service_Consumables!$L$5:$L$856,Service_Consumables!$A$5:$A$856,$A34,Service_Consumables!$E$5:$E$856,T$5,Service_Consumables!$H$5:$H$856,"Auto-deduct")</f>
        <v>0</v>
      </c>
      <c r="U34" s="15" t="n">
        <f aca="false">SUMIFS(Service_Consumables!$L$5:$L$856,Service_Consumables!$A$5:$A$856,$A34,Service_Consumables!$E$5:$E$856,U$5,Service_Consumables!$H$5:$H$856,"Auto-deduct")</f>
        <v>0</v>
      </c>
      <c r="V34" s="15" t="n">
        <f aca="false">SUMIFS(Service_Consumables!$L$5:$L$856,Service_Consumables!$A$5:$A$856,$A34,Service_Consumables!$E$5:$E$856,V$5,Service_Consumables!$H$5:$H$856,"Auto-deduct")</f>
        <v>0</v>
      </c>
      <c r="W34" s="15" t="n">
        <f aca="false">SUMIFS(Service_Consumables!$L$5:$L$856,Service_Consumables!$A$5:$A$856,$A34,Service_Consumables!$E$5:$E$856,W$5,Service_Consumables!$H$5:$H$856,"Auto-deduct")</f>
        <v>0</v>
      </c>
      <c r="X34" s="15" t="n">
        <f aca="false">SUMIFS(Service_Consumables!$L$5:$L$856,Service_Consumables!$A$5:$A$856,$A34,Service_Consumables!$E$5:$E$856,X$5,Service_Consumables!$H$5:$H$856,"Auto-deduct")</f>
        <v>0</v>
      </c>
      <c r="Y34" s="15" t="n">
        <f aca="false">SUMIFS(Service_Consumables!$L$5:$L$856,Service_Consumables!$A$5:$A$856,$A34,Service_Consumables!$E$5:$E$856,Y$5,Service_Consumables!$H$5:$H$856,"Auto-deduct")</f>
        <v>20</v>
      </c>
      <c r="Z34" s="15" t="n">
        <f aca="false">SUMIFS(Service_Consumables!$L$5:$L$856,Service_Consumables!$A$5:$A$856,$A34,Service_Consumables!$E$5:$E$856,Z$5,Service_Consumables!$H$5:$H$856,"Auto-deduct")</f>
        <v>0</v>
      </c>
      <c r="AA34" s="15" t="n">
        <f aca="false">SUMIFS(Service_Consumables!$L$5:$L$856,Service_Consumables!$A$5:$A$856,$A34,Service_Consumables!$E$5:$E$856,AA$5,Service_Consumables!$H$5:$H$856,"Auto-deduct")</f>
        <v>0</v>
      </c>
      <c r="AB34" s="15" t="n">
        <f aca="false">SUMIFS(Service_Consumables!$L$5:$L$856,Service_Consumables!$A$5:$A$856,$A34,Service_Consumables!$E$5:$E$856,AB$5,Service_Consumables!$H$5:$H$856,"Auto-deduct")</f>
        <v>2</v>
      </c>
      <c r="AC34" s="15" t="n">
        <f aca="false">SUMIFS(Service_Consumables!$L$5:$L$856,Service_Consumables!$A$5:$A$856,$A34,Service_Consumables!$E$5:$E$856,AC$5,Service_Consumables!$H$5:$H$856,"Auto-deduct")</f>
        <v>0</v>
      </c>
      <c r="AD34" s="15" t="n">
        <f aca="false">SUMIFS(Service_Consumables!$L$5:$L$856,Service_Consumables!$A$5:$A$856,$A34,Service_Consumables!$E$5:$E$856,AD$5,Service_Consumables!$H$5:$H$856,"Auto-deduct")</f>
        <v>5</v>
      </c>
      <c r="AE34" s="15" t="n">
        <f aca="false">SUMIFS(Service_Consumables!$L$5:$L$856,Service_Consumables!$A$5:$A$856,$A34,Service_Consumables!$E$5:$E$856,AE$5,Service_Consumables!$H$5:$H$856,"Auto-deduct")</f>
        <v>0</v>
      </c>
      <c r="AF34" s="15" t="n">
        <f aca="false">SUMIFS(Service_Consumables!$L$5:$L$856,Service_Consumables!$A$5:$A$856,$A34,Service_Consumables!$E$5:$E$856,AF$5,Service_Consumables!$H$5:$H$856,"Auto-deduct")</f>
        <v>0</v>
      </c>
      <c r="AG34" s="15" t="n">
        <f aca="false">SUMIFS(Service_Consumables!$L$5:$L$856,Service_Consumables!$A$5:$A$856,$A34,Service_Consumables!$E$5:$E$856,AG$5,Service_Consumables!$H$5:$H$856,"Auto-deduct")</f>
        <v>0</v>
      </c>
      <c r="AH34" s="15" t="n">
        <f aca="false">SUMIFS(Service_Consumables!$L$5:$L$856,Service_Consumables!$A$5:$A$856,$A34,Service_Consumables!$E$5:$E$856,AH$5,Service_Consumables!$H$5:$H$856,"Auto-deduct")</f>
        <v>0</v>
      </c>
      <c r="AI34" s="15" t="n">
        <f aca="false">SUMIFS(Service_Consumables!$L$5:$L$856,Service_Consumables!$A$5:$A$856,$A34,Service_Consumables!$E$5:$E$856,AI$5,Service_Consumables!$H$5:$H$856,"Auto-deduct")</f>
        <v>0</v>
      </c>
      <c r="AJ34" s="15" t="n">
        <f aca="false">SUMIFS(Service_Consumables!$L$5:$L$856,Service_Consumables!$A$5:$A$856,$A34,Service_Consumables!$E$5:$E$856,AJ$5,Service_Consumables!$H$5:$H$856,"Auto-deduct")</f>
        <v>0</v>
      </c>
      <c r="AK34" s="15" t="n">
        <f aca="false">SUMIFS(Service_Consumables!$L$5:$L$856,Service_Consumables!$A$5:$A$856,$A34,Service_Consumables!$E$5:$E$856,AK$5,Service_Consumables!$H$5:$H$856,"Auto-deduct")</f>
        <v>0</v>
      </c>
      <c r="AL34" s="15" t="n">
        <f aca="false">SUMIFS(Service_Consumables!$L$5:$L$856,Service_Consumables!$A$5:$A$856,$A34,Service_Consumables!$E$5:$E$856,AL$5,Service_Consumables!$H$5:$H$856,"Auto-deduct")</f>
        <v>0</v>
      </c>
      <c r="AM34" s="15" t="n">
        <f aca="false">SUMIFS(Service_Consumables!$L$5:$L$856,Service_Consumables!$A$5:$A$856,$A34,Service_Consumables!$E$5:$E$856,AM$5,Service_Consumables!$H$5:$H$856,"Auto-deduct")</f>
        <v>0</v>
      </c>
      <c r="AN34" s="15" t="n">
        <f aca="false">SUMIFS(Service_Consumables!$L$5:$L$856,Service_Consumables!$A$5:$A$856,$A34,Service_Consumables!$E$5:$E$856,AN$5,Service_Consumables!$H$5:$H$856,"Auto-deduct")</f>
        <v>0</v>
      </c>
      <c r="AO34" s="15" t="n">
        <f aca="false">SUMIFS(Service_Consumables!$L$5:$L$856,Service_Consumables!$A$5:$A$856,$A34,Service_Consumables!$E$5:$E$856,AO$5,Service_Consumables!$H$5:$H$856,"Auto-deduct")</f>
        <v>0</v>
      </c>
      <c r="AP34" s="15" t="n">
        <f aca="false">SUMIFS(Service_Consumables!$L$5:$L$856,Service_Consumables!$A$5:$A$856,$A34,Service_Consumables!$E$5:$E$856,AP$5,Service_Consumables!$H$5:$H$856,"Auto-deduct")</f>
        <v>0</v>
      </c>
      <c r="AQ34" s="15" t="n">
        <f aca="false">SUMIFS(Service_Consumables!$L$5:$L$856,Service_Consumables!$A$5:$A$856,$A34,Service_Consumables!$E$5:$E$856,AQ$5,Service_Consumables!$H$5:$H$856,"Auto-deduct")</f>
        <v>0</v>
      </c>
      <c r="AR34" s="15" t="n">
        <f aca="false">SUMIFS(Service_Consumables!$L$5:$L$856,Service_Consumables!$A$5:$A$856,$A34,Service_Consumables!$E$5:$E$856,AR$5,Service_Consumables!$H$5:$H$856,"Auto-deduct")</f>
        <v>0</v>
      </c>
      <c r="AS34" s="15" t="n">
        <f aca="false">SUMIFS(Service_Consumables!$L$5:$L$856,Service_Consumables!$A$5:$A$856,$A34,Service_Consumables!$E$5:$E$856,AS$5,Service_Consumables!$H$5:$H$856,"Auto-deduct")</f>
        <v>0</v>
      </c>
      <c r="AT34" s="15" t="n">
        <f aca="false">SUMIFS(Service_Consumables!$L$5:$L$856,Service_Consumables!$A$5:$A$856,$A34,Service_Consumables!$E$5:$E$856,AT$5,Service_Consumables!$H$5:$H$856,"Auto-deduct")</f>
        <v>0</v>
      </c>
      <c r="AU34" s="15" t="n">
        <f aca="false">SUMIFS(Service_Consumables!$L$5:$L$856,Service_Consumables!$A$5:$A$856,$A34,Service_Consumables!$E$5:$E$856,AU$5,Service_Consumables!$H$5:$H$856,"Auto-deduct")</f>
        <v>0</v>
      </c>
      <c r="AV34" s="15" t="n">
        <f aca="false">SUMIFS(Service_Consumables!$L$5:$L$856,Service_Consumables!$A$5:$A$856,$A34,Service_Consumables!$E$5:$E$856,AV$5,Service_Consumables!$H$5:$H$856,"Auto-deduct")</f>
        <v>0</v>
      </c>
      <c r="AW34" s="15" t="n">
        <f aca="false">SUMIFS(Service_Consumables!$L$5:$L$856,Service_Consumables!$A$5:$A$856,$A34,Service_Consumables!$E$5:$E$856,AW$5,Service_Consumables!$H$5:$H$856,"Auto-deduct")</f>
        <v>0</v>
      </c>
      <c r="AX34" s="15" t="n">
        <f aca="false">SUMIFS(Service_Consumables!$L$5:$L$856,Service_Consumables!$A$5:$A$856,$A34,Service_Consumables!$E$5:$E$856,AX$5,Service_Consumables!$H$5:$H$856,"Auto-deduct")</f>
        <v>0</v>
      </c>
      <c r="AY34" s="15" t="n">
        <f aca="false">SUMIFS(Service_Consumables!$L$5:$L$856,Service_Consumables!$A$5:$A$856,$A34,Service_Consumables!$E$5:$E$856,AY$5,Service_Consumables!$H$5:$H$856,"Auto-deduct")</f>
        <v>0</v>
      </c>
      <c r="AZ34" s="15" t="n">
        <f aca="false">SUMIFS(Service_Consumables!$L$5:$L$856,Service_Consumables!$A$5:$A$856,$A34,Service_Consumables!$E$5:$E$856,AZ$5,Service_Consumables!$H$5:$H$856,"Auto-deduct")</f>
        <v>0</v>
      </c>
      <c r="BA34" s="15" t="n">
        <f aca="false">SUMIFS(Service_Consumables!$L$5:$L$856,Service_Consumables!$A$5:$A$856,$A34,Service_Consumables!$E$5:$E$856,BA$5,Service_Consumables!$H$5:$H$856,"Auto-deduct")</f>
        <v>0</v>
      </c>
      <c r="BB34" s="15" t="n">
        <f aca="false">SUMIFS(Service_Consumables!$L$5:$L$856,Service_Consumables!$A$5:$A$856,$A34,Service_Consumables!$E$5:$E$856,BB$5,Service_Consumables!$H$5:$H$856,"Auto-deduct")</f>
        <v>0</v>
      </c>
      <c r="BC34" s="15" t="n">
        <f aca="false">SUMIFS(Service_Consumables!$L$5:$L$856,Service_Consumables!$A$5:$A$856,$A34,Service_Consumables!$E$5:$E$856,BC$5,Service_Consumables!$H$5:$H$856,"Auto-deduct")</f>
        <v>0</v>
      </c>
      <c r="BD34" s="15" t="n">
        <f aca="false">SUMIFS(Service_Consumables!$L$5:$L$856,Service_Consumables!$A$5:$A$856,$A34,Service_Consumables!$E$5:$E$856,BD$5,Service_Consumables!$H$5:$H$856,"Auto-deduct")</f>
        <v>0</v>
      </c>
      <c r="BE34" s="15" t="n">
        <f aca="false">SUMIFS(Service_Consumables!$L$5:$L$856,Service_Consumables!$A$5:$A$856,$A34,Service_Consumables!$E$5:$E$856,BE$5,Service_Consumables!$H$5:$H$856,"Auto-deduct")</f>
        <v>0</v>
      </c>
      <c r="BF34" s="15" t="n">
        <f aca="false">SUMIFS(Service_Consumables!$L$5:$L$856,Service_Consumables!$A$5:$A$856,$A34,Service_Consumables!$E$5:$E$856,BF$5,Service_Consumables!$H$5:$H$856,"Auto-deduct")</f>
        <v>0</v>
      </c>
      <c r="BG34" s="15" t="n">
        <f aca="false">SUMIFS(Service_Consumables!$L$5:$L$856,Service_Consumables!$A$5:$A$856,$A34,Service_Consumables!$E$5:$E$856,BG$5,Service_Consumables!$H$5:$H$856,"Auto-deduct")</f>
        <v>0</v>
      </c>
      <c r="BH34" s="15" t="n">
        <f aca="false">SUMIFS(Service_Consumables!$L$5:$L$856,Service_Consumables!$A$5:$A$856,$A34,Service_Consumables!$E$5:$E$856,BH$5,Service_Consumables!$H$5:$H$856,"Auto-deduct")</f>
        <v>0</v>
      </c>
      <c r="BI34" s="15" t="n">
        <f aca="false">SUMIFS(Service_Consumables!$L$5:$L$856,Service_Consumables!$A$5:$A$856,$A34,Service_Consumables!$E$5:$E$856,BI$5,Service_Consumables!$H$5:$H$856,"Auto-deduct")</f>
        <v>0</v>
      </c>
    </row>
    <row r="35" customFormat="false" ht="15" hidden="false" customHeight="false" outlineLevel="0" collapsed="false">
      <c r="A35" s="14" t="n">
        <f aca="false">Services!A34</f>
        <v>30</v>
      </c>
      <c r="B35" s="14" t="str">
        <f aca="false">Services!B34</f>
        <v>Drip / Shot (ED/GS)</v>
      </c>
      <c r="C35" s="14" t="str">
        <f aca="false">Services!C34</f>
        <v>Slimming Drip</v>
      </c>
      <c r="D35" s="15" t="n">
        <f aca="false">SUMIFS(Service_Consumables!$L$5:$L$856,Service_Consumables!$A$5:$A$856,$A35,Service_Consumables!$E$5:$E$856,D$5,Service_Consumables!$H$5:$H$856,"Auto-deduct")</f>
        <v>0</v>
      </c>
      <c r="E35" s="15" t="n">
        <f aca="false">SUMIFS(Service_Consumables!$L$5:$L$856,Service_Consumables!$A$5:$A$856,$A35,Service_Consumables!$E$5:$E$856,E$5,Service_Consumables!$H$5:$H$856,"Auto-deduct")</f>
        <v>0</v>
      </c>
      <c r="F35" s="15" t="n">
        <f aca="false">SUMIFS(Service_Consumables!$L$5:$L$856,Service_Consumables!$A$5:$A$856,$A35,Service_Consumables!$E$5:$E$856,F$5,Service_Consumables!$H$5:$H$856,"Auto-deduct")</f>
        <v>1</v>
      </c>
      <c r="G35" s="15" t="n">
        <f aca="false">SUMIFS(Service_Consumables!$L$5:$L$856,Service_Consumables!$A$5:$A$856,$A35,Service_Consumables!$E$5:$E$856,G$5,Service_Consumables!$H$5:$H$856,"Auto-deduct")</f>
        <v>0</v>
      </c>
      <c r="H35" s="15" t="n">
        <f aca="false">SUMIFS(Service_Consumables!$L$5:$L$856,Service_Consumables!$A$5:$A$856,$A35,Service_Consumables!$E$5:$E$856,H$5,Service_Consumables!$H$5:$H$856,"Auto-deduct")</f>
        <v>0</v>
      </c>
      <c r="I35" s="15" t="n">
        <f aca="false">SUMIFS(Service_Consumables!$L$5:$L$856,Service_Consumables!$A$5:$A$856,$A35,Service_Consumables!$E$5:$E$856,I$5,Service_Consumables!$H$5:$H$856,"Auto-deduct")</f>
        <v>0</v>
      </c>
      <c r="J35" s="15" t="n">
        <f aca="false">SUMIFS(Service_Consumables!$L$5:$L$856,Service_Consumables!$A$5:$A$856,$A35,Service_Consumables!$E$5:$E$856,J$5,Service_Consumables!$H$5:$H$856,"Auto-deduct")</f>
        <v>1</v>
      </c>
      <c r="K35" s="15" t="n">
        <f aca="false">SUMIFS(Service_Consumables!$L$5:$L$856,Service_Consumables!$A$5:$A$856,$A35,Service_Consumables!$E$5:$E$856,K$5,Service_Consumables!$H$5:$H$856,"Auto-deduct")</f>
        <v>0</v>
      </c>
      <c r="L35" s="15" t="n">
        <f aca="false">SUMIFS(Service_Consumables!$L$5:$L$856,Service_Consumables!$A$5:$A$856,$A35,Service_Consumables!$E$5:$E$856,L$5,Service_Consumables!$H$5:$H$856,"Auto-deduct")</f>
        <v>0</v>
      </c>
      <c r="M35" s="15" t="n">
        <f aca="false">SUMIFS(Service_Consumables!$L$5:$L$856,Service_Consumables!$A$5:$A$856,$A35,Service_Consumables!$E$5:$E$856,M$5,Service_Consumables!$H$5:$H$856,"Auto-deduct")</f>
        <v>1</v>
      </c>
      <c r="N35" s="15" t="n">
        <f aca="false">SUMIFS(Service_Consumables!$L$5:$L$856,Service_Consumables!$A$5:$A$856,$A35,Service_Consumables!$E$5:$E$856,N$5,Service_Consumables!$H$5:$H$856,"Auto-deduct")</f>
        <v>1</v>
      </c>
      <c r="O35" s="15" t="n">
        <f aca="false">SUMIFS(Service_Consumables!$L$5:$L$856,Service_Consumables!$A$5:$A$856,$A35,Service_Consumables!$E$5:$E$856,O$5,Service_Consumables!$H$5:$H$856,"Auto-deduct")</f>
        <v>0</v>
      </c>
      <c r="P35" s="15" t="n">
        <f aca="false">SUMIFS(Service_Consumables!$L$5:$L$856,Service_Consumables!$A$5:$A$856,$A35,Service_Consumables!$E$5:$E$856,P$5,Service_Consumables!$H$5:$H$856,"Auto-deduct")</f>
        <v>1</v>
      </c>
      <c r="Q35" s="15" t="n">
        <f aca="false">SUMIFS(Service_Consumables!$L$5:$L$856,Service_Consumables!$A$5:$A$856,$A35,Service_Consumables!$E$5:$E$856,Q$5,Service_Consumables!$H$5:$H$856,"Auto-deduct")</f>
        <v>1</v>
      </c>
      <c r="R35" s="15" t="n">
        <f aca="false">SUMIFS(Service_Consumables!$L$5:$L$856,Service_Consumables!$A$5:$A$856,$A35,Service_Consumables!$E$5:$E$856,R$5,Service_Consumables!$H$5:$H$856,"Auto-deduct")</f>
        <v>0</v>
      </c>
      <c r="S35" s="15" t="n">
        <f aca="false">SUMIFS(Service_Consumables!$L$5:$L$856,Service_Consumables!$A$5:$A$856,$A35,Service_Consumables!$E$5:$E$856,S$5,Service_Consumables!$H$5:$H$856,"Auto-deduct")</f>
        <v>0</v>
      </c>
      <c r="T35" s="15" t="n">
        <f aca="false">SUMIFS(Service_Consumables!$L$5:$L$856,Service_Consumables!$A$5:$A$856,$A35,Service_Consumables!$E$5:$E$856,T$5,Service_Consumables!$H$5:$H$856,"Auto-deduct")</f>
        <v>0</v>
      </c>
      <c r="U35" s="15" t="n">
        <f aca="false">SUMIFS(Service_Consumables!$L$5:$L$856,Service_Consumables!$A$5:$A$856,$A35,Service_Consumables!$E$5:$E$856,U$5,Service_Consumables!$H$5:$H$856,"Auto-deduct")</f>
        <v>0</v>
      </c>
      <c r="V35" s="15" t="n">
        <f aca="false">SUMIFS(Service_Consumables!$L$5:$L$856,Service_Consumables!$A$5:$A$856,$A35,Service_Consumables!$E$5:$E$856,V$5,Service_Consumables!$H$5:$H$856,"Auto-deduct")</f>
        <v>0</v>
      </c>
      <c r="W35" s="15" t="n">
        <f aca="false">SUMIFS(Service_Consumables!$L$5:$L$856,Service_Consumables!$A$5:$A$856,$A35,Service_Consumables!$E$5:$E$856,W$5,Service_Consumables!$H$5:$H$856,"Auto-deduct")</f>
        <v>0</v>
      </c>
      <c r="X35" s="15" t="n">
        <f aca="false">SUMIFS(Service_Consumables!$L$5:$L$856,Service_Consumables!$A$5:$A$856,$A35,Service_Consumables!$E$5:$E$856,X$5,Service_Consumables!$H$5:$H$856,"Auto-deduct")</f>
        <v>0</v>
      </c>
      <c r="Y35" s="15" t="n">
        <f aca="false">SUMIFS(Service_Consumables!$L$5:$L$856,Service_Consumables!$A$5:$A$856,$A35,Service_Consumables!$E$5:$E$856,Y$5,Service_Consumables!$H$5:$H$856,"Auto-deduct")</f>
        <v>20</v>
      </c>
      <c r="Z35" s="15" t="n">
        <f aca="false">SUMIFS(Service_Consumables!$L$5:$L$856,Service_Consumables!$A$5:$A$856,$A35,Service_Consumables!$E$5:$E$856,Z$5,Service_Consumables!$H$5:$H$856,"Auto-deduct")</f>
        <v>0</v>
      </c>
      <c r="AA35" s="15" t="n">
        <f aca="false">SUMIFS(Service_Consumables!$L$5:$L$856,Service_Consumables!$A$5:$A$856,$A35,Service_Consumables!$E$5:$E$856,AA$5,Service_Consumables!$H$5:$H$856,"Auto-deduct")</f>
        <v>0</v>
      </c>
      <c r="AB35" s="15" t="n">
        <f aca="false">SUMIFS(Service_Consumables!$L$5:$L$856,Service_Consumables!$A$5:$A$856,$A35,Service_Consumables!$E$5:$E$856,AB$5,Service_Consumables!$H$5:$H$856,"Auto-deduct")</f>
        <v>2</v>
      </c>
      <c r="AC35" s="15" t="n">
        <f aca="false">SUMIFS(Service_Consumables!$L$5:$L$856,Service_Consumables!$A$5:$A$856,$A35,Service_Consumables!$E$5:$E$856,AC$5,Service_Consumables!$H$5:$H$856,"Auto-deduct")</f>
        <v>0</v>
      </c>
      <c r="AD35" s="15" t="n">
        <f aca="false">SUMIFS(Service_Consumables!$L$5:$L$856,Service_Consumables!$A$5:$A$856,$A35,Service_Consumables!$E$5:$E$856,AD$5,Service_Consumables!$H$5:$H$856,"Auto-deduct")</f>
        <v>5</v>
      </c>
      <c r="AE35" s="15" t="n">
        <f aca="false">SUMIFS(Service_Consumables!$L$5:$L$856,Service_Consumables!$A$5:$A$856,$A35,Service_Consumables!$E$5:$E$856,AE$5,Service_Consumables!$H$5:$H$856,"Auto-deduct")</f>
        <v>0</v>
      </c>
      <c r="AF35" s="15" t="n">
        <f aca="false">SUMIFS(Service_Consumables!$L$5:$L$856,Service_Consumables!$A$5:$A$856,$A35,Service_Consumables!$E$5:$E$856,AF$5,Service_Consumables!$H$5:$H$856,"Auto-deduct")</f>
        <v>0</v>
      </c>
      <c r="AG35" s="15" t="n">
        <f aca="false">SUMIFS(Service_Consumables!$L$5:$L$856,Service_Consumables!$A$5:$A$856,$A35,Service_Consumables!$E$5:$E$856,AG$5,Service_Consumables!$H$5:$H$856,"Auto-deduct")</f>
        <v>0</v>
      </c>
      <c r="AH35" s="15" t="n">
        <f aca="false">SUMIFS(Service_Consumables!$L$5:$L$856,Service_Consumables!$A$5:$A$856,$A35,Service_Consumables!$E$5:$E$856,AH$5,Service_Consumables!$H$5:$H$856,"Auto-deduct")</f>
        <v>0</v>
      </c>
      <c r="AI35" s="15" t="n">
        <f aca="false">SUMIFS(Service_Consumables!$L$5:$L$856,Service_Consumables!$A$5:$A$856,$A35,Service_Consumables!$E$5:$E$856,AI$5,Service_Consumables!$H$5:$H$856,"Auto-deduct")</f>
        <v>0</v>
      </c>
      <c r="AJ35" s="15" t="n">
        <f aca="false">SUMIFS(Service_Consumables!$L$5:$L$856,Service_Consumables!$A$5:$A$856,$A35,Service_Consumables!$E$5:$E$856,AJ$5,Service_Consumables!$H$5:$H$856,"Auto-deduct")</f>
        <v>0</v>
      </c>
      <c r="AK35" s="15" t="n">
        <f aca="false">SUMIFS(Service_Consumables!$L$5:$L$856,Service_Consumables!$A$5:$A$856,$A35,Service_Consumables!$E$5:$E$856,AK$5,Service_Consumables!$H$5:$H$856,"Auto-deduct")</f>
        <v>0</v>
      </c>
      <c r="AL35" s="15" t="n">
        <f aca="false">SUMIFS(Service_Consumables!$L$5:$L$856,Service_Consumables!$A$5:$A$856,$A35,Service_Consumables!$E$5:$E$856,AL$5,Service_Consumables!$H$5:$H$856,"Auto-deduct")</f>
        <v>0</v>
      </c>
      <c r="AM35" s="15" t="n">
        <f aca="false">SUMIFS(Service_Consumables!$L$5:$L$856,Service_Consumables!$A$5:$A$856,$A35,Service_Consumables!$E$5:$E$856,AM$5,Service_Consumables!$H$5:$H$856,"Auto-deduct")</f>
        <v>0</v>
      </c>
      <c r="AN35" s="15" t="n">
        <f aca="false">SUMIFS(Service_Consumables!$L$5:$L$856,Service_Consumables!$A$5:$A$856,$A35,Service_Consumables!$E$5:$E$856,AN$5,Service_Consumables!$H$5:$H$856,"Auto-deduct")</f>
        <v>0</v>
      </c>
      <c r="AO35" s="15" t="n">
        <f aca="false">SUMIFS(Service_Consumables!$L$5:$L$856,Service_Consumables!$A$5:$A$856,$A35,Service_Consumables!$E$5:$E$856,AO$5,Service_Consumables!$H$5:$H$856,"Auto-deduct")</f>
        <v>0</v>
      </c>
      <c r="AP35" s="15" t="n">
        <f aca="false">SUMIFS(Service_Consumables!$L$5:$L$856,Service_Consumables!$A$5:$A$856,$A35,Service_Consumables!$E$5:$E$856,AP$5,Service_Consumables!$H$5:$H$856,"Auto-deduct")</f>
        <v>0</v>
      </c>
      <c r="AQ35" s="15" t="n">
        <f aca="false">SUMIFS(Service_Consumables!$L$5:$L$856,Service_Consumables!$A$5:$A$856,$A35,Service_Consumables!$E$5:$E$856,AQ$5,Service_Consumables!$H$5:$H$856,"Auto-deduct")</f>
        <v>0</v>
      </c>
      <c r="AR35" s="15" t="n">
        <f aca="false">SUMIFS(Service_Consumables!$L$5:$L$856,Service_Consumables!$A$5:$A$856,$A35,Service_Consumables!$E$5:$E$856,AR$5,Service_Consumables!$H$5:$H$856,"Auto-deduct")</f>
        <v>0</v>
      </c>
      <c r="AS35" s="15" t="n">
        <f aca="false">SUMIFS(Service_Consumables!$L$5:$L$856,Service_Consumables!$A$5:$A$856,$A35,Service_Consumables!$E$5:$E$856,AS$5,Service_Consumables!$H$5:$H$856,"Auto-deduct")</f>
        <v>0</v>
      </c>
      <c r="AT35" s="15" t="n">
        <f aca="false">SUMIFS(Service_Consumables!$L$5:$L$856,Service_Consumables!$A$5:$A$856,$A35,Service_Consumables!$E$5:$E$856,AT$5,Service_Consumables!$H$5:$H$856,"Auto-deduct")</f>
        <v>0</v>
      </c>
      <c r="AU35" s="15" t="n">
        <f aca="false">SUMIFS(Service_Consumables!$L$5:$L$856,Service_Consumables!$A$5:$A$856,$A35,Service_Consumables!$E$5:$E$856,AU$5,Service_Consumables!$H$5:$H$856,"Auto-deduct")</f>
        <v>0</v>
      </c>
      <c r="AV35" s="15" t="n">
        <f aca="false">SUMIFS(Service_Consumables!$L$5:$L$856,Service_Consumables!$A$5:$A$856,$A35,Service_Consumables!$E$5:$E$856,AV$5,Service_Consumables!$H$5:$H$856,"Auto-deduct")</f>
        <v>0</v>
      </c>
      <c r="AW35" s="15" t="n">
        <f aca="false">SUMIFS(Service_Consumables!$L$5:$L$856,Service_Consumables!$A$5:$A$856,$A35,Service_Consumables!$E$5:$E$856,AW$5,Service_Consumables!$H$5:$H$856,"Auto-deduct")</f>
        <v>0</v>
      </c>
      <c r="AX35" s="15" t="n">
        <f aca="false">SUMIFS(Service_Consumables!$L$5:$L$856,Service_Consumables!$A$5:$A$856,$A35,Service_Consumables!$E$5:$E$856,AX$5,Service_Consumables!$H$5:$H$856,"Auto-deduct")</f>
        <v>0</v>
      </c>
      <c r="AY35" s="15" t="n">
        <f aca="false">SUMIFS(Service_Consumables!$L$5:$L$856,Service_Consumables!$A$5:$A$856,$A35,Service_Consumables!$E$5:$E$856,AY$5,Service_Consumables!$H$5:$H$856,"Auto-deduct")</f>
        <v>0</v>
      </c>
      <c r="AZ35" s="15" t="n">
        <f aca="false">SUMIFS(Service_Consumables!$L$5:$L$856,Service_Consumables!$A$5:$A$856,$A35,Service_Consumables!$E$5:$E$856,AZ$5,Service_Consumables!$H$5:$H$856,"Auto-deduct")</f>
        <v>0</v>
      </c>
      <c r="BA35" s="15" t="n">
        <f aca="false">SUMIFS(Service_Consumables!$L$5:$L$856,Service_Consumables!$A$5:$A$856,$A35,Service_Consumables!$E$5:$E$856,BA$5,Service_Consumables!$H$5:$H$856,"Auto-deduct")</f>
        <v>0</v>
      </c>
      <c r="BB35" s="15" t="n">
        <f aca="false">SUMIFS(Service_Consumables!$L$5:$L$856,Service_Consumables!$A$5:$A$856,$A35,Service_Consumables!$E$5:$E$856,BB$5,Service_Consumables!$H$5:$H$856,"Auto-deduct")</f>
        <v>0</v>
      </c>
      <c r="BC35" s="15" t="n">
        <f aca="false">SUMIFS(Service_Consumables!$L$5:$L$856,Service_Consumables!$A$5:$A$856,$A35,Service_Consumables!$E$5:$E$856,BC$5,Service_Consumables!$H$5:$H$856,"Auto-deduct")</f>
        <v>0</v>
      </c>
      <c r="BD35" s="15" t="n">
        <f aca="false">SUMIFS(Service_Consumables!$L$5:$L$856,Service_Consumables!$A$5:$A$856,$A35,Service_Consumables!$E$5:$E$856,BD$5,Service_Consumables!$H$5:$H$856,"Auto-deduct")</f>
        <v>0</v>
      </c>
      <c r="BE35" s="15" t="n">
        <f aca="false">SUMIFS(Service_Consumables!$L$5:$L$856,Service_Consumables!$A$5:$A$856,$A35,Service_Consumables!$E$5:$E$856,BE$5,Service_Consumables!$H$5:$H$856,"Auto-deduct")</f>
        <v>0</v>
      </c>
      <c r="BF35" s="15" t="n">
        <f aca="false">SUMIFS(Service_Consumables!$L$5:$L$856,Service_Consumables!$A$5:$A$856,$A35,Service_Consumables!$E$5:$E$856,BF$5,Service_Consumables!$H$5:$H$856,"Auto-deduct")</f>
        <v>0</v>
      </c>
      <c r="BG35" s="15" t="n">
        <f aca="false">SUMIFS(Service_Consumables!$L$5:$L$856,Service_Consumables!$A$5:$A$856,$A35,Service_Consumables!$E$5:$E$856,BG$5,Service_Consumables!$H$5:$H$856,"Auto-deduct")</f>
        <v>0</v>
      </c>
      <c r="BH35" s="15" t="n">
        <f aca="false">SUMIFS(Service_Consumables!$L$5:$L$856,Service_Consumables!$A$5:$A$856,$A35,Service_Consumables!$E$5:$E$856,BH$5,Service_Consumables!$H$5:$H$856,"Auto-deduct")</f>
        <v>0</v>
      </c>
      <c r="BI35" s="15" t="n">
        <f aca="false">SUMIFS(Service_Consumables!$L$5:$L$856,Service_Consumables!$A$5:$A$856,$A35,Service_Consumables!$E$5:$E$856,BI$5,Service_Consumables!$H$5:$H$856,"Auto-deduct")</f>
        <v>0</v>
      </c>
    </row>
    <row r="36" customFormat="false" ht="15" hidden="false" customHeight="false" outlineLevel="0" collapsed="false">
      <c r="A36" s="14" t="n">
        <f aca="false">Services!A35</f>
        <v>31</v>
      </c>
      <c r="B36" s="14" t="str">
        <f aca="false">Services!B35</f>
        <v>Drip / Shot (ED/GS)</v>
      </c>
      <c r="C36" s="14" t="str">
        <f aca="false">Services!C35</f>
        <v>Whitening Drip</v>
      </c>
      <c r="D36" s="15" t="n">
        <f aca="false">SUMIFS(Service_Consumables!$L$5:$L$856,Service_Consumables!$A$5:$A$856,$A36,Service_Consumables!$E$5:$E$856,D$5,Service_Consumables!$H$5:$H$856,"Auto-deduct")</f>
        <v>0</v>
      </c>
      <c r="E36" s="15" t="n">
        <f aca="false">SUMIFS(Service_Consumables!$L$5:$L$856,Service_Consumables!$A$5:$A$856,$A36,Service_Consumables!$E$5:$E$856,E$5,Service_Consumables!$H$5:$H$856,"Auto-deduct")</f>
        <v>0</v>
      </c>
      <c r="F36" s="15" t="n">
        <f aca="false">SUMIFS(Service_Consumables!$L$5:$L$856,Service_Consumables!$A$5:$A$856,$A36,Service_Consumables!$E$5:$E$856,F$5,Service_Consumables!$H$5:$H$856,"Auto-deduct")</f>
        <v>1</v>
      </c>
      <c r="G36" s="15" t="n">
        <f aca="false">SUMIFS(Service_Consumables!$L$5:$L$856,Service_Consumables!$A$5:$A$856,$A36,Service_Consumables!$E$5:$E$856,G$5,Service_Consumables!$H$5:$H$856,"Auto-deduct")</f>
        <v>0</v>
      </c>
      <c r="H36" s="15" t="n">
        <f aca="false">SUMIFS(Service_Consumables!$L$5:$L$856,Service_Consumables!$A$5:$A$856,$A36,Service_Consumables!$E$5:$E$856,H$5,Service_Consumables!$H$5:$H$856,"Auto-deduct")</f>
        <v>0</v>
      </c>
      <c r="I36" s="15" t="n">
        <f aca="false">SUMIFS(Service_Consumables!$L$5:$L$856,Service_Consumables!$A$5:$A$856,$A36,Service_Consumables!$E$5:$E$856,I$5,Service_Consumables!$H$5:$H$856,"Auto-deduct")</f>
        <v>0</v>
      </c>
      <c r="J36" s="15" t="n">
        <f aca="false">SUMIFS(Service_Consumables!$L$5:$L$856,Service_Consumables!$A$5:$A$856,$A36,Service_Consumables!$E$5:$E$856,J$5,Service_Consumables!$H$5:$H$856,"Auto-deduct")</f>
        <v>1</v>
      </c>
      <c r="K36" s="15" t="n">
        <f aca="false">SUMIFS(Service_Consumables!$L$5:$L$856,Service_Consumables!$A$5:$A$856,$A36,Service_Consumables!$E$5:$E$856,K$5,Service_Consumables!$H$5:$H$856,"Auto-deduct")</f>
        <v>0</v>
      </c>
      <c r="L36" s="15" t="n">
        <f aca="false">SUMIFS(Service_Consumables!$L$5:$L$856,Service_Consumables!$A$5:$A$856,$A36,Service_Consumables!$E$5:$E$856,L$5,Service_Consumables!$H$5:$H$856,"Auto-deduct")</f>
        <v>0</v>
      </c>
      <c r="M36" s="15" t="n">
        <f aca="false">SUMIFS(Service_Consumables!$L$5:$L$856,Service_Consumables!$A$5:$A$856,$A36,Service_Consumables!$E$5:$E$856,M$5,Service_Consumables!$H$5:$H$856,"Auto-deduct")</f>
        <v>1</v>
      </c>
      <c r="N36" s="15" t="n">
        <f aca="false">SUMIFS(Service_Consumables!$L$5:$L$856,Service_Consumables!$A$5:$A$856,$A36,Service_Consumables!$E$5:$E$856,N$5,Service_Consumables!$H$5:$H$856,"Auto-deduct")</f>
        <v>1</v>
      </c>
      <c r="O36" s="15" t="n">
        <f aca="false">SUMIFS(Service_Consumables!$L$5:$L$856,Service_Consumables!$A$5:$A$856,$A36,Service_Consumables!$E$5:$E$856,O$5,Service_Consumables!$H$5:$H$856,"Auto-deduct")</f>
        <v>0</v>
      </c>
      <c r="P36" s="15" t="n">
        <f aca="false">SUMIFS(Service_Consumables!$L$5:$L$856,Service_Consumables!$A$5:$A$856,$A36,Service_Consumables!$E$5:$E$856,P$5,Service_Consumables!$H$5:$H$856,"Auto-deduct")</f>
        <v>1</v>
      </c>
      <c r="Q36" s="15" t="n">
        <f aca="false">SUMIFS(Service_Consumables!$L$5:$L$856,Service_Consumables!$A$5:$A$856,$A36,Service_Consumables!$E$5:$E$856,Q$5,Service_Consumables!$H$5:$H$856,"Auto-deduct")</f>
        <v>1</v>
      </c>
      <c r="R36" s="15" t="n">
        <f aca="false">SUMIFS(Service_Consumables!$L$5:$L$856,Service_Consumables!$A$5:$A$856,$A36,Service_Consumables!$E$5:$E$856,R$5,Service_Consumables!$H$5:$H$856,"Auto-deduct")</f>
        <v>0</v>
      </c>
      <c r="S36" s="15" t="n">
        <f aca="false">SUMIFS(Service_Consumables!$L$5:$L$856,Service_Consumables!$A$5:$A$856,$A36,Service_Consumables!$E$5:$E$856,S$5,Service_Consumables!$H$5:$H$856,"Auto-deduct")</f>
        <v>0</v>
      </c>
      <c r="T36" s="15" t="n">
        <f aca="false">SUMIFS(Service_Consumables!$L$5:$L$856,Service_Consumables!$A$5:$A$856,$A36,Service_Consumables!$E$5:$E$856,T$5,Service_Consumables!$H$5:$H$856,"Auto-deduct")</f>
        <v>0</v>
      </c>
      <c r="U36" s="15" t="n">
        <f aca="false">SUMIFS(Service_Consumables!$L$5:$L$856,Service_Consumables!$A$5:$A$856,$A36,Service_Consumables!$E$5:$E$856,U$5,Service_Consumables!$H$5:$H$856,"Auto-deduct")</f>
        <v>0</v>
      </c>
      <c r="V36" s="15" t="n">
        <f aca="false">SUMIFS(Service_Consumables!$L$5:$L$856,Service_Consumables!$A$5:$A$856,$A36,Service_Consumables!$E$5:$E$856,V$5,Service_Consumables!$H$5:$H$856,"Auto-deduct")</f>
        <v>0</v>
      </c>
      <c r="W36" s="15" t="n">
        <f aca="false">SUMIFS(Service_Consumables!$L$5:$L$856,Service_Consumables!$A$5:$A$856,$A36,Service_Consumables!$E$5:$E$856,W$5,Service_Consumables!$H$5:$H$856,"Auto-deduct")</f>
        <v>0</v>
      </c>
      <c r="X36" s="15" t="n">
        <f aca="false">SUMIFS(Service_Consumables!$L$5:$L$856,Service_Consumables!$A$5:$A$856,$A36,Service_Consumables!$E$5:$E$856,X$5,Service_Consumables!$H$5:$H$856,"Auto-deduct")</f>
        <v>0</v>
      </c>
      <c r="Y36" s="15" t="n">
        <f aca="false">SUMIFS(Service_Consumables!$L$5:$L$856,Service_Consumables!$A$5:$A$856,$A36,Service_Consumables!$E$5:$E$856,Y$5,Service_Consumables!$H$5:$H$856,"Auto-deduct")</f>
        <v>20</v>
      </c>
      <c r="Z36" s="15" t="n">
        <f aca="false">SUMIFS(Service_Consumables!$L$5:$L$856,Service_Consumables!$A$5:$A$856,$A36,Service_Consumables!$E$5:$E$856,Z$5,Service_Consumables!$H$5:$H$856,"Auto-deduct")</f>
        <v>0</v>
      </c>
      <c r="AA36" s="15" t="n">
        <f aca="false">SUMIFS(Service_Consumables!$L$5:$L$856,Service_Consumables!$A$5:$A$856,$A36,Service_Consumables!$E$5:$E$856,AA$5,Service_Consumables!$H$5:$H$856,"Auto-deduct")</f>
        <v>0</v>
      </c>
      <c r="AB36" s="15" t="n">
        <f aca="false">SUMIFS(Service_Consumables!$L$5:$L$856,Service_Consumables!$A$5:$A$856,$A36,Service_Consumables!$E$5:$E$856,AB$5,Service_Consumables!$H$5:$H$856,"Auto-deduct")</f>
        <v>2</v>
      </c>
      <c r="AC36" s="15" t="n">
        <f aca="false">SUMIFS(Service_Consumables!$L$5:$L$856,Service_Consumables!$A$5:$A$856,$A36,Service_Consumables!$E$5:$E$856,AC$5,Service_Consumables!$H$5:$H$856,"Auto-deduct")</f>
        <v>0</v>
      </c>
      <c r="AD36" s="15" t="n">
        <f aca="false">SUMIFS(Service_Consumables!$L$5:$L$856,Service_Consumables!$A$5:$A$856,$A36,Service_Consumables!$E$5:$E$856,AD$5,Service_Consumables!$H$5:$H$856,"Auto-deduct")</f>
        <v>5</v>
      </c>
      <c r="AE36" s="15" t="n">
        <f aca="false">SUMIFS(Service_Consumables!$L$5:$L$856,Service_Consumables!$A$5:$A$856,$A36,Service_Consumables!$E$5:$E$856,AE$5,Service_Consumables!$H$5:$H$856,"Auto-deduct")</f>
        <v>0</v>
      </c>
      <c r="AF36" s="15" t="n">
        <f aca="false">SUMIFS(Service_Consumables!$L$5:$L$856,Service_Consumables!$A$5:$A$856,$A36,Service_Consumables!$E$5:$E$856,AF$5,Service_Consumables!$H$5:$H$856,"Auto-deduct")</f>
        <v>0</v>
      </c>
      <c r="AG36" s="15" t="n">
        <f aca="false">SUMIFS(Service_Consumables!$L$5:$L$856,Service_Consumables!$A$5:$A$856,$A36,Service_Consumables!$E$5:$E$856,AG$5,Service_Consumables!$H$5:$H$856,"Auto-deduct")</f>
        <v>0</v>
      </c>
      <c r="AH36" s="15" t="n">
        <f aca="false">SUMIFS(Service_Consumables!$L$5:$L$856,Service_Consumables!$A$5:$A$856,$A36,Service_Consumables!$E$5:$E$856,AH$5,Service_Consumables!$H$5:$H$856,"Auto-deduct")</f>
        <v>0</v>
      </c>
      <c r="AI36" s="15" t="n">
        <f aca="false">SUMIFS(Service_Consumables!$L$5:$L$856,Service_Consumables!$A$5:$A$856,$A36,Service_Consumables!$E$5:$E$856,AI$5,Service_Consumables!$H$5:$H$856,"Auto-deduct")</f>
        <v>0</v>
      </c>
      <c r="AJ36" s="15" t="n">
        <f aca="false">SUMIFS(Service_Consumables!$L$5:$L$856,Service_Consumables!$A$5:$A$856,$A36,Service_Consumables!$E$5:$E$856,AJ$5,Service_Consumables!$H$5:$H$856,"Auto-deduct")</f>
        <v>0</v>
      </c>
      <c r="AK36" s="15" t="n">
        <f aca="false">SUMIFS(Service_Consumables!$L$5:$L$856,Service_Consumables!$A$5:$A$856,$A36,Service_Consumables!$E$5:$E$856,AK$5,Service_Consumables!$H$5:$H$856,"Auto-deduct")</f>
        <v>0</v>
      </c>
      <c r="AL36" s="15" t="n">
        <f aca="false">SUMIFS(Service_Consumables!$L$5:$L$856,Service_Consumables!$A$5:$A$856,$A36,Service_Consumables!$E$5:$E$856,AL$5,Service_Consumables!$H$5:$H$856,"Auto-deduct")</f>
        <v>0</v>
      </c>
      <c r="AM36" s="15" t="n">
        <f aca="false">SUMIFS(Service_Consumables!$L$5:$L$856,Service_Consumables!$A$5:$A$856,$A36,Service_Consumables!$E$5:$E$856,AM$5,Service_Consumables!$H$5:$H$856,"Auto-deduct")</f>
        <v>0</v>
      </c>
      <c r="AN36" s="15" t="n">
        <f aca="false">SUMIFS(Service_Consumables!$L$5:$L$856,Service_Consumables!$A$5:$A$856,$A36,Service_Consumables!$E$5:$E$856,AN$5,Service_Consumables!$H$5:$H$856,"Auto-deduct")</f>
        <v>0</v>
      </c>
      <c r="AO36" s="15" t="n">
        <f aca="false">SUMIFS(Service_Consumables!$L$5:$L$856,Service_Consumables!$A$5:$A$856,$A36,Service_Consumables!$E$5:$E$856,AO$5,Service_Consumables!$H$5:$H$856,"Auto-deduct")</f>
        <v>0</v>
      </c>
      <c r="AP36" s="15" t="n">
        <f aca="false">SUMIFS(Service_Consumables!$L$5:$L$856,Service_Consumables!$A$5:$A$856,$A36,Service_Consumables!$E$5:$E$856,AP$5,Service_Consumables!$H$5:$H$856,"Auto-deduct")</f>
        <v>0</v>
      </c>
      <c r="AQ36" s="15" t="n">
        <f aca="false">SUMIFS(Service_Consumables!$L$5:$L$856,Service_Consumables!$A$5:$A$856,$A36,Service_Consumables!$E$5:$E$856,AQ$5,Service_Consumables!$H$5:$H$856,"Auto-deduct")</f>
        <v>0</v>
      </c>
      <c r="AR36" s="15" t="n">
        <f aca="false">SUMIFS(Service_Consumables!$L$5:$L$856,Service_Consumables!$A$5:$A$856,$A36,Service_Consumables!$E$5:$E$856,AR$5,Service_Consumables!$H$5:$H$856,"Auto-deduct")</f>
        <v>0</v>
      </c>
      <c r="AS36" s="15" t="n">
        <f aca="false">SUMIFS(Service_Consumables!$L$5:$L$856,Service_Consumables!$A$5:$A$856,$A36,Service_Consumables!$E$5:$E$856,AS$5,Service_Consumables!$H$5:$H$856,"Auto-deduct")</f>
        <v>0</v>
      </c>
      <c r="AT36" s="15" t="n">
        <f aca="false">SUMIFS(Service_Consumables!$L$5:$L$856,Service_Consumables!$A$5:$A$856,$A36,Service_Consumables!$E$5:$E$856,AT$5,Service_Consumables!$H$5:$H$856,"Auto-deduct")</f>
        <v>0</v>
      </c>
      <c r="AU36" s="15" t="n">
        <f aca="false">SUMIFS(Service_Consumables!$L$5:$L$856,Service_Consumables!$A$5:$A$856,$A36,Service_Consumables!$E$5:$E$856,AU$5,Service_Consumables!$H$5:$H$856,"Auto-deduct")</f>
        <v>0</v>
      </c>
      <c r="AV36" s="15" t="n">
        <f aca="false">SUMIFS(Service_Consumables!$L$5:$L$856,Service_Consumables!$A$5:$A$856,$A36,Service_Consumables!$E$5:$E$856,AV$5,Service_Consumables!$H$5:$H$856,"Auto-deduct")</f>
        <v>0</v>
      </c>
      <c r="AW36" s="15" t="n">
        <f aca="false">SUMIFS(Service_Consumables!$L$5:$L$856,Service_Consumables!$A$5:$A$856,$A36,Service_Consumables!$E$5:$E$856,AW$5,Service_Consumables!$H$5:$H$856,"Auto-deduct")</f>
        <v>0</v>
      </c>
      <c r="AX36" s="15" t="n">
        <f aca="false">SUMIFS(Service_Consumables!$L$5:$L$856,Service_Consumables!$A$5:$A$856,$A36,Service_Consumables!$E$5:$E$856,AX$5,Service_Consumables!$H$5:$H$856,"Auto-deduct")</f>
        <v>0</v>
      </c>
      <c r="AY36" s="15" t="n">
        <f aca="false">SUMIFS(Service_Consumables!$L$5:$L$856,Service_Consumables!$A$5:$A$856,$A36,Service_Consumables!$E$5:$E$856,AY$5,Service_Consumables!$H$5:$H$856,"Auto-deduct")</f>
        <v>0</v>
      </c>
      <c r="AZ36" s="15" t="n">
        <f aca="false">SUMIFS(Service_Consumables!$L$5:$L$856,Service_Consumables!$A$5:$A$856,$A36,Service_Consumables!$E$5:$E$856,AZ$5,Service_Consumables!$H$5:$H$856,"Auto-deduct")</f>
        <v>0</v>
      </c>
      <c r="BA36" s="15" t="n">
        <f aca="false">SUMIFS(Service_Consumables!$L$5:$L$856,Service_Consumables!$A$5:$A$856,$A36,Service_Consumables!$E$5:$E$856,BA$5,Service_Consumables!$H$5:$H$856,"Auto-deduct")</f>
        <v>0</v>
      </c>
      <c r="BB36" s="15" t="n">
        <f aca="false">SUMIFS(Service_Consumables!$L$5:$L$856,Service_Consumables!$A$5:$A$856,$A36,Service_Consumables!$E$5:$E$856,BB$5,Service_Consumables!$H$5:$H$856,"Auto-deduct")</f>
        <v>0</v>
      </c>
      <c r="BC36" s="15" t="n">
        <f aca="false">SUMIFS(Service_Consumables!$L$5:$L$856,Service_Consumables!$A$5:$A$856,$A36,Service_Consumables!$E$5:$E$856,BC$5,Service_Consumables!$H$5:$H$856,"Auto-deduct")</f>
        <v>0</v>
      </c>
      <c r="BD36" s="15" t="n">
        <f aca="false">SUMIFS(Service_Consumables!$L$5:$L$856,Service_Consumables!$A$5:$A$856,$A36,Service_Consumables!$E$5:$E$856,BD$5,Service_Consumables!$H$5:$H$856,"Auto-deduct")</f>
        <v>0</v>
      </c>
      <c r="BE36" s="15" t="n">
        <f aca="false">SUMIFS(Service_Consumables!$L$5:$L$856,Service_Consumables!$A$5:$A$856,$A36,Service_Consumables!$E$5:$E$856,BE$5,Service_Consumables!$H$5:$H$856,"Auto-deduct")</f>
        <v>0</v>
      </c>
      <c r="BF36" s="15" t="n">
        <f aca="false">SUMIFS(Service_Consumables!$L$5:$L$856,Service_Consumables!$A$5:$A$856,$A36,Service_Consumables!$E$5:$E$856,BF$5,Service_Consumables!$H$5:$H$856,"Auto-deduct")</f>
        <v>0</v>
      </c>
      <c r="BG36" s="15" t="n">
        <f aca="false">SUMIFS(Service_Consumables!$L$5:$L$856,Service_Consumables!$A$5:$A$856,$A36,Service_Consumables!$E$5:$E$856,BG$5,Service_Consumables!$H$5:$H$856,"Auto-deduct")</f>
        <v>0</v>
      </c>
      <c r="BH36" s="15" t="n">
        <f aca="false">SUMIFS(Service_Consumables!$L$5:$L$856,Service_Consumables!$A$5:$A$856,$A36,Service_Consumables!$E$5:$E$856,BH$5,Service_Consumables!$H$5:$H$856,"Auto-deduct")</f>
        <v>0</v>
      </c>
      <c r="BI36" s="15" t="n">
        <f aca="false">SUMIFS(Service_Consumables!$L$5:$L$856,Service_Consumables!$A$5:$A$856,$A36,Service_Consumables!$E$5:$E$856,BI$5,Service_Consumables!$H$5:$H$856,"Auto-deduct")</f>
        <v>0</v>
      </c>
    </row>
    <row r="37" customFormat="false" ht="15" hidden="false" customHeight="false" outlineLevel="0" collapsed="false">
      <c r="A37" s="14" t="n">
        <f aca="false">Services!A36</f>
        <v>32</v>
      </c>
      <c r="B37" s="14" t="str">
        <f aca="false">Services!B36</f>
        <v>Drip / Shot (ED/GS)</v>
      </c>
      <c r="C37" s="14" t="str">
        <f aca="false">Services!C36</f>
        <v>3-in-1 Drip</v>
      </c>
      <c r="D37" s="15" t="n">
        <f aca="false">SUMIFS(Service_Consumables!$L$5:$L$856,Service_Consumables!$A$5:$A$856,$A37,Service_Consumables!$E$5:$E$856,D$5,Service_Consumables!$H$5:$H$856,"Auto-deduct")</f>
        <v>0</v>
      </c>
      <c r="E37" s="15" t="n">
        <f aca="false">SUMIFS(Service_Consumables!$L$5:$L$856,Service_Consumables!$A$5:$A$856,$A37,Service_Consumables!$E$5:$E$856,E$5,Service_Consumables!$H$5:$H$856,"Auto-deduct")</f>
        <v>0</v>
      </c>
      <c r="F37" s="15" t="n">
        <f aca="false">SUMIFS(Service_Consumables!$L$5:$L$856,Service_Consumables!$A$5:$A$856,$A37,Service_Consumables!$E$5:$E$856,F$5,Service_Consumables!$H$5:$H$856,"Auto-deduct")</f>
        <v>1</v>
      </c>
      <c r="G37" s="15" t="n">
        <f aca="false">SUMIFS(Service_Consumables!$L$5:$L$856,Service_Consumables!$A$5:$A$856,$A37,Service_Consumables!$E$5:$E$856,G$5,Service_Consumables!$H$5:$H$856,"Auto-deduct")</f>
        <v>0</v>
      </c>
      <c r="H37" s="15" t="n">
        <f aca="false">SUMIFS(Service_Consumables!$L$5:$L$856,Service_Consumables!$A$5:$A$856,$A37,Service_Consumables!$E$5:$E$856,H$5,Service_Consumables!$H$5:$H$856,"Auto-deduct")</f>
        <v>0</v>
      </c>
      <c r="I37" s="15" t="n">
        <f aca="false">SUMIFS(Service_Consumables!$L$5:$L$856,Service_Consumables!$A$5:$A$856,$A37,Service_Consumables!$E$5:$E$856,I$5,Service_Consumables!$H$5:$H$856,"Auto-deduct")</f>
        <v>0</v>
      </c>
      <c r="J37" s="15" t="n">
        <f aca="false">SUMIFS(Service_Consumables!$L$5:$L$856,Service_Consumables!$A$5:$A$856,$A37,Service_Consumables!$E$5:$E$856,J$5,Service_Consumables!$H$5:$H$856,"Auto-deduct")</f>
        <v>1</v>
      </c>
      <c r="K37" s="15" t="n">
        <f aca="false">SUMIFS(Service_Consumables!$L$5:$L$856,Service_Consumables!$A$5:$A$856,$A37,Service_Consumables!$E$5:$E$856,K$5,Service_Consumables!$H$5:$H$856,"Auto-deduct")</f>
        <v>0</v>
      </c>
      <c r="L37" s="15" t="n">
        <f aca="false">SUMIFS(Service_Consumables!$L$5:$L$856,Service_Consumables!$A$5:$A$856,$A37,Service_Consumables!$E$5:$E$856,L$5,Service_Consumables!$H$5:$H$856,"Auto-deduct")</f>
        <v>0</v>
      </c>
      <c r="M37" s="15" t="n">
        <f aca="false">SUMIFS(Service_Consumables!$L$5:$L$856,Service_Consumables!$A$5:$A$856,$A37,Service_Consumables!$E$5:$E$856,M$5,Service_Consumables!$H$5:$H$856,"Auto-deduct")</f>
        <v>1</v>
      </c>
      <c r="N37" s="15" t="n">
        <f aca="false">SUMIFS(Service_Consumables!$L$5:$L$856,Service_Consumables!$A$5:$A$856,$A37,Service_Consumables!$E$5:$E$856,N$5,Service_Consumables!$H$5:$H$856,"Auto-deduct")</f>
        <v>1</v>
      </c>
      <c r="O37" s="15" t="n">
        <f aca="false">SUMIFS(Service_Consumables!$L$5:$L$856,Service_Consumables!$A$5:$A$856,$A37,Service_Consumables!$E$5:$E$856,O$5,Service_Consumables!$H$5:$H$856,"Auto-deduct")</f>
        <v>0</v>
      </c>
      <c r="P37" s="15" t="n">
        <f aca="false">SUMIFS(Service_Consumables!$L$5:$L$856,Service_Consumables!$A$5:$A$856,$A37,Service_Consumables!$E$5:$E$856,P$5,Service_Consumables!$H$5:$H$856,"Auto-deduct")</f>
        <v>1</v>
      </c>
      <c r="Q37" s="15" t="n">
        <f aca="false">SUMIFS(Service_Consumables!$L$5:$L$856,Service_Consumables!$A$5:$A$856,$A37,Service_Consumables!$E$5:$E$856,Q$5,Service_Consumables!$H$5:$H$856,"Auto-deduct")</f>
        <v>1</v>
      </c>
      <c r="R37" s="15" t="n">
        <f aca="false">SUMIFS(Service_Consumables!$L$5:$L$856,Service_Consumables!$A$5:$A$856,$A37,Service_Consumables!$E$5:$E$856,R$5,Service_Consumables!$H$5:$H$856,"Auto-deduct")</f>
        <v>0</v>
      </c>
      <c r="S37" s="15" t="n">
        <f aca="false">SUMIFS(Service_Consumables!$L$5:$L$856,Service_Consumables!$A$5:$A$856,$A37,Service_Consumables!$E$5:$E$856,S$5,Service_Consumables!$H$5:$H$856,"Auto-deduct")</f>
        <v>0</v>
      </c>
      <c r="T37" s="15" t="n">
        <f aca="false">SUMIFS(Service_Consumables!$L$5:$L$856,Service_Consumables!$A$5:$A$856,$A37,Service_Consumables!$E$5:$E$856,T$5,Service_Consumables!$H$5:$H$856,"Auto-deduct")</f>
        <v>0</v>
      </c>
      <c r="U37" s="15" t="n">
        <f aca="false">SUMIFS(Service_Consumables!$L$5:$L$856,Service_Consumables!$A$5:$A$856,$A37,Service_Consumables!$E$5:$E$856,U$5,Service_Consumables!$H$5:$H$856,"Auto-deduct")</f>
        <v>0</v>
      </c>
      <c r="V37" s="15" t="n">
        <f aca="false">SUMIFS(Service_Consumables!$L$5:$L$856,Service_Consumables!$A$5:$A$856,$A37,Service_Consumables!$E$5:$E$856,V$5,Service_Consumables!$H$5:$H$856,"Auto-deduct")</f>
        <v>0</v>
      </c>
      <c r="W37" s="15" t="n">
        <f aca="false">SUMIFS(Service_Consumables!$L$5:$L$856,Service_Consumables!$A$5:$A$856,$A37,Service_Consumables!$E$5:$E$856,W$5,Service_Consumables!$H$5:$H$856,"Auto-deduct")</f>
        <v>0</v>
      </c>
      <c r="X37" s="15" t="n">
        <f aca="false">SUMIFS(Service_Consumables!$L$5:$L$856,Service_Consumables!$A$5:$A$856,$A37,Service_Consumables!$E$5:$E$856,X$5,Service_Consumables!$H$5:$H$856,"Auto-deduct")</f>
        <v>0</v>
      </c>
      <c r="Y37" s="15" t="n">
        <f aca="false">SUMIFS(Service_Consumables!$L$5:$L$856,Service_Consumables!$A$5:$A$856,$A37,Service_Consumables!$E$5:$E$856,Y$5,Service_Consumables!$H$5:$H$856,"Auto-deduct")</f>
        <v>20</v>
      </c>
      <c r="Z37" s="15" t="n">
        <f aca="false">SUMIFS(Service_Consumables!$L$5:$L$856,Service_Consumables!$A$5:$A$856,$A37,Service_Consumables!$E$5:$E$856,Z$5,Service_Consumables!$H$5:$H$856,"Auto-deduct")</f>
        <v>0</v>
      </c>
      <c r="AA37" s="15" t="n">
        <f aca="false">SUMIFS(Service_Consumables!$L$5:$L$856,Service_Consumables!$A$5:$A$856,$A37,Service_Consumables!$E$5:$E$856,AA$5,Service_Consumables!$H$5:$H$856,"Auto-deduct")</f>
        <v>0</v>
      </c>
      <c r="AB37" s="15" t="n">
        <f aca="false">SUMIFS(Service_Consumables!$L$5:$L$856,Service_Consumables!$A$5:$A$856,$A37,Service_Consumables!$E$5:$E$856,AB$5,Service_Consumables!$H$5:$H$856,"Auto-deduct")</f>
        <v>2</v>
      </c>
      <c r="AC37" s="15" t="n">
        <f aca="false">SUMIFS(Service_Consumables!$L$5:$L$856,Service_Consumables!$A$5:$A$856,$A37,Service_Consumables!$E$5:$E$856,AC$5,Service_Consumables!$H$5:$H$856,"Auto-deduct")</f>
        <v>0</v>
      </c>
      <c r="AD37" s="15" t="n">
        <f aca="false">SUMIFS(Service_Consumables!$L$5:$L$856,Service_Consumables!$A$5:$A$856,$A37,Service_Consumables!$E$5:$E$856,AD$5,Service_Consumables!$H$5:$H$856,"Auto-deduct")</f>
        <v>5</v>
      </c>
      <c r="AE37" s="15" t="n">
        <f aca="false">SUMIFS(Service_Consumables!$L$5:$L$856,Service_Consumables!$A$5:$A$856,$A37,Service_Consumables!$E$5:$E$856,AE$5,Service_Consumables!$H$5:$H$856,"Auto-deduct")</f>
        <v>0</v>
      </c>
      <c r="AF37" s="15" t="n">
        <f aca="false">SUMIFS(Service_Consumables!$L$5:$L$856,Service_Consumables!$A$5:$A$856,$A37,Service_Consumables!$E$5:$E$856,AF$5,Service_Consumables!$H$5:$H$856,"Auto-deduct")</f>
        <v>0</v>
      </c>
      <c r="AG37" s="15" t="n">
        <f aca="false">SUMIFS(Service_Consumables!$L$5:$L$856,Service_Consumables!$A$5:$A$856,$A37,Service_Consumables!$E$5:$E$856,AG$5,Service_Consumables!$H$5:$H$856,"Auto-deduct")</f>
        <v>0</v>
      </c>
      <c r="AH37" s="15" t="n">
        <f aca="false">SUMIFS(Service_Consumables!$L$5:$L$856,Service_Consumables!$A$5:$A$856,$A37,Service_Consumables!$E$5:$E$856,AH$5,Service_Consumables!$H$5:$H$856,"Auto-deduct")</f>
        <v>0</v>
      </c>
      <c r="AI37" s="15" t="n">
        <f aca="false">SUMIFS(Service_Consumables!$L$5:$L$856,Service_Consumables!$A$5:$A$856,$A37,Service_Consumables!$E$5:$E$856,AI$5,Service_Consumables!$H$5:$H$856,"Auto-deduct")</f>
        <v>0</v>
      </c>
      <c r="AJ37" s="15" t="n">
        <f aca="false">SUMIFS(Service_Consumables!$L$5:$L$856,Service_Consumables!$A$5:$A$856,$A37,Service_Consumables!$E$5:$E$856,AJ$5,Service_Consumables!$H$5:$H$856,"Auto-deduct")</f>
        <v>0</v>
      </c>
      <c r="AK37" s="15" t="n">
        <f aca="false">SUMIFS(Service_Consumables!$L$5:$L$856,Service_Consumables!$A$5:$A$856,$A37,Service_Consumables!$E$5:$E$856,AK$5,Service_Consumables!$H$5:$H$856,"Auto-deduct")</f>
        <v>0</v>
      </c>
      <c r="AL37" s="15" t="n">
        <f aca="false">SUMIFS(Service_Consumables!$L$5:$L$856,Service_Consumables!$A$5:$A$856,$A37,Service_Consumables!$E$5:$E$856,AL$5,Service_Consumables!$H$5:$H$856,"Auto-deduct")</f>
        <v>0</v>
      </c>
      <c r="AM37" s="15" t="n">
        <f aca="false">SUMIFS(Service_Consumables!$L$5:$L$856,Service_Consumables!$A$5:$A$856,$A37,Service_Consumables!$E$5:$E$856,AM$5,Service_Consumables!$H$5:$H$856,"Auto-deduct")</f>
        <v>0</v>
      </c>
      <c r="AN37" s="15" t="n">
        <f aca="false">SUMIFS(Service_Consumables!$L$5:$L$856,Service_Consumables!$A$5:$A$856,$A37,Service_Consumables!$E$5:$E$856,AN$5,Service_Consumables!$H$5:$H$856,"Auto-deduct")</f>
        <v>0</v>
      </c>
      <c r="AO37" s="15" t="n">
        <f aca="false">SUMIFS(Service_Consumables!$L$5:$L$856,Service_Consumables!$A$5:$A$856,$A37,Service_Consumables!$E$5:$E$856,AO$5,Service_Consumables!$H$5:$H$856,"Auto-deduct")</f>
        <v>0</v>
      </c>
      <c r="AP37" s="15" t="n">
        <f aca="false">SUMIFS(Service_Consumables!$L$5:$L$856,Service_Consumables!$A$5:$A$856,$A37,Service_Consumables!$E$5:$E$856,AP$5,Service_Consumables!$H$5:$H$856,"Auto-deduct")</f>
        <v>0</v>
      </c>
      <c r="AQ37" s="15" t="n">
        <f aca="false">SUMIFS(Service_Consumables!$L$5:$L$856,Service_Consumables!$A$5:$A$856,$A37,Service_Consumables!$E$5:$E$856,AQ$5,Service_Consumables!$H$5:$H$856,"Auto-deduct")</f>
        <v>0</v>
      </c>
      <c r="AR37" s="15" t="n">
        <f aca="false">SUMIFS(Service_Consumables!$L$5:$L$856,Service_Consumables!$A$5:$A$856,$A37,Service_Consumables!$E$5:$E$856,AR$5,Service_Consumables!$H$5:$H$856,"Auto-deduct")</f>
        <v>0</v>
      </c>
      <c r="AS37" s="15" t="n">
        <f aca="false">SUMIFS(Service_Consumables!$L$5:$L$856,Service_Consumables!$A$5:$A$856,$A37,Service_Consumables!$E$5:$E$856,AS$5,Service_Consumables!$H$5:$H$856,"Auto-deduct")</f>
        <v>0</v>
      </c>
      <c r="AT37" s="15" t="n">
        <f aca="false">SUMIFS(Service_Consumables!$L$5:$L$856,Service_Consumables!$A$5:$A$856,$A37,Service_Consumables!$E$5:$E$856,AT$5,Service_Consumables!$H$5:$H$856,"Auto-deduct")</f>
        <v>0</v>
      </c>
      <c r="AU37" s="15" t="n">
        <f aca="false">SUMIFS(Service_Consumables!$L$5:$L$856,Service_Consumables!$A$5:$A$856,$A37,Service_Consumables!$E$5:$E$856,AU$5,Service_Consumables!$H$5:$H$856,"Auto-deduct")</f>
        <v>0</v>
      </c>
      <c r="AV37" s="15" t="n">
        <f aca="false">SUMIFS(Service_Consumables!$L$5:$L$856,Service_Consumables!$A$5:$A$856,$A37,Service_Consumables!$E$5:$E$856,AV$5,Service_Consumables!$H$5:$H$856,"Auto-deduct")</f>
        <v>0</v>
      </c>
      <c r="AW37" s="15" t="n">
        <f aca="false">SUMIFS(Service_Consumables!$L$5:$L$856,Service_Consumables!$A$5:$A$856,$A37,Service_Consumables!$E$5:$E$856,AW$5,Service_Consumables!$H$5:$H$856,"Auto-deduct")</f>
        <v>0</v>
      </c>
      <c r="AX37" s="15" t="n">
        <f aca="false">SUMIFS(Service_Consumables!$L$5:$L$856,Service_Consumables!$A$5:$A$856,$A37,Service_Consumables!$E$5:$E$856,AX$5,Service_Consumables!$H$5:$H$856,"Auto-deduct")</f>
        <v>0</v>
      </c>
      <c r="AY37" s="15" t="n">
        <f aca="false">SUMIFS(Service_Consumables!$L$5:$L$856,Service_Consumables!$A$5:$A$856,$A37,Service_Consumables!$E$5:$E$856,AY$5,Service_Consumables!$H$5:$H$856,"Auto-deduct")</f>
        <v>0</v>
      </c>
      <c r="AZ37" s="15" t="n">
        <f aca="false">SUMIFS(Service_Consumables!$L$5:$L$856,Service_Consumables!$A$5:$A$856,$A37,Service_Consumables!$E$5:$E$856,AZ$5,Service_Consumables!$H$5:$H$856,"Auto-deduct")</f>
        <v>0</v>
      </c>
      <c r="BA37" s="15" t="n">
        <f aca="false">SUMIFS(Service_Consumables!$L$5:$L$856,Service_Consumables!$A$5:$A$856,$A37,Service_Consumables!$E$5:$E$856,BA$5,Service_Consumables!$H$5:$H$856,"Auto-deduct")</f>
        <v>0</v>
      </c>
      <c r="BB37" s="15" t="n">
        <f aca="false">SUMIFS(Service_Consumables!$L$5:$L$856,Service_Consumables!$A$5:$A$856,$A37,Service_Consumables!$E$5:$E$856,BB$5,Service_Consumables!$H$5:$H$856,"Auto-deduct")</f>
        <v>0</v>
      </c>
      <c r="BC37" s="15" t="n">
        <f aca="false">SUMIFS(Service_Consumables!$L$5:$L$856,Service_Consumables!$A$5:$A$856,$A37,Service_Consumables!$E$5:$E$856,BC$5,Service_Consumables!$H$5:$H$856,"Auto-deduct")</f>
        <v>0</v>
      </c>
      <c r="BD37" s="15" t="n">
        <f aca="false">SUMIFS(Service_Consumables!$L$5:$L$856,Service_Consumables!$A$5:$A$856,$A37,Service_Consumables!$E$5:$E$856,BD$5,Service_Consumables!$H$5:$H$856,"Auto-deduct")</f>
        <v>0</v>
      </c>
      <c r="BE37" s="15" t="n">
        <f aca="false">SUMIFS(Service_Consumables!$L$5:$L$856,Service_Consumables!$A$5:$A$856,$A37,Service_Consumables!$E$5:$E$856,BE$5,Service_Consumables!$H$5:$H$856,"Auto-deduct")</f>
        <v>0</v>
      </c>
      <c r="BF37" s="15" t="n">
        <f aca="false">SUMIFS(Service_Consumables!$L$5:$L$856,Service_Consumables!$A$5:$A$856,$A37,Service_Consumables!$E$5:$E$856,BF$5,Service_Consumables!$H$5:$H$856,"Auto-deduct")</f>
        <v>0</v>
      </c>
      <c r="BG37" s="15" t="n">
        <f aca="false">SUMIFS(Service_Consumables!$L$5:$L$856,Service_Consumables!$A$5:$A$856,$A37,Service_Consumables!$E$5:$E$856,BG$5,Service_Consumables!$H$5:$H$856,"Auto-deduct")</f>
        <v>0</v>
      </c>
      <c r="BH37" s="15" t="n">
        <f aca="false">SUMIFS(Service_Consumables!$L$5:$L$856,Service_Consumables!$A$5:$A$856,$A37,Service_Consumables!$E$5:$E$856,BH$5,Service_Consumables!$H$5:$H$856,"Auto-deduct")</f>
        <v>0</v>
      </c>
      <c r="BI37" s="15" t="n">
        <f aca="false">SUMIFS(Service_Consumables!$L$5:$L$856,Service_Consumables!$A$5:$A$856,$A37,Service_Consumables!$E$5:$E$856,BI$5,Service_Consumables!$H$5:$H$856,"Auto-deduct")</f>
        <v>0</v>
      </c>
    </row>
    <row r="38" customFormat="false" ht="15" hidden="false" customHeight="false" outlineLevel="0" collapsed="false">
      <c r="A38" s="14" t="n">
        <f aca="false">Services!A37</f>
        <v>33</v>
      </c>
      <c r="B38" s="14" t="str">
        <f aca="false">Services!B37</f>
        <v>Drip / Shot (ED/GS)</v>
      </c>
      <c r="C38" s="14" t="str">
        <f aca="false">Services!C37</f>
        <v>Gluta Shot w/ Vit. C</v>
      </c>
      <c r="D38" s="15" t="n">
        <f aca="false">SUMIFS(Service_Consumables!$L$5:$L$856,Service_Consumables!$A$5:$A$856,$A38,Service_Consumables!$E$5:$E$856,D$5,Service_Consumables!$H$5:$H$856,"Auto-deduct")</f>
        <v>0</v>
      </c>
      <c r="E38" s="15" t="n">
        <f aca="false">SUMIFS(Service_Consumables!$L$5:$L$856,Service_Consumables!$A$5:$A$856,$A38,Service_Consumables!$E$5:$E$856,E$5,Service_Consumables!$H$5:$H$856,"Auto-deduct")</f>
        <v>1</v>
      </c>
      <c r="F38" s="15" t="n">
        <f aca="false">SUMIFS(Service_Consumables!$L$5:$L$856,Service_Consumables!$A$5:$A$856,$A38,Service_Consumables!$E$5:$E$856,F$5,Service_Consumables!$H$5:$H$856,"Auto-deduct")</f>
        <v>1</v>
      </c>
      <c r="G38" s="15" t="n">
        <f aca="false">SUMIFS(Service_Consumables!$L$5:$L$856,Service_Consumables!$A$5:$A$856,$A38,Service_Consumables!$E$5:$E$856,G$5,Service_Consumables!$H$5:$H$856,"Auto-deduct")</f>
        <v>1</v>
      </c>
      <c r="H38" s="15" t="n">
        <f aca="false">SUMIFS(Service_Consumables!$L$5:$L$856,Service_Consumables!$A$5:$A$856,$A38,Service_Consumables!$E$5:$E$856,H$5,Service_Consumables!$H$5:$H$856,"Auto-deduct")</f>
        <v>0</v>
      </c>
      <c r="I38" s="15" t="n">
        <f aca="false">SUMIFS(Service_Consumables!$L$5:$L$856,Service_Consumables!$A$5:$A$856,$A38,Service_Consumables!$E$5:$E$856,I$5,Service_Consumables!$H$5:$H$856,"Auto-deduct")</f>
        <v>0</v>
      </c>
      <c r="J38" s="15" t="n">
        <f aca="false">SUMIFS(Service_Consumables!$L$5:$L$856,Service_Consumables!$A$5:$A$856,$A38,Service_Consumables!$E$5:$E$856,J$5,Service_Consumables!$H$5:$H$856,"Auto-deduct")</f>
        <v>0</v>
      </c>
      <c r="K38" s="15" t="n">
        <f aca="false">SUMIFS(Service_Consumables!$L$5:$L$856,Service_Consumables!$A$5:$A$856,$A38,Service_Consumables!$E$5:$E$856,K$5,Service_Consumables!$H$5:$H$856,"Auto-deduct")</f>
        <v>0</v>
      </c>
      <c r="L38" s="15" t="n">
        <f aca="false">SUMIFS(Service_Consumables!$L$5:$L$856,Service_Consumables!$A$5:$A$856,$A38,Service_Consumables!$E$5:$E$856,L$5,Service_Consumables!$H$5:$H$856,"Auto-deduct")</f>
        <v>0</v>
      </c>
      <c r="M38" s="15" t="n">
        <f aca="false">SUMIFS(Service_Consumables!$L$5:$L$856,Service_Consumables!$A$5:$A$856,$A38,Service_Consumables!$E$5:$E$856,M$5,Service_Consumables!$H$5:$H$856,"Auto-deduct")</f>
        <v>1</v>
      </c>
      <c r="N38" s="15" t="n">
        <f aca="false">SUMIFS(Service_Consumables!$L$5:$L$856,Service_Consumables!$A$5:$A$856,$A38,Service_Consumables!$E$5:$E$856,N$5,Service_Consumables!$H$5:$H$856,"Auto-deduct")</f>
        <v>0</v>
      </c>
      <c r="O38" s="15" t="n">
        <f aca="false">SUMIFS(Service_Consumables!$L$5:$L$856,Service_Consumables!$A$5:$A$856,$A38,Service_Consumables!$E$5:$E$856,O$5,Service_Consumables!$H$5:$H$856,"Auto-deduct")</f>
        <v>0</v>
      </c>
      <c r="P38" s="15" t="n">
        <f aca="false">SUMIFS(Service_Consumables!$L$5:$L$856,Service_Consumables!$A$5:$A$856,$A38,Service_Consumables!$E$5:$E$856,P$5,Service_Consumables!$H$5:$H$856,"Auto-deduct")</f>
        <v>1</v>
      </c>
      <c r="Q38" s="15" t="n">
        <f aca="false">SUMIFS(Service_Consumables!$L$5:$L$856,Service_Consumables!$A$5:$A$856,$A38,Service_Consumables!$E$5:$E$856,Q$5,Service_Consumables!$H$5:$H$856,"Auto-deduct")</f>
        <v>1</v>
      </c>
      <c r="R38" s="15" t="n">
        <f aca="false">SUMIFS(Service_Consumables!$L$5:$L$856,Service_Consumables!$A$5:$A$856,$A38,Service_Consumables!$E$5:$E$856,R$5,Service_Consumables!$H$5:$H$856,"Auto-deduct")</f>
        <v>0</v>
      </c>
      <c r="S38" s="15" t="n">
        <f aca="false">SUMIFS(Service_Consumables!$L$5:$L$856,Service_Consumables!$A$5:$A$856,$A38,Service_Consumables!$E$5:$E$856,S$5,Service_Consumables!$H$5:$H$856,"Auto-deduct")</f>
        <v>0</v>
      </c>
      <c r="T38" s="15" t="n">
        <f aca="false">SUMIFS(Service_Consumables!$L$5:$L$856,Service_Consumables!$A$5:$A$856,$A38,Service_Consumables!$E$5:$E$856,T$5,Service_Consumables!$H$5:$H$856,"Auto-deduct")</f>
        <v>0</v>
      </c>
      <c r="U38" s="15" t="n">
        <f aca="false">SUMIFS(Service_Consumables!$L$5:$L$856,Service_Consumables!$A$5:$A$856,$A38,Service_Consumables!$E$5:$E$856,U$5,Service_Consumables!$H$5:$H$856,"Auto-deduct")</f>
        <v>0</v>
      </c>
      <c r="V38" s="15" t="n">
        <f aca="false">SUMIFS(Service_Consumables!$L$5:$L$856,Service_Consumables!$A$5:$A$856,$A38,Service_Consumables!$E$5:$E$856,V$5,Service_Consumables!$H$5:$H$856,"Auto-deduct")</f>
        <v>0</v>
      </c>
      <c r="W38" s="15" t="n">
        <f aca="false">SUMIFS(Service_Consumables!$L$5:$L$856,Service_Consumables!$A$5:$A$856,$A38,Service_Consumables!$E$5:$E$856,W$5,Service_Consumables!$H$5:$H$856,"Auto-deduct")</f>
        <v>0</v>
      </c>
      <c r="X38" s="15" t="n">
        <f aca="false">SUMIFS(Service_Consumables!$L$5:$L$856,Service_Consumables!$A$5:$A$856,$A38,Service_Consumables!$E$5:$E$856,X$5,Service_Consumables!$H$5:$H$856,"Auto-deduct")</f>
        <v>0</v>
      </c>
      <c r="Y38" s="15" t="n">
        <f aca="false">SUMIFS(Service_Consumables!$L$5:$L$856,Service_Consumables!$A$5:$A$856,$A38,Service_Consumables!$E$5:$E$856,Y$5,Service_Consumables!$H$5:$H$856,"Auto-deduct")</f>
        <v>10</v>
      </c>
      <c r="Z38" s="15" t="n">
        <f aca="false">SUMIFS(Service_Consumables!$L$5:$L$856,Service_Consumables!$A$5:$A$856,$A38,Service_Consumables!$E$5:$E$856,Z$5,Service_Consumables!$H$5:$H$856,"Auto-deduct")</f>
        <v>0</v>
      </c>
      <c r="AA38" s="15" t="n">
        <f aca="false">SUMIFS(Service_Consumables!$L$5:$L$856,Service_Consumables!$A$5:$A$856,$A38,Service_Consumables!$E$5:$E$856,AA$5,Service_Consumables!$H$5:$H$856,"Auto-deduct")</f>
        <v>0</v>
      </c>
      <c r="AB38" s="15" t="n">
        <f aca="false">SUMIFS(Service_Consumables!$L$5:$L$856,Service_Consumables!$A$5:$A$856,$A38,Service_Consumables!$E$5:$E$856,AB$5,Service_Consumables!$H$5:$H$856,"Auto-deduct")</f>
        <v>1</v>
      </c>
      <c r="AC38" s="15" t="n">
        <f aca="false">SUMIFS(Service_Consumables!$L$5:$L$856,Service_Consumables!$A$5:$A$856,$A38,Service_Consumables!$E$5:$E$856,AC$5,Service_Consumables!$H$5:$H$856,"Auto-deduct")</f>
        <v>0</v>
      </c>
      <c r="AD38" s="15" t="n">
        <f aca="false">SUMIFS(Service_Consumables!$L$5:$L$856,Service_Consumables!$A$5:$A$856,$A38,Service_Consumables!$E$5:$E$856,AD$5,Service_Consumables!$H$5:$H$856,"Auto-deduct")</f>
        <v>5</v>
      </c>
      <c r="AE38" s="15" t="n">
        <f aca="false">SUMIFS(Service_Consumables!$L$5:$L$856,Service_Consumables!$A$5:$A$856,$A38,Service_Consumables!$E$5:$E$856,AE$5,Service_Consumables!$H$5:$H$856,"Auto-deduct")</f>
        <v>0</v>
      </c>
      <c r="AF38" s="15" t="n">
        <f aca="false">SUMIFS(Service_Consumables!$L$5:$L$856,Service_Consumables!$A$5:$A$856,$A38,Service_Consumables!$E$5:$E$856,AF$5,Service_Consumables!$H$5:$H$856,"Auto-deduct")</f>
        <v>0</v>
      </c>
      <c r="AG38" s="15" t="n">
        <f aca="false">SUMIFS(Service_Consumables!$L$5:$L$856,Service_Consumables!$A$5:$A$856,$A38,Service_Consumables!$E$5:$E$856,AG$5,Service_Consumables!$H$5:$H$856,"Auto-deduct")</f>
        <v>0</v>
      </c>
      <c r="AH38" s="15" t="n">
        <f aca="false">SUMIFS(Service_Consumables!$L$5:$L$856,Service_Consumables!$A$5:$A$856,$A38,Service_Consumables!$E$5:$E$856,AH$5,Service_Consumables!$H$5:$H$856,"Auto-deduct")</f>
        <v>0</v>
      </c>
      <c r="AI38" s="15" t="n">
        <f aca="false">SUMIFS(Service_Consumables!$L$5:$L$856,Service_Consumables!$A$5:$A$856,$A38,Service_Consumables!$E$5:$E$856,AI$5,Service_Consumables!$H$5:$H$856,"Auto-deduct")</f>
        <v>0</v>
      </c>
      <c r="AJ38" s="15" t="n">
        <f aca="false">SUMIFS(Service_Consumables!$L$5:$L$856,Service_Consumables!$A$5:$A$856,$A38,Service_Consumables!$E$5:$E$856,AJ$5,Service_Consumables!$H$5:$H$856,"Auto-deduct")</f>
        <v>0</v>
      </c>
      <c r="AK38" s="15" t="n">
        <f aca="false">SUMIFS(Service_Consumables!$L$5:$L$856,Service_Consumables!$A$5:$A$856,$A38,Service_Consumables!$E$5:$E$856,AK$5,Service_Consumables!$H$5:$H$856,"Auto-deduct")</f>
        <v>0</v>
      </c>
      <c r="AL38" s="15" t="n">
        <f aca="false">SUMIFS(Service_Consumables!$L$5:$L$856,Service_Consumables!$A$5:$A$856,$A38,Service_Consumables!$E$5:$E$856,AL$5,Service_Consumables!$H$5:$H$856,"Auto-deduct")</f>
        <v>0</v>
      </c>
      <c r="AM38" s="15" t="n">
        <f aca="false">SUMIFS(Service_Consumables!$L$5:$L$856,Service_Consumables!$A$5:$A$856,$A38,Service_Consumables!$E$5:$E$856,AM$5,Service_Consumables!$H$5:$H$856,"Auto-deduct")</f>
        <v>0</v>
      </c>
      <c r="AN38" s="15" t="n">
        <f aca="false">SUMIFS(Service_Consumables!$L$5:$L$856,Service_Consumables!$A$5:$A$856,$A38,Service_Consumables!$E$5:$E$856,AN$5,Service_Consumables!$H$5:$H$856,"Auto-deduct")</f>
        <v>0</v>
      </c>
      <c r="AO38" s="15" t="n">
        <f aca="false">SUMIFS(Service_Consumables!$L$5:$L$856,Service_Consumables!$A$5:$A$856,$A38,Service_Consumables!$E$5:$E$856,AO$5,Service_Consumables!$H$5:$H$856,"Auto-deduct")</f>
        <v>0</v>
      </c>
      <c r="AP38" s="15" t="n">
        <f aca="false">SUMIFS(Service_Consumables!$L$5:$L$856,Service_Consumables!$A$5:$A$856,$A38,Service_Consumables!$E$5:$E$856,AP$5,Service_Consumables!$H$5:$H$856,"Auto-deduct")</f>
        <v>0</v>
      </c>
      <c r="AQ38" s="15" t="n">
        <f aca="false">SUMIFS(Service_Consumables!$L$5:$L$856,Service_Consumables!$A$5:$A$856,$A38,Service_Consumables!$E$5:$E$856,AQ$5,Service_Consumables!$H$5:$H$856,"Auto-deduct")</f>
        <v>0</v>
      </c>
      <c r="AR38" s="15" t="n">
        <f aca="false">SUMIFS(Service_Consumables!$L$5:$L$856,Service_Consumables!$A$5:$A$856,$A38,Service_Consumables!$E$5:$E$856,AR$5,Service_Consumables!$H$5:$H$856,"Auto-deduct")</f>
        <v>0</v>
      </c>
      <c r="AS38" s="15" t="n">
        <f aca="false">SUMIFS(Service_Consumables!$L$5:$L$856,Service_Consumables!$A$5:$A$856,$A38,Service_Consumables!$E$5:$E$856,AS$5,Service_Consumables!$H$5:$H$856,"Auto-deduct")</f>
        <v>0</v>
      </c>
      <c r="AT38" s="15" t="n">
        <f aca="false">SUMIFS(Service_Consumables!$L$5:$L$856,Service_Consumables!$A$5:$A$856,$A38,Service_Consumables!$E$5:$E$856,AT$5,Service_Consumables!$H$5:$H$856,"Auto-deduct")</f>
        <v>0</v>
      </c>
      <c r="AU38" s="15" t="n">
        <f aca="false">SUMIFS(Service_Consumables!$L$5:$L$856,Service_Consumables!$A$5:$A$856,$A38,Service_Consumables!$E$5:$E$856,AU$5,Service_Consumables!$H$5:$H$856,"Auto-deduct")</f>
        <v>0</v>
      </c>
      <c r="AV38" s="15" t="n">
        <f aca="false">SUMIFS(Service_Consumables!$L$5:$L$856,Service_Consumables!$A$5:$A$856,$A38,Service_Consumables!$E$5:$E$856,AV$5,Service_Consumables!$H$5:$H$856,"Auto-deduct")</f>
        <v>0</v>
      </c>
      <c r="AW38" s="15" t="n">
        <f aca="false">SUMIFS(Service_Consumables!$L$5:$L$856,Service_Consumables!$A$5:$A$856,$A38,Service_Consumables!$E$5:$E$856,AW$5,Service_Consumables!$H$5:$H$856,"Auto-deduct")</f>
        <v>0</v>
      </c>
      <c r="AX38" s="15" t="n">
        <f aca="false">SUMIFS(Service_Consumables!$L$5:$L$856,Service_Consumables!$A$5:$A$856,$A38,Service_Consumables!$E$5:$E$856,AX$5,Service_Consumables!$H$5:$H$856,"Auto-deduct")</f>
        <v>0</v>
      </c>
      <c r="AY38" s="15" t="n">
        <f aca="false">SUMIFS(Service_Consumables!$L$5:$L$856,Service_Consumables!$A$5:$A$856,$A38,Service_Consumables!$E$5:$E$856,AY$5,Service_Consumables!$H$5:$H$856,"Auto-deduct")</f>
        <v>0</v>
      </c>
      <c r="AZ38" s="15" t="n">
        <f aca="false">SUMIFS(Service_Consumables!$L$5:$L$856,Service_Consumables!$A$5:$A$856,$A38,Service_Consumables!$E$5:$E$856,AZ$5,Service_Consumables!$H$5:$H$856,"Auto-deduct")</f>
        <v>0</v>
      </c>
      <c r="BA38" s="15" t="n">
        <f aca="false">SUMIFS(Service_Consumables!$L$5:$L$856,Service_Consumables!$A$5:$A$856,$A38,Service_Consumables!$E$5:$E$856,BA$5,Service_Consumables!$H$5:$H$856,"Auto-deduct")</f>
        <v>0</v>
      </c>
      <c r="BB38" s="15" t="n">
        <f aca="false">SUMIFS(Service_Consumables!$L$5:$L$856,Service_Consumables!$A$5:$A$856,$A38,Service_Consumables!$E$5:$E$856,BB$5,Service_Consumables!$H$5:$H$856,"Auto-deduct")</f>
        <v>0</v>
      </c>
      <c r="BC38" s="15" t="n">
        <f aca="false">SUMIFS(Service_Consumables!$L$5:$L$856,Service_Consumables!$A$5:$A$856,$A38,Service_Consumables!$E$5:$E$856,BC$5,Service_Consumables!$H$5:$H$856,"Auto-deduct")</f>
        <v>0</v>
      </c>
      <c r="BD38" s="15" t="n">
        <f aca="false">SUMIFS(Service_Consumables!$L$5:$L$856,Service_Consumables!$A$5:$A$856,$A38,Service_Consumables!$E$5:$E$856,BD$5,Service_Consumables!$H$5:$H$856,"Auto-deduct")</f>
        <v>0</v>
      </c>
      <c r="BE38" s="15" t="n">
        <f aca="false">SUMIFS(Service_Consumables!$L$5:$L$856,Service_Consumables!$A$5:$A$856,$A38,Service_Consumables!$E$5:$E$856,BE$5,Service_Consumables!$H$5:$H$856,"Auto-deduct")</f>
        <v>0</v>
      </c>
      <c r="BF38" s="15" t="n">
        <f aca="false">SUMIFS(Service_Consumables!$L$5:$L$856,Service_Consumables!$A$5:$A$856,$A38,Service_Consumables!$E$5:$E$856,BF$5,Service_Consumables!$H$5:$H$856,"Auto-deduct")</f>
        <v>0</v>
      </c>
      <c r="BG38" s="15" t="n">
        <f aca="false">SUMIFS(Service_Consumables!$L$5:$L$856,Service_Consumables!$A$5:$A$856,$A38,Service_Consumables!$E$5:$E$856,BG$5,Service_Consumables!$H$5:$H$856,"Auto-deduct")</f>
        <v>0</v>
      </c>
      <c r="BH38" s="15" t="n">
        <f aca="false">SUMIFS(Service_Consumables!$L$5:$L$856,Service_Consumables!$A$5:$A$856,$A38,Service_Consumables!$E$5:$E$856,BH$5,Service_Consumables!$H$5:$H$856,"Auto-deduct")</f>
        <v>0</v>
      </c>
      <c r="BI38" s="15" t="n">
        <f aca="false">SUMIFS(Service_Consumables!$L$5:$L$856,Service_Consumables!$A$5:$A$856,$A38,Service_Consumables!$E$5:$E$856,BI$5,Service_Consumables!$H$5:$H$856,"Auto-deduct")</f>
        <v>0</v>
      </c>
    </row>
    <row r="39" customFormat="false" ht="15" hidden="false" customHeight="false" outlineLevel="0" collapsed="false">
      <c r="A39" s="14" t="n">
        <f aca="false">Services!A38</f>
        <v>34</v>
      </c>
      <c r="B39" s="14" t="str">
        <f aca="false">Services!B38</f>
        <v>Drip / Shot (ED/GS)</v>
      </c>
      <c r="C39" s="14" t="str">
        <f aca="false">Services!C38</f>
        <v>Gluta Shot</v>
      </c>
      <c r="D39" s="15" t="n">
        <f aca="false">SUMIFS(Service_Consumables!$L$5:$L$856,Service_Consumables!$A$5:$A$856,$A39,Service_Consumables!$E$5:$E$856,D$5,Service_Consumables!$H$5:$H$856,"Auto-deduct")</f>
        <v>0</v>
      </c>
      <c r="E39" s="15" t="n">
        <f aca="false">SUMIFS(Service_Consumables!$L$5:$L$856,Service_Consumables!$A$5:$A$856,$A39,Service_Consumables!$E$5:$E$856,E$5,Service_Consumables!$H$5:$H$856,"Auto-deduct")</f>
        <v>0</v>
      </c>
      <c r="F39" s="15" t="n">
        <f aca="false">SUMIFS(Service_Consumables!$L$5:$L$856,Service_Consumables!$A$5:$A$856,$A39,Service_Consumables!$E$5:$E$856,F$5,Service_Consumables!$H$5:$H$856,"Auto-deduct")</f>
        <v>1</v>
      </c>
      <c r="G39" s="15" t="n">
        <f aca="false">SUMIFS(Service_Consumables!$L$5:$L$856,Service_Consumables!$A$5:$A$856,$A39,Service_Consumables!$E$5:$E$856,G$5,Service_Consumables!$H$5:$H$856,"Auto-deduct")</f>
        <v>1</v>
      </c>
      <c r="H39" s="15" t="n">
        <f aca="false">SUMIFS(Service_Consumables!$L$5:$L$856,Service_Consumables!$A$5:$A$856,$A39,Service_Consumables!$E$5:$E$856,H$5,Service_Consumables!$H$5:$H$856,"Auto-deduct")</f>
        <v>0</v>
      </c>
      <c r="I39" s="15" t="n">
        <f aca="false">SUMIFS(Service_Consumables!$L$5:$L$856,Service_Consumables!$A$5:$A$856,$A39,Service_Consumables!$E$5:$E$856,I$5,Service_Consumables!$H$5:$H$856,"Auto-deduct")</f>
        <v>0</v>
      </c>
      <c r="J39" s="15" t="n">
        <f aca="false">SUMIFS(Service_Consumables!$L$5:$L$856,Service_Consumables!$A$5:$A$856,$A39,Service_Consumables!$E$5:$E$856,J$5,Service_Consumables!$H$5:$H$856,"Auto-deduct")</f>
        <v>0</v>
      </c>
      <c r="K39" s="15" t="n">
        <f aca="false">SUMIFS(Service_Consumables!$L$5:$L$856,Service_Consumables!$A$5:$A$856,$A39,Service_Consumables!$E$5:$E$856,K$5,Service_Consumables!$H$5:$H$856,"Auto-deduct")</f>
        <v>0</v>
      </c>
      <c r="L39" s="15" t="n">
        <f aca="false">SUMIFS(Service_Consumables!$L$5:$L$856,Service_Consumables!$A$5:$A$856,$A39,Service_Consumables!$E$5:$E$856,L$5,Service_Consumables!$H$5:$H$856,"Auto-deduct")</f>
        <v>0</v>
      </c>
      <c r="M39" s="15" t="n">
        <f aca="false">SUMIFS(Service_Consumables!$L$5:$L$856,Service_Consumables!$A$5:$A$856,$A39,Service_Consumables!$E$5:$E$856,M$5,Service_Consumables!$H$5:$H$856,"Auto-deduct")</f>
        <v>1</v>
      </c>
      <c r="N39" s="15" t="n">
        <f aca="false">SUMIFS(Service_Consumables!$L$5:$L$856,Service_Consumables!$A$5:$A$856,$A39,Service_Consumables!$E$5:$E$856,N$5,Service_Consumables!$H$5:$H$856,"Auto-deduct")</f>
        <v>0</v>
      </c>
      <c r="O39" s="15" t="n">
        <f aca="false">SUMIFS(Service_Consumables!$L$5:$L$856,Service_Consumables!$A$5:$A$856,$A39,Service_Consumables!$E$5:$E$856,O$5,Service_Consumables!$H$5:$H$856,"Auto-deduct")</f>
        <v>0</v>
      </c>
      <c r="P39" s="15" t="n">
        <f aca="false">SUMIFS(Service_Consumables!$L$5:$L$856,Service_Consumables!$A$5:$A$856,$A39,Service_Consumables!$E$5:$E$856,P$5,Service_Consumables!$H$5:$H$856,"Auto-deduct")</f>
        <v>1</v>
      </c>
      <c r="Q39" s="15" t="n">
        <f aca="false">SUMIFS(Service_Consumables!$L$5:$L$856,Service_Consumables!$A$5:$A$856,$A39,Service_Consumables!$E$5:$E$856,Q$5,Service_Consumables!$H$5:$H$856,"Auto-deduct")</f>
        <v>1</v>
      </c>
      <c r="R39" s="15" t="n">
        <f aca="false">SUMIFS(Service_Consumables!$L$5:$L$856,Service_Consumables!$A$5:$A$856,$A39,Service_Consumables!$E$5:$E$856,R$5,Service_Consumables!$H$5:$H$856,"Auto-deduct")</f>
        <v>0</v>
      </c>
      <c r="S39" s="15" t="n">
        <f aca="false">SUMIFS(Service_Consumables!$L$5:$L$856,Service_Consumables!$A$5:$A$856,$A39,Service_Consumables!$E$5:$E$856,S$5,Service_Consumables!$H$5:$H$856,"Auto-deduct")</f>
        <v>0</v>
      </c>
      <c r="T39" s="15" t="n">
        <f aca="false">SUMIFS(Service_Consumables!$L$5:$L$856,Service_Consumables!$A$5:$A$856,$A39,Service_Consumables!$E$5:$E$856,T$5,Service_Consumables!$H$5:$H$856,"Auto-deduct")</f>
        <v>0</v>
      </c>
      <c r="U39" s="15" t="n">
        <f aca="false">SUMIFS(Service_Consumables!$L$5:$L$856,Service_Consumables!$A$5:$A$856,$A39,Service_Consumables!$E$5:$E$856,U$5,Service_Consumables!$H$5:$H$856,"Auto-deduct")</f>
        <v>0</v>
      </c>
      <c r="V39" s="15" t="n">
        <f aca="false">SUMIFS(Service_Consumables!$L$5:$L$856,Service_Consumables!$A$5:$A$856,$A39,Service_Consumables!$E$5:$E$856,V$5,Service_Consumables!$H$5:$H$856,"Auto-deduct")</f>
        <v>0</v>
      </c>
      <c r="W39" s="15" t="n">
        <f aca="false">SUMIFS(Service_Consumables!$L$5:$L$856,Service_Consumables!$A$5:$A$856,$A39,Service_Consumables!$E$5:$E$856,W$5,Service_Consumables!$H$5:$H$856,"Auto-deduct")</f>
        <v>0</v>
      </c>
      <c r="X39" s="15" t="n">
        <f aca="false">SUMIFS(Service_Consumables!$L$5:$L$856,Service_Consumables!$A$5:$A$856,$A39,Service_Consumables!$E$5:$E$856,X$5,Service_Consumables!$H$5:$H$856,"Auto-deduct")</f>
        <v>0</v>
      </c>
      <c r="Y39" s="15" t="n">
        <f aca="false">SUMIFS(Service_Consumables!$L$5:$L$856,Service_Consumables!$A$5:$A$856,$A39,Service_Consumables!$E$5:$E$856,Y$5,Service_Consumables!$H$5:$H$856,"Auto-deduct")</f>
        <v>10</v>
      </c>
      <c r="Z39" s="15" t="n">
        <f aca="false">SUMIFS(Service_Consumables!$L$5:$L$856,Service_Consumables!$A$5:$A$856,$A39,Service_Consumables!$E$5:$E$856,Z$5,Service_Consumables!$H$5:$H$856,"Auto-deduct")</f>
        <v>0</v>
      </c>
      <c r="AA39" s="15" t="n">
        <f aca="false">SUMIFS(Service_Consumables!$L$5:$L$856,Service_Consumables!$A$5:$A$856,$A39,Service_Consumables!$E$5:$E$856,AA$5,Service_Consumables!$H$5:$H$856,"Auto-deduct")</f>
        <v>0</v>
      </c>
      <c r="AB39" s="15" t="n">
        <f aca="false">SUMIFS(Service_Consumables!$L$5:$L$856,Service_Consumables!$A$5:$A$856,$A39,Service_Consumables!$E$5:$E$856,AB$5,Service_Consumables!$H$5:$H$856,"Auto-deduct")</f>
        <v>1</v>
      </c>
      <c r="AC39" s="15" t="n">
        <f aca="false">SUMIFS(Service_Consumables!$L$5:$L$856,Service_Consumables!$A$5:$A$856,$A39,Service_Consumables!$E$5:$E$856,AC$5,Service_Consumables!$H$5:$H$856,"Auto-deduct")</f>
        <v>0</v>
      </c>
      <c r="AD39" s="15" t="n">
        <f aca="false">SUMIFS(Service_Consumables!$L$5:$L$856,Service_Consumables!$A$5:$A$856,$A39,Service_Consumables!$E$5:$E$856,AD$5,Service_Consumables!$H$5:$H$856,"Auto-deduct")</f>
        <v>5</v>
      </c>
      <c r="AE39" s="15" t="n">
        <f aca="false">SUMIFS(Service_Consumables!$L$5:$L$856,Service_Consumables!$A$5:$A$856,$A39,Service_Consumables!$E$5:$E$856,AE$5,Service_Consumables!$H$5:$H$856,"Auto-deduct")</f>
        <v>0</v>
      </c>
      <c r="AF39" s="15" t="n">
        <f aca="false">SUMIFS(Service_Consumables!$L$5:$L$856,Service_Consumables!$A$5:$A$856,$A39,Service_Consumables!$E$5:$E$856,AF$5,Service_Consumables!$H$5:$H$856,"Auto-deduct")</f>
        <v>0</v>
      </c>
      <c r="AG39" s="15" t="n">
        <f aca="false">SUMIFS(Service_Consumables!$L$5:$L$856,Service_Consumables!$A$5:$A$856,$A39,Service_Consumables!$E$5:$E$856,AG$5,Service_Consumables!$H$5:$H$856,"Auto-deduct")</f>
        <v>0</v>
      </c>
      <c r="AH39" s="15" t="n">
        <f aca="false">SUMIFS(Service_Consumables!$L$5:$L$856,Service_Consumables!$A$5:$A$856,$A39,Service_Consumables!$E$5:$E$856,AH$5,Service_Consumables!$H$5:$H$856,"Auto-deduct")</f>
        <v>0</v>
      </c>
      <c r="AI39" s="15" t="n">
        <f aca="false">SUMIFS(Service_Consumables!$L$5:$L$856,Service_Consumables!$A$5:$A$856,$A39,Service_Consumables!$E$5:$E$856,AI$5,Service_Consumables!$H$5:$H$856,"Auto-deduct")</f>
        <v>0</v>
      </c>
      <c r="AJ39" s="15" t="n">
        <f aca="false">SUMIFS(Service_Consumables!$L$5:$L$856,Service_Consumables!$A$5:$A$856,$A39,Service_Consumables!$E$5:$E$856,AJ$5,Service_Consumables!$H$5:$H$856,"Auto-deduct")</f>
        <v>0</v>
      </c>
      <c r="AK39" s="15" t="n">
        <f aca="false">SUMIFS(Service_Consumables!$L$5:$L$856,Service_Consumables!$A$5:$A$856,$A39,Service_Consumables!$E$5:$E$856,AK$5,Service_Consumables!$H$5:$H$856,"Auto-deduct")</f>
        <v>0</v>
      </c>
      <c r="AL39" s="15" t="n">
        <f aca="false">SUMIFS(Service_Consumables!$L$5:$L$856,Service_Consumables!$A$5:$A$856,$A39,Service_Consumables!$E$5:$E$856,AL$5,Service_Consumables!$H$5:$H$856,"Auto-deduct")</f>
        <v>0</v>
      </c>
      <c r="AM39" s="15" t="n">
        <f aca="false">SUMIFS(Service_Consumables!$L$5:$L$856,Service_Consumables!$A$5:$A$856,$A39,Service_Consumables!$E$5:$E$856,AM$5,Service_Consumables!$H$5:$H$856,"Auto-deduct")</f>
        <v>0</v>
      </c>
      <c r="AN39" s="15" t="n">
        <f aca="false">SUMIFS(Service_Consumables!$L$5:$L$856,Service_Consumables!$A$5:$A$856,$A39,Service_Consumables!$E$5:$E$856,AN$5,Service_Consumables!$H$5:$H$856,"Auto-deduct")</f>
        <v>0</v>
      </c>
      <c r="AO39" s="15" t="n">
        <f aca="false">SUMIFS(Service_Consumables!$L$5:$L$856,Service_Consumables!$A$5:$A$856,$A39,Service_Consumables!$E$5:$E$856,AO$5,Service_Consumables!$H$5:$H$856,"Auto-deduct")</f>
        <v>0</v>
      </c>
      <c r="AP39" s="15" t="n">
        <f aca="false">SUMIFS(Service_Consumables!$L$5:$L$856,Service_Consumables!$A$5:$A$856,$A39,Service_Consumables!$E$5:$E$856,AP$5,Service_Consumables!$H$5:$H$856,"Auto-deduct")</f>
        <v>0</v>
      </c>
      <c r="AQ39" s="15" t="n">
        <f aca="false">SUMIFS(Service_Consumables!$L$5:$L$856,Service_Consumables!$A$5:$A$856,$A39,Service_Consumables!$E$5:$E$856,AQ$5,Service_Consumables!$H$5:$H$856,"Auto-deduct")</f>
        <v>0</v>
      </c>
      <c r="AR39" s="15" t="n">
        <f aca="false">SUMIFS(Service_Consumables!$L$5:$L$856,Service_Consumables!$A$5:$A$856,$A39,Service_Consumables!$E$5:$E$856,AR$5,Service_Consumables!$H$5:$H$856,"Auto-deduct")</f>
        <v>0</v>
      </c>
      <c r="AS39" s="15" t="n">
        <f aca="false">SUMIFS(Service_Consumables!$L$5:$L$856,Service_Consumables!$A$5:$A$856,$A39,Service_Consumables!$E$5:$E$856,AS$5,Service_Consumables!$H$5:$H$856,"Auto-deduct")</f>
        <v>0</v>
      </c>
      <c r="AT39" s="15" t="n">
        <f aca="false">SUMIFS(Service_Consumables!$L$5:$L$856,Service_Consumables!$A$5:$A$856,$A39,Service_Consumables!$E$5:$E$856,AT$5,Service_Consumables!$H$5:$H$856,"Auto-deduct")</f>
        <v>0</v>
      </c>
      <c r="AU39" s="15" t="n">
        <f aca="false">SUMIFS(Service_Consumables!$L$5:$L$856,Service_Consumables!$A$5:$A$856,$A39,Service_Consumables!$E$5:$E$856,AU$5,Service_Consumables!$H$5:$H$856,"Auto-deduct")</f>
        <v>0</v>
      </c>
      <c r="AV39" s="15" t="n">
        <f aca="false">SUMIFS(Service_Consumables!$L$5:$L$856,Service_Consumables!$A$5:$A$856,$A39,Service_Consumables!$E$5:$E$856,AV$5,Service_Consumables!$H$5:$H$856,"Auto-deduct")</f>
        <v>0</v>
      </c>
      <c r="AW39" s="15" t="n">
        <f aca="false">SUMIFS(Service_Consumables!$L$5:$L$856,Service_Consumables!$A$5:$A$856,$A39,Service_Consumables!$E$5:$E$856,AW$5,Service_Consumables!$H$5:$H$856,"Auto-deduct")</f>
        <v>0</v>
      </c>
      <c r="AX39" s="15" t="n">
        <f aca="false">SUMIFS(Service_Consumables!$L$5:$L$856,Service_Consumables!$A$5:$A$856,$A39,Service_Consumables!$E$5:$E$856,AX$5,Service_Consumables!$H$5:$H$856,"Auto-deduct")</f>
        <v>0</v>
      </c>
      <c r="AY39" s="15" t="n">
        <f aca="false">SUMIFS(Service_Consumables!$L$5:$L$856,Service_Consumables!$A$5:$A$856,$A39,Service_Consumables!$E$5:$E$856,AY$5,Service_Consumables!$H$5:$H$856,"Auto-deduct")</f>
        <v>0</v>
      </c>
      <c r="AZ39" s="15" t="n">
        <f aca="false">SUMIFS(Service_Consumables!$L$5:$L$856,Service_Consumables!$A$5:$A$856,$A39,Service_Consumables!$E$5:$E$856,AZ$5,Service_Consumables!$H$5:$H$856,"Auto-deduct")</f>
        <v>0</v>
      </c>
      <c r="BA39" s="15" t="n">
        <f aca="false">SUMIFS(Service_Consumables!$L$5:$L$856,Service_Consumables!$A$5:$A$856,$A39,Service_Consumables!$E$5:$E$856,BA$5,Service_Consumables!$H$5:$H$856,"Auto-deduct")</f>
        <v>0</v>
      </c>
      <c r="BB39" s="15" t="n">
        <f aca="false">SUMIFS(Service_Consumables!$L$5:$L$856,Service_Consumables!$A$5:$A$856,$A39,Service_Consumables!$E$5:$E$856,BB$5,Service_Consumables!$H$5:$H$856,"Auto-deduct")</f>
        <v>0</v>
      </c>
      <c r="BC39" s="15" t="n">
        <f aca="false">SUMIFS(Service_Consumables!$L$5:$L$856,Service_Consumables!$A$5:$A$856,$A39,Service_Consumables!$E$5:$E$856,BC$5,Service_Consumables!$H$5:$H$856,"Auto-deduct")</f>
        <v>0</v>
      </c>
      <c r="BD39" s="15" t="n">
        <f aca="false">SUMIFS(Service_Consumables!$L$5:$L$856,Service_Consumables!$A$5:$A$856,$A39,Service_Consumables!$E$5:$E$856,BD$5,Service_Consumables!$H$5:$H$856,"Auto-deduct")</f>
        <v>0</v>
      </c>
      <c r="BE39" s="15" t="n">
        <f aca="false">SUMIFS(Service_Consumables!$L$5:$L$856,Service_Consumables!$A$5:$A$856,$A39,Service_Consumables!$E$5:$E$856,BE$5,Service_Consumables!$H$5:$H$856,"Auto-deduct")</f>
        <v>0</v>
      </c>
      <c r="BF39" s="15" t="n">
        <f aca="false">SUMIFS(Service_Consumables!$L$5:$L$856,Service_Consumables!$A$5:$A$856,$A39,Service_Consumables!$E$5:$E$856,BF$5,Service_Consumables!$H$5:$H$856,"Auto-deduct")</f>
        <v>0</v>
      </c>
      <c r="BG39" s="15" t="n">
        <f aca="false">SUMIFS(Service_Consumables!$L$5:$L$856,Service_Consumables!$A$5:$A$856,$A39,Service_Consumables!$E$5:$E$856,BG$5,Service_Consumables!$H$5:$H$856,"Auto-deduct")</f>
        <v>0</v>
      </c>
      <c r="BH39" s="15" t="n">
        <f aca="false">SUMIFS(Service_Consumables!$L$5:$L$856,Service_Consumables!$A$5:$A$856,$A39,Service_Consumables!$E$5:$E$856,BH$5,Service_Consumables!$H$5:$H$856,"Auto-deduct")</f>
        <v>0</v>
      </c>
      <c r="BI39" s="15" t="n">
        <f aca="false">SUMIFS(Service_Consumables!$L$5:$L$856,Service_Consumables!$A$5:$A$856,$A39,Service_Consumables!$E$5:$E$856,BI$5,Service_Consumables!$H$5:$H$856,"Auto-deduct")</f>
        <v>0</v>
      </c>
    </row>
    <row r="40" customFormat="false" ht="15" hidden="false" customHeight="false" outlineLevel="0" collapsed="false">
      <c r="A40" s="14" t="n">
        <f aca="false">Services!A39</f>
        <v>35</v>
      </c>
      <c r="B40" s="14" t="str">
        <f aca="false">Services!B39</f>
        <v>Drip / Shot (ED/GS)</v>
      </c>
      <c r="C40" s="14" t="str">
        <f aca="false">Services!C39</f>
        <v>Hikari Drip</v>
      </c>
      <c r="D40" s="15" t="n">
        <f aca="false">SUMIFS(Service_Consumables!$L$5:$L$856,Service_Consumables!$A$5:$A$856,$A40,Service_Consumables!$E$5:$E$856,D$5,Service_Consumables!$H$5:$H$856,"Auto-deduct")</f>
        <v>0</v>
      </c>
      <c r="E40" s="15" t="n">
        <f aca="false">SUMIFS(Service_Consumables!$L$5:$L$856,Service_Consumables!$A$5:$A$856,$A40,Service_Consumables!$E$5:$E$856,E$5,Service_Consumables!$H$5:$H$856,"Auto-deduct")</f>
        <v>0</v>
      </c>
      <c r="F40" s="15" t="n">
        <f aca="false">SUMIFS(Service_Consumables!$L$5:$L$856,Service_Consumables!$A$5:$A$856,$A40,Service_Consumables!$E$5:$E$856,F$5,Service_Consumables!$H$5:$H$856,"Auto-deduct")</f>
        <v>1</v>
      </c>
      <c r="G40" s="15" t="n">
        <f aca="false">SUMIFS(Service_Consumables!$L$5:$L$856,Service_Consumables!$A$5:$A$856,$A40,Service_Consumables!$E$5:$E$856,G$5,Service_Consumables!$H$5:$H$856,"Auto-deduct")</f>
        <v>0</v>
      </c>
      <c r="H40" s="15" t="n">
        <f aca="false">SUMIFS(Service_Consumables!$L$5:$L$856,Service_Consumables!$A$5:$A$856,$A40,Service_Consumables!$E$5:$E$856,H$5,Service_Consumables!$H$5:$H$856,"Auto-deduct")</f>
        <v>0</v>
      </c>
      <c r="I40" s="15" t="n">
        <f aca="false">SUMIFS(Service_Consumables!$L$5:$L$856,Service_Consumables!$A$5:$A$856,$A40,Service_Consumables!$E$5:$E$856,I$5,Service_Consumables!$H$5:$H$856,"Auto-deduct")</f>
        <v>0</v>
      </c>
      <c r="J40" s="15" t="n">
        <f aca="false">SUMIFS(Service_Consumables!$L$5:$L$856,Service_Consumables!$A$5:$A$856,$A40,Service_Consumables!$E$5:$E$856,J$5,Service_Consumables!$H$5:$H$856,"Auto-deduct")</f>
        <v>1</v>
      </c>
      <c r="K40" s="15" t="n">
        <f aca="false">SUMIFS(Service_Consumables!$L$5:$L$856,Service_Consumables!$A$5:$A$856,$A40,Service_Consumables!$E$5:$E$856,K$5,Service_Consumables!$H$5:$H$856,"Auto-deduct")</f>
        <v>0</v>
      </c>
      <c r="L40" s="15" t="n">
        <f aca="false">SUMIFS(Service_Consumables!$L$5:$L$856,Service_Consumables!$A$5:$A$856,$A40,Service_Consumables!$E$5:$E$856,L$5,Service_Consumables!$H$5:$H$856,"Auto-deduct")</f>
        <v>0</v>
      </c>
      <c r="M40" s="15" t="n">
        <f aca="false">SUMIFS(Service_Consumables!$L$5:$L$856,Service_Consumables!$A$5:$A$856,$A40,Service_Consumables!$E$5:$E$856,M$5,Service_Consumables!$H$5:$H$856,"Auto-deduct")</f>
        <v>1</v>
      </c>
      <c r="N40" s="15" t="n">
        <f aca="false">SUMIFS(Service_Consumables!$L$5:$L$856,Service_Consumables!$A$5:$A$856,$A40,Service_Consumables!$E$5:$E$856,N$5,Service_Consumables!$H$5:$H$856,"Auto-deduct")</f>
        <v>1</v>
      </c>
      <c r="O40" s="15" t="n">
        <f aca="false">SUMIFS(Service_Consumables!$L$5:$L$856,Service_Consumables!$A$5:$A$856,$A40,Service_Consumables!$E$5:$E$856,O$5,Service_Consumables!$H$5:$H$856,"Auto-deduct")</f>
        <v>0</v>
      </c>
      <c r="P40" s="15" t="n">
        <f aca="false">SUMIFS(Service_Consumables!$L$5:$L$856,Service_Consumables!$A$5:$A$856,$A40,Service_Consumables!$E$5:$E$856,P$5,Service_Consumables!$H$5:$H$856,"Auto-deduct")</f>
        <v>1</v>
      </c>
      <c r="Q40" s="15" t="n">
        <f aca="false">SUMIFS(Service_Consumables!$L$5:$L$856,Service_Consumables!$A$5:$A$856,$A40,Service_Consumables!$E$5:$E$856,Q$5,Service_Consumables!$H$5:$H$856,"Auto-deduct")</f>
        <v>1</v>
      </c>
      <c r="R40" s="15" t="n">
        <f aca="false">SUMIFS(Service_Consumables!$L$5:$L$856,Service_Consumables!$A$5:$A$856,$A40,Service_Consumables!$E$5:$E$856,R$5,Service_Consumables!$H$5:$H$856,"Auto-deduct")</f>
        <v>0</v>
      </c>
      <c r="S40" s="15" t="n">
        <f aca="false">SUMIFS(Service_Consumables!$L$5:$L$856,Service_Consumables!$A$5:$A$856,$A40,Service_Consumables!$E$5:$E$856,S$5,Service_Consumables!$H$5:$H$856,"Auto-deduct")</f>
        <v>0</v>
      </c>
      <c r="T40" s="15" t="n">
        <f aca="false">SUMIFS(Service_Consumables!$L$5:$L$856,Service_Consumables!$A$5:$A$856,$A40,Service_Consumables!$E$5:$E$856,T$5,Service_Consumables!$H$5:$H$856,"Auto-deduct")</f>
        <v>0</v>
      </c>
      <c r="U40" s="15" t="n">
        <f aca="false">SUMIFS(Service_Consumables!$L$5:$L$856,Service_Consumables!$A$5:$A$856,$A40,Service_Consumables!$E$5:$E$856,U$5,Service_Consumables!$H$5:$H$856,"Auto-deduct")</f>
        <v>0</v>
      </c>
      <c r="V40" s="15" t="n">
        <f aca="false">SUMIFS(Service_Consumables!$L$5:$L$856,Service_Consumables!$A$5:$A$856,$A40,Service_Consumables!$E$5:$E$856,V$5,Service_Consumables!$H$5:$H$856,"Auto-deduct")</f>
        <v>0</v>
      </c>
      <c r="W40" s="15" t="n">
        <f aca="false">SUMIFS(Service_Consumables!$L$5:$L$856,Service_Consumables!$A$5:$A$856,$A40,Service_Consumables!$E$5:$E$856,W$5,Service_Consumables!$H$5:$H$856,"Auto-deduct")</f>
        <v>0</v>
      </c>
      <c r="X40" s="15" t="n">
        <f aca="false">SUMIFS(Service_Consumables!$L$5:$L$856,Service_Consumables!$A$5:$A$856,$A40,Service_Consumables!$E$5:$E$856,X$5,Service_Consumables!$H$5:$H$856,"Auto-deduct")</f>
        <v>0</v>
      </c>
      <c r="Y40" s="15" t="n">
        <f aca="false">SUMIFS(Service_Consumables!$L$5:$L$856,Service_Consumables!$A$5:$A$856,$A40,Service_Consumables!$E$5:$E$856,Y$5,Service_Consumables!$H$5:$H$856,"Auto-deduct")</f>
        <v>20</v>
      </c>
      <c r="Z40" s="15" t="n">
        <f aca="false">SUMIFS(Service_Consumables!$L$5:$L$856,Service_Consumables!$A$5:$A$856,$A40,Service_Consumables!$E$5:$E$856,Z$5,Service_Consumables!$H$5:$H$856,"Auto-deduct")</f>
        <v>0</v>
      </c>
      <c r="AA40" s="15" t="n">
        <f aca="false">SUMIFS(Service_Consumables!$L$5:$L$856,Service_Consumables!$A$5:$A$856,$A40,Service_Consumables!$E$5:$E$856,AA$5,Service_Consumables!$H$5:$H$856,"Auto-deduct")</f>
        <v>0</v>
      </c>
      <c r="AB40" s="15" t="n">
        <f aca="false">SUMIFS(Service_Consumables!$L$5:$L$856,Service_Consumables!$A$5:$A$856,$A40,Service_Consumables!$E$5:$E$856,AB$5,Service_Consumables!$H$5:$H$856,"Auto-deduct")</f>
        <v>2</v>
      </c>
      <c r="AC40" s="15" t="n">
        <f aca="false">SUMIFS(Service_Consumables!$L$5:$L$856,Service_Consumables!$A$5:$A$856,$A40,Service_Consumables!$E$5:$E$856,AC$5,Service_Consumables!$H$5:$H$856,"Auto-deduct")</f>
        <v>0</v>
      </c>
      <c r="AD40" s="15" t="n">
        <f aca="false">SUMIFS(Service_Consumables!$L$5:$L$856,Service_Consumables!$A$5:$A$856,$A40,Service_Consumables!$E$5:$E$856,AD$5,Service_Consumables!$H$5:$H$856,"Auto-deduct")</f>
        <v>5</v>
      </c>
      <c r="AE40" s="15" t="n">
        <f aca="false">SUMIFS(Service_Consumables!$L$5:$L$856,Service_Consumables!$A$5:$A$856,$A40,Service_Consumables!$E$5:$E$856,AE$5,Service_Consumables!$H$5:$H$856,"Auto-deduct")</f>
        <v>0</v>
      </c>
      <c r="AF40" s="15" t="n">
        <f aca="false">SUMIFS(Service_Consumables!$L$5:$L$856,Service_Consumables!$A$5:$A$856,$A40,Service_Consumables!$E$5:$E$856,AF$5,Service_Consumables!$H$5:$H$856,"Auto-deduct")</f>
        <v>0</v>
      </c>
      <c r="AG40" s="15" t="n">
        <f aca="false">SUMIFS(Service_Consumables!$L$5:$L$856,Service_Consumables!$A$5:$A$856,$A40,Service_Consumables!$E$5:$E$856,AG$5,Service_Consumables!$H$5:$H$856,"Auto-deduct")</f>
        <v>0</v>
      </c>
      <c r="AH40" s="15" t="n">
        <f aca="false">SUMIFS(Service_Consumables!$L$5:$L$856,Service_Consumables!$A$5:$A$856,$A40,Service_Consumables!$E$5:$E$856,AH$5,Service_Consumables!$H$5:$H$856,"Auto-deduct")</f>
        <v>0</v>
      </c>
      <c r="AI40" s="15" t="n">
        <f aca="false">SUMIFS(Service_Consumables!$L$5:$L$856,Service_Consumables!$A$5:$A$856,$A40,Service_Consumables!$E$5:$E$856,AI$5,Service_Consumables!$H$5:$H$856,"Auto-deduct")</f>
        <v>0</v>
      </c>
      <c r="AJ40" s="15" t="n">
        <f aca="false">SUMIFS(Service_Consumables!$L$5:$L$856,Service_Consumables!$A$5:$A$856,$A40,Service_Consumables!$E$5:$E$856,AJ$5,Service_Consumables!$H$5:$H$856,"Auto-deduct")</f>
        <v>0</v>
      </c>
      <c r="AK40" s="15" t="n">
        <f aca="false">SUMIFS(Service_Consumables!$L$5:$L$856,Service_Consumables!$A$5:$A$856,$A40,Service_Consumables!$E$5:$E$856,AK$5,Service_Consumables!$H$5:$H$856,"Auto-deduct")</f>
        <v>0</v>
      </c>
      <c r="AL40" s="15" t="n">
        <f aca="false">SUMIFS(Service_Consumables!$L$5:$L$856,Service_Consumables!$A$5:$A$856,$A40,Service_Consumables!$E$5:$E$856,AL$5,Service_Consumables!$H$5:$H$856,"Auto-deduct")</f>
        <v>0</v>
      </c>
      <c r="AM40" s="15" t="n">
        <f aca="false">SUMIFS(Service_Consumables!$L$5:$L$856,Service_Consumables!$A$5:$A$856,$A40,Service_Consumables!$E$5:$E$856,AM$5,Service_Consumables!$H$5:$H$856,"Auto-deduct")</f>
        <v>0</v>
      </c>
      <c r="AN40" s="15" t="n">
        <f aca="false">SUMIFS(Service_Consumables!$L$5:$L$856,Service_Consumables!$A$5:$A$856,$A40,Service_Consumables!$E$5:$E$856,AN$5,Service_Consumables!$H$5:$H$856,"Auto-deduct")</f>
        <v>0</v>
      </c>
      <c r="AO40" s="15" t="n">
        <f aca="false">SUMIFS(Service_Consumables!$L$5:$L$856,Service_Consumables!$A$5:$A$856,$A40,Service_Consumables!$E$5:$E$856,AO$5,Service_Consumables!$H$5:$H$856,"Auto-deduct")</f>
        <v>0</v>
      </c>
      <c r="AP40" s="15" t="n">
        <f aca="false">SUMIFS(Service_Consumables!$L$5:$L$856,Service_Consumables!$A$5:$A$856,$A40,Service_Consumables!$E$5:$E$856,AP$5,Service_Consumables!$H$5:$H$856,"Auto-deduct")</f>
        <v>0</v>
      </c>
      <c r="AQ40" s="15" t="n">
        <f aca="false">SUMIFS(Service_Consumables!$L$5:$L$856,Service_Consumables!$A$5:$A$856,$A40,Service_Consumables!$E$5:$E$856,AQ$5,Service_Consumables!$H$5:$H$856,"Auto-deduct")</f>
        <v>0</v>
      </c>
      <c r="AR40" s="15" t="n">
        <f aca="false">SUMIFS(Service_Consumables!$L$5:$L$856,Service_Consumables!$A$5:$A$856,$A40,Service_Consumables!$E$5:$E$856,AR$5,Service_Consumables!$H$5:$H$856,"Auto-deduct")</f>
        <v>0</v>
      </c>
      <c r="AS40" s="15" t="n">
        <f aca="false">SUMIFS(Service_Consumables!$L$5:$L$856,Service_Consumables!$A$5:$A$856,$A40,Service_Consumables!$E$5:$E$856,AS$5,Service_Consumables!$H$5:$H$856,"Auto-deduct")</f>
        <v>0</v>
      </c>
      <c r="AT40" s="15" t="n">
        <f aca="false">SUMIFS(Service_Consumables!$L$5:$L$856,Service_Consumables!$A$5:$A$856,$A40,Service_Consumables!$E$5:$E$856,AT$5,Service_Consumables!$H$5:$H$856,"Auto-deduct")</f>
        <v>0</v>
      </c>
      <c r="AU40" s="15" t="n">
        <f aca="false">SUMIFS(Service_Consumables!$L$5:$L$856,Service_Consumables!$A$5:$A$856,$A40,Service_Consumables!$E$5:$E$856,AU$5,Service_Consumables!$H$5:$H$856,"Auto-deduct")</f>
        <v>0</v>
      </c>
      <c r="AV40" s="15" t="n">
        <f aca="false">SUMIFS(Service_Consumables!$L$5:$L$856,Service_Consumables!$A$5:$A$856,$A40,Service_Consumables!$E$5:$E$856,AV$5,Service_Consumables!$H$5:$H$856,"Auto-deduct")</f>
        <v>0</v>
      </c>
      <c r="AW40" s="15" t="n">
        <f aca="false">SUMIFS(Service_Consumables!$L$5:$L$856,Service_Consumables!$A$5:$A$856,$A40,Service_Consumables!$E$5:$E$856,AW$5,Service_Consumables!$H$5:$H$856,"Auto-deduct")</f>
        <v>0</v>
      </c>
      <c r="AX40" s="15" t="n">
        <f aca="false">SUMIFS(Service_Consumables!$L$5:$L$856,Service_Consumables!$A$5:$A$856,$A40,Service_Consumables!$E$5:$E$856,AX$5,Service_Consumables!$H$5:$H$856,"Auto-deduct")</f>
        <v>0</v>
      </c>
      <c r="AY40" s="15" t="n">
        <f aca="false">SUMIFS(Service_Consumables!$L$5:$L$856,Service_Consumables!$A$5:$A$856,$A40,Service_Consumables!$E$5:$E$856,AY$5,Service_Consumables!$H$5:$H$856,"Auto-deduct")</f>
        <v>0</v>
      </c>
      <c r="AZ40" s="15" t="n">
        <f aca="false">SUMIFS(Service_Consumables!$L$5:$L$856,Service_Consumables!$A$5:$A$856,$A40,Service_Consumables!$E$5:$E$856,AZ$5,Service_Consumables!$H$5:$H$856,"Auto-deduct")</f>
        <v>0</v>
      </c>
      <c r="BA40" s="15" t="n">
        <f aca="false">SUMIFS(Service_Consumables!$L$5:$L$856,Service_Consumables!$A$5:$A$856,$A40,Service_Consumables!$E$5:$E$856,BA$5,Service_Consumables!$H$5:$H$856,"Auto-deduct")</f>
        <v>0</v>
      </c>
      <c r="BB40" s="15" t="n">
        <f aca="false">SUMIFS(Service_Consumables!$L$5:$L$856,Service_Consumables!$A$5:$A$856,$A40,Service_Consumables!$E$5:$E$856,BB$5,Service_Consumables!$H$5:$H$856,"Auto-deduct")</f>
        <v>0</v>
      </c>
      <c r="BC40" s="15" t="n">
        <f aca="false">SUMIFS(Service_Consumables!$L$5:$L$856,Service_Consumables!$A$5:$A$856,$A40,Service_Consumables!$E$5:$E$856,BC$5,Service_Consumables!$H$5:$H$856,"Auto-deduct")</f>
        <v>0</v>
      </c>
      <c r="BD40" s="15" t="n">
        <f aca="false">SUMIFS(Service_Consumables!$L$5:$L$856,Service_Consumables!$A$5:$A$856,$A40,Service_Consumables!$E$5:$E$856,BD$5,Service_Consumables!$H$5:$H$856,"Auto-deduct")</f>
        <v>0</v>
      </c>
      <c r="BE40" s="15" t="n">
        <f aca="false">SUMIFS(Service_Consumables!$L$5:$L$856,Service_Consumables!$A$5:$A$856,$A40,Service_Consumables!$E$5:$E$856,BE$5,Service_Consumables!$H$5:$H$856,"Auto-deduct")</f>
        <v>0</v>
      </c>
      <c r="BF40" s="15" t="n">
        <f aca="false">SUMIFS(Service_Consumables!$L$5:$L$856,Service_Consumables!$A$5:$A$856,$A40,Service_Consumables!$E$5:$E$856,BF$5,Service_Consumables!$H$5:$H$856,"Auto-deduct")</f>
        <v>0</v>
      </c>
      <c r="BG40" s="15" t="n">
        <f aca="false">SUMIFS(Service_Consumables!$L$5:$L$856,Service_Consumables!$A$5:$A$856,$A40,Service_Consumables!$E$5:$E$856,BG$5,Service_Consumables!$H$5:$H$856,"Auto-deduct")</f>
        <v>0</v>
      </c>
      <c r="BH40" s="15" t="n">
        <f aca="false">SUMIFS(Service_Consumables!$L$5:$L$856,Service_Consumables!$A$5:$A$856,$A40,Service_Consumables!$E$5:$E$856,BH$5,Service_Consumables!$H$5:$H$856,"Auto-deduct")</f>
        <v>0</v>
      </c>
      <c r="BI40" s="15" t="n">
        <f aca="false">SUMIFS(Service_Consumables!$L$5:$L$856,Service_Consumables!$A$5:$A$856,$A40,Service_Consumables!$E$5:$E$856,BI$5,Service_Consumables!$H$5:$H$856,"Auto-deduct")</f>
        <v>0</v>
      </c>
    </row>
    <row r="41" customFormat="false" ht="15" hidden="false" customHeight="false" outlineLevel="0" collapsed="false">
      <c r="A41" s="14" t="n">
        <f aca="false">Services!A40</f>
        <v>36</v>
      </c>
      <c r="B41" s="14" t="str">
        <f aca="false">Services!B40</f>
        <v>Mesotherapy (MT)</v>
      </c>
      <c r="C41" s="14" t="str">
        <f aca="false">Services!C40</f>
        <v>Face</v>
      </c>
      <c r="D41" s="15" t="n">
        <f aca="false">SUMIFS(Service_Consumables!$L$5:$L$856,Service_Consumables!$A$5:$A$856,$A41,Service_Consumables!$E$5:$E$856,D$5,Service_Consumables!$H$5:$H$856,"Auto-deduct")</f>
        <v>0</v>
      </c>
      <c r="E41" s="15" t="n">
        <f aca="false">SUMIFS(Service_Consumables!$L$5:$L$856,Service_Consumables!$A$5:$A$856,$A41,Service_Consumables!$E$5:$E$856,E$5,Service_Consumables!$H$5:$H$856,"Auto-deduct")</f>
        <v>2</v>
      </c>
      <c r="F41" s="15" t="n">
        <f aca="false">SUMIFS(Service_Consumables!$L$5:$L$856,Service_Consumables!$A$5:$A$856,$A41,Service_Consumables!$E$5:$E$856,F$5,Service_Consumables!$H$5:$H$856,"Auto-deduct")</f>
        <v>0</v>
      </c>
      <c r="G41" s="15" t="n">
        <f aca="false">SUMIFS(Service_Consumables!$L$5:$L$856,Service_Consumables!$A$5:$A$856,$A41,Service_Consumables!$E$5:$E$856,G$5,Service_Consumables!$H$5:$H$856,"Auto-deduct")</f>
        <v>0</v>
      </c>
      <c r="H41" s="15" t="n">
        <f aca="false">SUMIFS(Service_Consumables!$L$5:$L$856,Service_Consumables!$A$5:$A$856,$A41,Service_Consumables!$E$5:$E$856,H$5,Service_Consumables!$H$5:$H$856,"Auto-deduct")</f>
        <v>2</v>
      </c>
      <c r="I41" s="15" t="n">
        <f aca="false">SUMIFS(Service_Consumables!$L$5:$L$856,Service_Consumables!$A$5:$A$856,$A41,Service_Consumables!$E$5:$E$856,I$5,Service_Consumables!$H$5:$H$856,"Auto-deduct")</f>
        <v>2</v>
      </c>
      <c r="J41" s="15" t="n">
        <f aca="false">SUMIFS(Service_Consumables!$L$5:$L$856,Service_Consumables!$A$5:$A$856,$A41,Service_Consumables!$E$5:$E$856,J$5,Service_Consumables!$H$5:$H$856,"Auto-deduct")</f>
        <v>0</v>
      </c>
      <c r="K41" s="15" t="n">
        <f aca="false">SUMIFS(Service_Consumables!$L$5:$L$856,Service_Consumables!$A$5:$A$856,$A41,Service_Consumables!$E$5:$E$856,K$5,Service_Consumables!$H$5:$H$856,"Auto-deduct")</f>
        <v>0</v>
      </c>
      <c r="L41" s="15" t="n">
        <f aca="false">SUMIFS(Service_Consumables!$L$5:$L$856,Service_Consumables!$A$5:$A$856,$A41,Service_Consumables!$E$5:$E$856,L$5,Service_Consumables!$H$5:$H$856,"Auto-deduct")</f>
        <v>1</v>
      </c>
      <c r="M41" s="15" t="n">
        <f aca="false">SUMIFS(Service_Consumables!$L$5:$L$856,Service_Consumables!$A$5:$A$856,$A41,Service_Consumables!$E$5:$E$856,M$5,Service_Consumables!$H$5:$H$856,"Auto-deduct")</f>
        <v>0</v>
      </c>
      <c r="N41" s="15" t="n">
        <f aca="false">SUMIFS(Service_Consumables!$L$5:$L$856,Service_Consumables!$A$5:$A$856,$A41,Service_Consumables!$E$5:$E$856,N$5,Service_Consumables!$H$5:$H$856,"Auto-deduct")</f>
        <v>0</v>
      </c>
      <c r="O41" s="15" t="n">
        <f aca="false">SUMIFS(Service_Consumables!$L$5:$L$856,Service_Consumables!$A$5:$A$856,$A41,Service_Consumables!$E$5:$E$856,O$5,Service_Consumables!$H$5:$H$856,"Auto-deduct")</f>
        <v>1</v>
      </c>
      <c r="P41" s="15" t="n">
        <f aca="false">SUMIFS(Service_Consumables!$L$5:$L$856,Service_Consumables!$A$5:$A$856,$A41,Service_Consumables!$E$5:$E$856,P$5,Service_Consumables!$H$5:$H$856,"Auto-deduct")</f>
        <v>1</v>
      </c>
      <c r="Q41" s="15" t="n">
        <f aca="false">SUMIFS(Service_Consumables!$L$5:$L$856,Service_Consumables!$A$5:$A$856,$A41,Service_Consumables!$E$5:$E$856,Q$5,Service_Consumables!$H$5:$H$856,"Auto-deduct")</f>
        <v>1</v>
      </c>
      <c r="R41" s="15" t="n">
        <f aca="false">SUMIFS(Service_Consumables!$L$5:$L$856,Service_Consumables!$A$5:$A$856,$A41,Service_Consumables!$E$5:$E$856,R$5,Service_Consumables!$H$5:$H$856,"Auto-deduct")</f>
        <v>0</v>
      </c>
      <c r="S41" s="15" t="n">
        <f aca="false">SUMIFS(Service_Consumables!$L$5:$L$856,Service_Consumables!$A$5:$A$856,$A41,Service_Consumables!$E$5:$E$856,S$5,Service_Consumables!$H$5:$H$856,"Auto-deduct")</f>
        <v>6</v>
      </c>
      <c r="T41" s="15" t="n">
        <f aca="false">SUMIFS(Service_Consumables!$L$5:$L$856,Service_Consumables!$A$5:$A$856,$A41,Service_Consumables!$E$5:$E$856,T$5,Service_Consumables!$H$5:$H$856,"Auto-deduct")</f>
        <v>0</v>
      </c>
      <c r="U41" s="15" t="n">
        <f aca="false">SUMIFS(Service_Consumables!$L$5:$L$856,Service_Consumables!$A$5:$A$856,$A41,Service_Consumables!$E$5:$E$856,U$5,Service_Consumables!$H$5:$H$856,"Auto-deduct")</f>
        <v>0</v>
      </c>
      <c r="V41" s="15" t="n">
        <f aca="false">SUMIFS(Service_Consumables!$L$5:$L$856,Service_Consumables!$A$5:$A$856,$A41,Service_Consumables!$E$5:$E$856,V$5,Service_Consumables!$H$5:$H$856,"Auto-deduct")</f>
        <v>5</v>
      </c>
      <c r="W41" s="15" t="n">
        <f aca="false">SUMIFS(Service_Consumables!$L$5:$L$856,Service_Consumables!$A$5:$A$856,$A41,Service_Consumables!$E$5:$E$856,W$5,Service_Consumables!$H$5:$H$856,"Auto-deduct")</f>
        <v>0</v>
      </c>
      <c r="X41" s="15" t="n">
        <f aca="false">SUMIFS(Service_Consumables!$L$5:$L$856,Service_Consumables!$A$5:$A$856,$A41,Service_Consumables!$E$5:$E$856,X$5,Service_Consumables!$H$5:$H$856,"Auto-deduct")</f>
        <v>0</v>
      </c>
      <c r="Y41" s="15" t="n">
        <f aca="false">SUMIFS(Service_Consumables!$L$5:$L$856,Service_Consumables!$A$5:$A$856,$A41,Service_Consumables!$E$5:$E$856,Y$5,Service_Consumables!$H$5:$H$856,"Auto-deduct")</f>
        <v>0</v>
      </c>
      <c r="Z41" s="15" t="n">
        <f aca="false">SUMIFS(Service_Consumables!$L$5:$L$856,Service_Consumables!$A$5:$A$856,$A41,Service_Consumables!$E$5:$E$856,Z$5,Service_Consumables!$H$5:$H$856,"Auto-deduct")</f>
        <v>20</v>
      </c>
      <c r="AA41" s="15" t="n">
        <f aca="false">SUMIFS(Service_Consumables!$L$5:$L$856,Service_Consumables!$A$5:$A$856,$A41,Service_Consumables!$E$5:$E$856,AA$5,Service_Consumables!$H$5:$H$856,"Auto-deduct")</f>
        <v>0</v>
      </c>
      <c r="AB41" s="15" t="n">
        <f aca="false">SUMIFS(Service_Consumables!$L$5:$L$856,Service_Consumables!$A$5:$A$856,$A41,Service_Consumables!$E$5:$E$856,AB$5,Service_Consumables!$H$5:$H$856,"Auto-deduct")</f>
        <v>3</v>
      </c>
      <c r="AC41" s="15" t="n">
        <f aca="false">SUMIFS(Service_Consumables!$L$5:$L$856,Service_Consumables!$A$5:$A$856,$A41,Service_Consumables!$E$5:$E$856,AC$5,Service_Consumables!$H$5:$H$856,"Auto-deduct")</f>
        <v>0</v>
      </c>
      <c r="AD41" s="15" t="n">
        <f aca="false">SUMIFS(Service_Consumables!$L$5:$L$856,Service_Consumables!$A$5:$A$856,$A41,Service_Consumables!$E$5:$E$856,AD$5,Service_Consumables!$H$5:$H$856,"Auto-deduct")</f>
        <v>5</v>
      </c>
      <c r="AE41" s="15" t="n">
        <f aca="false">SUMIFS(Service_Consumables!$L$5:$L$856,Service_Consumables!$A$5:$A$856,$A41,Service_Consumables!$E$5:$E$856,AE$5,Service_Consumables!$H$5:$H$856,"Auto-deduct")</f>
        <v>10</v>
      </c>
      <c r="AF41" s="15" t="n">
        <f aca="false">SUMIFS(Service_Consumables!$L$5:$L$856,Service_Consumables!$A$5:$A$856,$A41,Service_Consumables!$E$5:$E$856,AF$5,Service_Consumables!$H$5:$H$856,"Auto-deduct")</f>
        <v>0</v>
      </c>
      <c r="AG41" s="15" t="n">
        <f aca="false">SUMIFS(Service_Consumables!$L$5:$L$856,Service_Consumables!$A$5:$A$856,$A41,Service_Consumables!$E$5:$E$856,AG$5,Service_Consumables!$H$5:$H$856,"Auto-deduct")</f>
        <v>0</v>
      </c>
      <c r="AH41" s="15" t="n">
        <f aca="false">SUMIFS(Service_Consumables!$L$5:$L$856,Service_Consumables!$A$5:$A$856,$A41,Service_Consumables!$E$5:$E$856,AH$5,Service_Consumables!$H$5:$H$856,"Auto-deduct")</f>
        <v>0</v>
      </c>
      <c r="AI41" s="15" t="n">
        <f aca="false">SUMIFS(Service_Consumables!$L$5:$L$856,Service_Consumables!$A$5:$A$856,$A41,Service_Consumables!$E$5:$E$856,AI$5,Service_Consumables!$H$5:$H$856,"Auto-deduct")</f>
        <v>5</v>
      </c>
      <c r="AJ41" s="15" t="n">
        <f aca="false">SUMIFS(Service_Consumables!$L$5:$L$856,Service_Consumables!$A$5:$A$856,$A41,Service_Consumables!$E$5:$E$856,AJ$5,Service_Consumables!$H$5:$H$856,"Auto-deduct")</f>
        <v>0</v>
      </c>
      <c r="AK41" s="15" t="n">
        <f aca="false">SUMIFS(Service_Consumables!$L$5:$L$856,Service_Consumables!$A$5:$A$856,$A41,Service_Consumables!$E$5:$E$856,AK$5,Service_Consumables!$H$5:$H$856,"Auto-deduct")</f>
        <v>0</v>
      </c>
      <c r="AL41" s="15" t="n">
        <f aca="false">SUMIFS(Service_Consumables!$L$5:$L$856,Service_Consumables!$A$5:$A$856,$A41,Service_Consumables!$E$5:$E$856,AL$5,Service_Consumables!$H$5:$H$856,"Auto-deduct")</f>
        <v>0</v>
      </c>
      <c r="AM41" s="15" t="n">
        <f aca="false">SUMIFS(Service_Consumables!$L$5:$L$856,Service_Consumables!$A$5:$A$856,$A41,Service_Consumables!$E$5:$E$856,AM$5,Service_Consumables!$H$5:$H$856,"Auto-deduct")</f>
        <v>0</v>
      </c>
      <c r="AN41" s="15" t="n">
        <f aca="false">SUMIFS(Service_Consumables!$L$5:$L$856,Service_Consumables!$A$5:$A$856,$A41,Service_Consumables!$E$5:$E$856,AN$5,Service_Consumables!$H$5:$H$856,"Auto-deduct")</f>
        <v>0</v>
      </c>
      <c r="AO41" s="15" t="n">
        <f aca="false">SUMIFS(Service_Consumables!$L$5:$L$856,Service_Consumables!$A$5:$A$856,$A41,Service_Consumables!$E$5:$E$856,AO$5,Service_Consumables!$H$5:$H$856,"Auto-deduct")</f>
        <v>0</v>
      </c>
      <c r="AP41" s="15" t="n">
        <f aca="false">SUMIFS(Service_Consumables!$L$5:$L$856,Service_Consumables!$A$5:$A$856,$A41,Service_Consumables!$E$5:$E$856,AP$5,Service_Consumables!$H$5:$H$856,"Auto-deduct")</f>
        <v>0</v>
      </c>
      <c r="AQ41" s="15" t="n">
        <f aca="false">SUMIFS(Service_Consumables!$L$5:$L$856,Service_Consumables!$A$5:$A$856,$A41,Service_Consumables!$E$5:$E$856,AQ$5,Service_Consumables!$H$5:$H$856,"Auto-deduct")</f>
        <v>0</v>
      </c>
      <c r="AR41" s="15" t="n">
        <f aca="false">SUMIFS(Service_Consumables!$L$5:$L$856,Service_Consumables!$A$5:$A$856,$A41,Service_Consumables!$E$5:$E$856,AR$5,Service_Consumables!$H$5:$H$856,"Auto-deduct")</f>
        <v>0</v>
      </c>
      <c r="AS41" s="15" t="n">
        <f aca="false">SUMIFS(Service_Consumables!$L$5:$L$856,Service_Consumables!$A$5:$A$856,$A41,Service_Consumables!$E$5:$E$856,AS$5,Service_Consumables!$H$5:$H$856,"Auto-deduct")</f>
        <v>0</v>
      </c>
      <c r="AT41" s="15" t="n">
        <f aca="false">SUMIFS(Service_Consumables!$L$5:$L$856,Service_Consumables!$A$5:$A$856,$A41,Service_Consumables!$E$5:$E$856,AT$5,Service_Consumables!$H$5:$H$856,"Auto-deduct")</f>
        <v>0</v>
      </c>
      <c r="AU41" s="15" t="n">
        <f aca="false">SUMIFS(Service_Consumables!$L$5:$L$856,Service_Consumables!$A$5:$A$856,$A41,Service_Consumables!$E$5:$E$856,AU$5,Service_Consumables!$H$5:$H$856,"Auto-deduct")</f>
        <v>0</v>
      </c>
      <c r="AV41" s="15" t="n">
        <f aca="false">SUMIFS(Service_Consumables!$L$5:$L$856,Service_Consumables!$A$5:$A$856,$A41,Service_Consumables!$E$5:$E$856,AV$5,Service_Consumables!$H$5:$H$856,"Auto-deduct")</f>
        <v>0</v>
      </c>
      <c r="AW41" s="15" t="n">
        <f aca="false">SUMIFS(Service_Consumables!$L$5:$L$856,Service_Consumables!$A$5:$A$856,$A41,Service_Consumables!$E$5:$E$856,AW$5,Service_Consumables!$H$5:$H$856,"Auto-deduct")</f>
        <v>0</v>
      </c>
      <c r="AX41" s="15" t="n">
        <f aca="false">SUMIFS(Service_Consumables!$L$5:$L$856,Service_Consumables!$A$5:$A$856,$A41,Service_Consumables!$E$5:$E$856,AX$5,Service_Consumables!$H$5:$H$856,"Auto-deduct")</f>
        <v>0</v>
      </c>
      <c r="AY41" s="15" t="n">
        <f aca="false">SUMIFS(Service_Consumables!$L$5:$L$856,Service_Consumables!$A$5:$A$856,$A41,Service_Consumables!$E$5:$E$856,AY$5,Service_Consumables!$H$5:$H$856,"Auto-deduct")</f>
        <v>0</v>
      </c>
      <c r="AZ41" s="15" t="n">
        <f aca="false">SUMIFS(Service_Consumables!$L$5:$L$856,Service_Consumables!$A$5:$A$856,$A41,Service_Consumables!$E$5:$E$856,AZ$5,Service_Consumables!$H$5:$H$856,"Auto-deduct")</f>
        <v>0</v>
      </c>
      <c r="BA41" s="15" t="n">
        <f aca="false">SUMIFS(Service_Consumables!$L$5:$L$856,Service_Consumables!$A$5:$A$856,$A41,Service_Consumables!$E$5:$E$856,BA$5,Service_Consumables!$H$5:$H$856,"Auto-deduct")</f>
        <v>0</v>
      </c>
      <c r="BB41" s="15" t="n">
        <f aca="false">SUMIFS(Service_Consumables!$L$5:$L$856,Service_Consumables!$A$5:$A$856,$A41,Service_Consumables!$E$5:$E$856,BB$5,Service_Consumables!$H$5:$H$856,"Auto-deduct")</f>
        <v>0</v>
      </c>
      <c r="BC41" s="15" t="n">
        <f aca="false">SUMIFS(Service_Consumables!$L$5:$L$856,Service_Consumables!$A$5:$A$856,$A41,Service_Consumables!$E$5:$E$856,BC$5,Service_Consumables!$H$5:$H$856,"Auto-deduct")</f>
        <v>0</v>
      </c>
      <c r="BD41" s="15" t="n">
        <f aca="false">SUMIFS(Service_Consumables!$L$5:$L$856,Service_Consumables!$A$5:$A$856,$A41,Service_Consumables!$E$5:$E$856,BD$5,Service_Consumables!$H$5:$H$856,"Auto-deduct")</f>
        <v>0</v>
      </c>
      <c r="BE41" s="15" t="n">
        <f aca="false">SUMIFS(Service_Consumables!$L$5:$L$856,Service_Consumables!$A$5:$A$856,$A41,Service_Consumables!$E$5:$E$856,BE$5,Service_Consumables!$H$5:$H$856,"Auto-deduct")</f>
        <v>0</v>
      </c>
      <c r="BF41" s="15" t="n">
        <f aca="false">SUMIFS(Service_Consumables!$L$5:$L$856,Service_Consumables!$A$5:$A$856,$A41,Service_Consumables!$E$5:$E$856,BF$5,Service_Consumables!$H$5:$H$856,"Auto-deduct")</f>
        <v>0</v>
      </c>
      <c r="BG41" s="15" t="n">
        <f aca="false">SUMIFS(Service_Consumables!$L$5:$L$856,Service_Consumables!$A$5:$A$856,$A41,Service_Consumables!$E$5:$E$856,BG$5,Service_Consumables!$H$5:$H$856,"Auto-deduct")</f>
        <v>0</v>
      </c>
      <c r="BH41" s="15" t="n">
        <f aca="false">SUMIFS(Service_Consumables!$L$5:$L$856,Service_Consumables!$A$5:$A$856,$A41,Service_Consumables!$E$5:$E$856,BH$5,Service_Consumables!$H$5:$H$856,"Auto-deduct")</f>
        <v>0</v>
      </c>
      <c r="BI41" s="15" t="n">
        <f aca="false">SUMIFS(Service_Consumables!$L$5:$L$856,Service_Consumables!$A$5:$A$856,$A41,Service_Consumables!$E$5:$E$856,BI$5,Service_Consumables!$H$5:$H$856,"Auto-deduct")</f>
        <v>3</v>
      </c>
    </row>
    <row r="42" customFormat="false" ht="15" hidden="false" customHeight="false" outlineLevel="0" collapsed="false">
      <c r="A42" s="14" t="n">
        <f aca="false">Services!A41</f>
        <v>37</v>
      </c>
      <c r="B42" s="14" t="str">
        <f aca="false">Services!B41</f>
        <v>Mesotherapy (MT)</v>
      </c>
      <c r="C42" s="14" t="str">
        <f aca="false">Services!C41</f>
        <v>Face w/ V-Lifting</v>
      </c>
      <c r="D42" s="15" t="n">
        <f aca="false">SUMIFS(Service_Consumables!$L$5:$L$856,Service_Consumables!$A$5:$A$856,$A42,Service_Consumables!$E$5:$E$856,D$5,Service_Consumables!$H$5:$H$856,"Auto-deduct")</f>
        <v>0</v>
      </c>
      <c r="E42" s="15" t="n">
        <f aca="false">SUMIFS(Service_Consumables!$L$5:$L$856,Service_Consumables!$A$5:$A$856,$A42,Service_Consumables!$E$5:$E$856,E$5,Service_Consumables!$H$5:$H$856,"Auto-deduct")</f>
        <v>2</v>
      </c>
      <c r="F42" s="15" t="n">
        <f aca="false">SUMIFS(Service_Consumables!$L$5:$L$856,Service_Consumables!$A$5:$A$856,$A42,Service_Consumables!$E$5:$E$856,F$5,Service_Consumables!$H$5:$H$856,"Auto-deduct")</f>
        <v>0</v>
      </c>
      <c r="G42" s="15" t="n">
        <f aca="false">SUMIFS(Service_Consumables!$L$5:$L$856,Service_Consumables!$A$5:$A$856,$A42,Service_Consumables!$E$5:$E$856,G$5,Service_Consumables!$H$5:$H$856,"Auto-deduct")</f>
        <v>0</v>
      </c>
      <c r="H42" s="15" t="n">
        <f aca="false">SUMIFS(Service_Consumables!$L$5:$L$856,Service_Consumables!$A$5:$A$856,$A42,Service_Consumables!$E$5:$E$856,H$5,Service_Consumables!$H$5:$H$856,"Auto-deduct")</f>
        <v>2</v>
      </c>
      <c r="I42" s="15" t="n">
        <f aca="false">SUMIFS(Service_Consumables!$L$5:$L$856,Service_Consumables!$A$5:$A$856,$A42,Service_Consumables!$E$5:$E$856,I$5,Service_Consumables!$H$5:$H$856,"Auto-deduct")</f>
        <v>2</v>
      </c>
      <c r="J42" s="15" t="n">
        <f aca="false">SUMIFS(Service_Consumables!$L$5:$L$856,Service_Consumables!$A$5:$A$856,$A42,Service_Consumables!$E$5:$E$856,J$5,Service_Consumables!$H$5:$H$856,"Auto-deduct")</f>
        <v>0</v>
      </c>
      <c r="K42" s="15" t="n">
        <f aca="false">SUMIFS(Service_Consumables!$L$5:$L$856,Service_Consumables!$A$5:$A$856,$A42,Service_Consumables!$E$5:$E$856,K$5,Service_Consumables!$H$5:$H$856,"Auto-deduct")</f>
        <v>0</v>
      </c>
      <c r="L42" s="15" t="n">
        <f aca="false">SUMIFS(Service_Consumables!$L$5:$L$856,Service_Consumables!$A$5:$A$856,$A42,Service_Consumables!$E$5:$E$856,L$5,Service_Consumables!$H$5:$H$856,"Auto-deduct")</f>
        <v>1</v>
      </c>
      <c r="M42" s="15" t="n">
        <f aca="false">SUMIFS(Service_Consumables!$L$5:$L$856,Service_Consumables!$A$5:$A$856,$A42,Service_Consumables!$E$5:$E$856,M$5,Service_Consumables!$H$5:$H$856,"Auto-deduct")</f>
        <v>0</v>
      </c>
      <c r="N42" s="15" t="n">
        <f aca="false">SUMIFS(Service_Consumables!$L$5:$L$856,Service_Consumables!$A$5:$A$856,$A42,Service_Consumables!$E$5:$E$856,N$5,Service_Consumables!$H$5:$H$856,"Auto-deduct")</f>
        <v>0</v>
      </c>
      <c r="O42" s="15" t="n">
        <f aca="false">SUMIFS(Service_Consumables!$L$5:$L$856,Service_Consumables!$A$5:$A$856,$A42,Service_Consumables!$E$5:$E$856,O$5,Service_Consumables!$H$5:$H$856,"Auto-deduct")</f>
        <v>1</v>
      </c>
      <c r="P42" s="15" t="n">
        <f aca="false">SUMIFS(Service_Consumables!$L$5:$L$856,Service_Consumables!$A$5:$A$856,$A42,Service_Consumables!$E$5:$E$856,P$5,Service_Consumables!$H$5:$H$856,"Auto-deduct")</f>
        <v>1</v>
      </c>
      <c r="Q42" s="15" t="n">
        <f aca="false">SUMIFS(Service_Consumables!$L$5:$L$856,Service_Consumables!$A$5:$A$856,$A42,Service_Consumables!$E$5:$E$856,Q$5,Service_Consumables!$H$5:$H$856,"Auto-deduct")</f>
        <v>1</v>
      </c>
      <c r="R42" s="15" t="n">
        <f aca="false">SUMIFS(Service_Consumables!$L$5:$L$856,Service_Consumables!$A$5:$A$856,$A42,Service_Consumables!$E$5:$E$856,R$5,Service_Consumables!$H$5:$H$856,"Auto-deduct")</f>
        <v>0</v>
      </c>
      <c r="S42" s="15" t="n">
        <f aca="false">SUMIFS(Service_Consumables!$L$5:$L$856,Service_Consumables!$A$5:$A$856,$A42,Service_Consumables!$E$5:$E$856,S$5,Service_Consumables!$H$5:$H$856,"Auto-deduct")</f>
        <v>6</v>
      </c>
      <c r="T42" s="15" t="n">
        <f aca="false">SUMIFS(Service_Consumables!$L$5:$L$856,Service_Consumables!$A$5:$A$856,$A42,Service_Consumables!$E$5:$E$856,T$5,Service_Consumables!$H$5:$H$856,"Auto-deduct")</f>
        <v>0</v>
      </c>
      <c r="U42" s="15" t="n">
        <f aca="false">SUMIFS(Service_Consumables!$L$5:$L$856,Service_Consumables!$A$5:$A$856,$A42,Service_Consumables!$E$5:$E$856,U$5,Service_Consumables!$H$5:$H$856,"Auto-deduct")</f>
        <v>6</v>
      </c>
      <c r="V42" s="15" t="n">
        <f aca="false">SUMIFS(Service_Consumables!$L$5:$L$856,Service_Consumables!$A$5:$A$856,$A42,Service_Consumables!$E$5:$E$856,V$5,Service_Consumables!$H$5:$H$856,"Auto-deduct")</f>
        <v>5</v>
      </c>
      <c r="W42" s="15" t="n">
        <f aca="false">SUMIFS(Service_Consumables!$L$5:$L$856,Service_Consumables!$A$5:$A$856,$A42,Service_Consumables!$E$5:$E$856,W$5,Service_Consumables!$H$5:$H$856,"Auto-deduct")</f>
        <v>0</v>
      </c>
      <c r="X42" s="15" t="n">
        <f aca="false">SUMIFS(Service_Consumables!$L$5:$L$856,Service_Consumables!$A$5:$A$856,$A42,Service_Consumables!$E$5:$E$856,X$5,Service_Consumables!$H$5:$H$856,"Auto-deduct")</f>
        <v>0</v>
      </c>
      <c r="Y42" s="15" t="n">
        <f aca="false">SUMIFS(Service_Consumables!$L$5:$L$856,Service_Consumables!$A$5:$A$856,$A42,Service_Consumables!$E$5:$E$856,Y$5,Service_Consumables!$H$5:$H$856,"Auto-deduct")</f>
        <v>0</v>
      </c>
      <c r="Z42" s="15" t="n">
        <f aca="false">SUMIFS(Service_Consumables!$L$5:$L$856,Service_Consumables!$A$5:$A$856,$A42,Service_Consumables!$E$5:$E$856,Z$5,Service_Consumables!$H$5:$H$856,"Auto-deduct")</f>
        <v>20</v>
      </c>
      <c r="AA42" s="15" t="n">
        <f aca="false">SUMIFS(Service_Consumables!$L$5:$L$856,Service_Consumables!$A$5:$A$856,$A42,Service_Consumables!$E$5:$E$856,AA$5,Service_Consumables!$H$5:$H$856,"Auto-deduct")</f>
        <v>0</v>
      </c>
      <c r="AB42" s="15" t="n">
        <f aca="false">SUMIFS(Service_Consumables!$L$5:$L$856,Service_Consumables!$A$5:$A$856,$A42,Service_Consumables!$E$5:$E$856,AB$5,Service_Consumables!$H$5:$H$856,"Auto-deduct")</f>
        <v>3</v>
      </c>
      <c r="AC42" s="15" t="n">
        <f aca="false">SUMIFS(Service_Consumables!$L$5:$L$856,Service_Consumables!$A$5:$A$856,$A42,Service_Consumables!$E$5:$E$856,AC$5,Service_Consumables!$H$5:$H$856,"Auto-deduct")</f>
        <v>0</v>
      </c>
      <c r="AD42" s="15" t="n">
        <f aca="false">SUMIFS(Service_Consumables!$L$5:$L$856,Service_Consumables!$A$5:$A$856,$A42,Service_Consumables!$E$5:$E$856,AD$5,Service_Consumables!$H$5:$H$856,"Auto-deduct")</f>
        <v>5</v>
      </c>
      <c r="AE42" s="15" t="n">
        <f aca="false">SUMIFS(Service_Consumables!$L$5:$L$856,Service_Consumables!$A$5:$A$856,$A42,Service_Consumables!$E$5:$E$856,AE$5,Service_Consumables!$H$5:$H$856,"Auto-deduct")</f>
        <v>10</v>
      </c>
      <c r="AF42" s="15" t="n">
        <f aca="false">SUMIFS(Service_Consumables!$L$5:$L$856,Service_Consumables!$A$5:$A$856,$A42,Service_Consumables!$E$5:$E$856,AF$5,Service_Consumables!$H$5:$H$856,"Auto-deduct")</f>
        <v>0</v>
      </c>
      <c r="AG42" s="15" t="n">
        <f aca="false">SUMIFS(Service_Consumables!$L$5:$L$856,Service_Consumables!$A$5:$A$856,$A42,Service_Consumables!$E$5:$E$856,AG$5,Service_Consumables!$H$5:$H$856,"Auto-deduct")</f>
        <v>0</v>
      </c>
      <c r="AH42" s="15" t="n">
        <f aca="false">SUMIFS(Service_Consumables!$L$5:$L$856,Service_Consumables!$A$5:$A$856,$A42,Service_Consumables!$E$5:$E$856,AH$5,Service_Consumables!$H$5:$H$856,"Auto-deduct")</f>
        <v>0</v>
      </c>
      <c r="AI42" s="15" t="n">
        <f aca="false">SUMIFS(Service_Consumables!$L$5:$L$856,Service_Consumables!$A$5:$A$856,$A42,Service_Consumables!$E$5:$E$856,AI$5,Service_Consumables!$H$5:$H$856,"Auto-deduct")</f>
        <v>5</v>
      </c>
      <c r="AJ42" s="15" t="n">
        <f aca="false">SUMIFS(Service_Consumables!$L$5:$L$856,Service_Consumables!$A$5:$A$856,$A42,Service_Consumables!$E$5:$E$856,AJ$5,Service_Consumables!$H$5:$H$856,"Auto-deduct")</f>
        <v>0</v>
      </c>
      <c r="AK42" s="15" t="n">
        <f aca="false">SUMIFS(Service_Consumables!$L$5:$L$856,Service_Consumables!$A$5:$A$856,$A42,Service_Consumables!$E$5:$E$856,AK$5,Service_Consumables!$H$5:$H$856,"Auto-deduct")</f>
        <v>0</v>
      </c>
      <c r="AL42" s="15" t="n">
        <f aca="false">SUMIFS(Service_Consumables!$L$5:$L$856,Service_Consumables!$A$5:$A$856,$A42,Service_Consumables!$E$5:$E$856,AL$5,Service_Consumables!$H$5:$H$856,"Auto-deduct")</f>
        <v>0</v>
      </c>
      <c r="AM42" s="15" t="n">
        <f aca="false">SUMIFS(Service_Consumables!$L$5:$L$856,Service_Consumables!$A$5:$A$856,$A42,Service_Consumables!$E$5:$E$856,AM$5,Service_Consumables!$H$5:$H$856,"Auto-deduct")</f>
        <v>0</v>
      </c>
      <c r="AN42" s="15" t="n">
        <f aca="false">SUMIFS(Service_Consumables!$L$5:$L$856,Service_Consumables!$A$5:$A$856,$A42,Service_Consumables!$E$5:$E$856,AN$5,Service_Consumables!$H$5:$H$856,"Auto-deduct")</f>
        <v>0</v>
      </c>
      <c r="AO42" s="15" t="n">
        <f aca="false">SUMIFS(Service_Consumables!$L$5:$L$856,Service_Consumables!$A$5:$A$856,$A42,Service_Consumables!$E$5:$E$856,AO$5,Service_Consumables!$H$5:$H$856,"Auto-deduct")</f>
        <v>0</v>
      </c>
      <c r="AP42" s="15" t="n">
        <f aca="false">SUMIFS(Service_Consumables!$L$5:$L$856,Service_Consumables!$A$5:$A$856,$A42,Service_Consumables!$E$5:$E$856,AP$5,Service_Consumables!$H$5:$H$856,"Auto-deduct")</f>
        <v>8</v>
      </c>
      <c r="AQ42" s="15" t="n">
        <f aca="false">SUMIFS(Service_Consumables!$L$5:$L$856,Service_Consumables!$A$5:$A$856,$A42,Service_Consumables!$E$5:$E$856,AQ$5,Service_Consumables!$H$5:$H$856,"Auto-deduct")</f>
        <v>10</v>
      </c>
      <c r="AR42" s="15" t="n">
        <f aca="false">SUMIFS(Service_Consumables!$L$5:$L$856,Service_Consumables!$A$5:$A$856,$A42,Service_Consumables!$E$5:$E$856,AR$5,Service_Consumables!$H$5:$H$856,"Auto-deduct")</f>
        <v>0</v>
      </c>
      <c r="AS42" s="15" t="n">
        <f aca="false">SUMIFS(Service_Consumables!$L$5:$L$856,Service_Consumables!$A$5:$A$856,$A42,Service_Consumables!$E$5:$E$856,AS$5,Service_Consumables!$H$5:$H$856,"Auto-deduct")</f>
        <v>0</v>
      </c>
      <c r="AT42" s="15" t="n">
        <f aca="false">SUMIFS(Service_Consumables!$L$5:$L$856,Service_Consumables!$A$5:$A$856,$A42,Service_Consumables!$E$5:$E$856,AT$5,Service_Consumables!$H$5:$H$856,"Auto-deduct")</f>
        <v>0</v>
      </c>
      <c r="AU42" s="15" t="n">
        <f aca="false">SUMIFS(Service_Consumables!$L$5:$L$856,Service_Consumables!$A$5:$A$856,$A42,Service_Consumables!$E$5:$E$856,AU$5,Service_Consumables!$H$5:$H$856,"Auto-deduct")</f>
        <v>0</v>
      </c>
      <c r="AV42" s="15" t="n">
        <f aca="false">SUMIFS(Service_Consumables!$L$5:$L$856,Service_Consumables!$A$5:$A$856,$A42,Service_Consumables!$E$5:$E$856,AV$5,Service_Consumables!$H$5:$H$856,"Auto-deduct")</f>
        <v>0</v>
      </c>
      <c r="AW42" s="15" t="n">
        <f aca="false">SUMIFS(Service_Consumables!$L$5:$L$856,Service_Consumables!$A$5:$A$856,$A42,Service_Consumables!$E$5:$E$856,AW$5,Service_Consumables!$H$5:$H$856,"Auto-deduct")</f>
        <v>0</v>
      </c>
      <c r="AX42" s="15" t="n">
        <f aca="false">SUMIFS(Service_Consumables!$L$5:$L$856,Service_Consumables!$A$5:$A$856,$A42,Service_Consumables!$E$5:$E$856,AX$5,Service_Consumables!$H$5:$H$856,"Auto-deduct")</f>
        <v>0</v>
      </c>
      <c r="AY42" s="15" t="n">
        <f aca="false">SUMIFS(Service_Consumables!$L$5:$L$856,Service_Consumables!$A$5:$A$856,$A42,Service_Consumables!$E$5:$E$856,AY$5,Service_Consumables!$H$5:$H$856,"Auto-deduct")</f>
        <v>0</v>
      </c>
      <c r="AZ42" s="15" t="n">
        <f aca="false">SUMIFS(Service_Consumables!$L$5:$L$856,Service_Consumables!$A$5:$A$856,$A42,Service_Consumables!$E$5:$E$856,AZ$5,Service_Consumables!$H$5:$H$856,"Auto-deduct")</f>
        <v>0</v>
      </c>
      <c r="BA42" s="15" t="n">
        <f aca="false">SUMIFS(Service_Consumables!$L$5:$L$856,Service_Consumables!$A$5:$A$856,$A42,Service_Consumables!$E$5:$E$856,BA$5,Service_Consumables!$H$5:$H$856,"Auto-deduct")</f>
        <v>0</v>
      </c>
      <c r="BB42" s="15" t="n">
        <f aca="false">SUMIFS(Service_Consumables!$L$5:$L$856,Service_Consumables!$A$5:$A$856,$A42,Service_Consumables!$E$5:$E$856,BB$5,Service_Consumables!$H$5:$H$856,"Auto-deduct")</f>
        <v>0</v>
      </c>
      <c r="BC42" s="15" t="n">
        <f aca="false">SUMIFS(Service_Consumables!$L$5:$L$856,Service_Consumables!$A$5:$A$856,$A42,Service_Consumables!$E$5:$E$856,BC$5,Service_Consumables!$H$5:$H$856,"Auto-deduct")</f>
        <v>0</v>
      </c>
      <c r="BD42" s="15" t="n">
        <f aca="false">SUMIFS(Service_Consumables!$L$5:$L$856,Service_Consumables!$A$5:$A$856,$A42,Service_Consumables!$E$5:$E$856,BD$5,Service_Consumables!$H$5:$H$856,"Auto-deduct")</f>
        <v>0</v>
      </c>
      <c r="BE42" s="15" t="n">
        <f aca="false">SUMIFS(Service_Consumables!$L$5:$L$856,Service_Consumables!$A$5:$A$856,$A42,Service_Consumables!$E$5:$E$856,BE$5,Service_Consumables!$H$5:$H$856,"Auto-deduct")</f>
        <v>0</v>
      </c>
      <c r="BF42" s="15" t="n">
        <f aca="false">SUMIFS(Service_Consumables!$L$5:$L$856,Service_Consumables!$A$5:$A$856,$A42,Service_Consumables!$E$5:$E$856,BF$5,Service_Consumables!$H$5:$H$856,"Auto-deduct")</f>
        <v>0</v>
      </c>
      <c r="BG42" s="15" t="n">
        <f aca="false">SUMIFS(Service_Consumables!$L$5:$L$856,Service_Consumables!$A$5:$A$856,$A42,Service_Consumables!$E$5:$E$856,BG$5,Service_Consumables!$H$5:$H$856,"Auto-deduct")</f>
        <v>0</v>
      </c>
      <c r="BH42" s="15" t="n">
        <f aca="false">SUMIFS(Service_Consumables!$L$5:$L$856,Service_Consumables!$A$5:$A$856,$A42,Service_Consumables!$E$5:$E$856,BH$5,Service_Consumables!$H$5:$H$856,"Auto-deduct")</f>
        <v>0</v>
      </c>
      <c r="BI42" s="15" t="n">
        <f aca="false">SUMIFS(Service_Consumables!$L$5:$L$856,Service_Consumables!$A$5:$A$856,$A42,Service_Consumables!$E$5:$E$856,BI$5,Service_Consumables!$H$5:$H$856,"Auto-deduct")</f>
        <v>3</v>
      </c>
    </row>
    <row r="43" customFormat="false" ht="15" hidden="false" customHeight="false" outlineLevel="0" collapsed="false">
      <c r="A43" s="14" t="n">
        <f aca="false">Services!A42</f>
        <v>38</v>
      </c>
      <c r="B43" s="14" t="str">
        <f aca="false">Services!B42</f>
        <v>Mesotherapy (MT)</v>
      </c>
      <c r="C43" s="14" t="str">
        <f aca="false">Services!C42</f>
        <v>Arms/Braline</v>
      </c>
      <c r="D43" s="15" t="n">
        <f aca="false">SUMIFS(Service_Consumables!$L$5:$L$856,Service_Consumables!$A$5:$A$856,$A43,Service_Consumables!$E$5:$E$856,D$5,Service_Consumables!$H$5:$H$856,"Auto-deduct")</f>
        <v>0</v>
      </c>
      <c r="E43" s="15" t="n">
        <f aca="false">SUMIFS(Service_Consumables!$L$5:$L$856,Service_Consumables!$A$5:$A$856,$A43,Service_Consumables!$E$5:$E$856,E$5,Service_Consumables!$H$5:$H$856,"Auto-deduct")</f>
        <v>3</v>
      </c>
      <c r="F43" s="15" t="n">
        <f aca="false">SUMIFS(Service_Consumables!$L$5:$L$856,Service_Consumables!$A$5:$A$856,$A43,Service_Consumables!$E$5:$E$856,F$5,Service_Consumables!$H$5:$H$856,"Auto-deduct")</f>
        <v>0</v>
      </c>
      <c r="G43" s="15" t="n">
        <f aca="false">SUMIFS(Service_Consumables!$L$5:$L$856,Service_Consumables!$A$5:$A$856,$A43,Service_Consumables!$E$5:$E$856,G$5,Service_Consumables!$H$5:$H$856,"Auto-deduct")</f>
        <v>0</v>
      </c>
      <c r="H43" s="15" t="n">
        <f aca="false">SUMIFS(Service_Consumables!$L$5:$L$856,Service_Consumables!$A$5:$A$856,$A43,Service_Consumables!$E$5:$E$856,H$5,Service_Consumables!$H$5:$H$856,"Auto-deduct")</f>
        <v>3</v>
      </c>
      <c r="I43" s="15" t="n">
        <f aca="false">SUMIFS(Service_Consumables!$L$5:$L$856,Service_Consumables!$A$5:$A$856,$A43,Service_Consumables!$E$5:$E$856,I$5,Service_Consumables!$H$5:$H$856,"Auto-deduct")</f>
        <v>3</v>
      </c>
      <c r="J43" s="15" t="n">
        <f aca="false">SUMIFS(Service_Consumables!$L$5:$L$856,Service_Consumables!$A$5:$A$856,$A43,Service_Consumables!$E$5:$E$856,J$5,Service_Consumables!$H$5:$H$856,"Auto-deduct")</f>
        <v>0</v>
      </c>
      <c r="K43" s="15" t="n">
        <f aca="false">SUMIFS(Service_Consumables!$L$5:$L$856,Service_Consumables!$A$5:$A$856,$A43,Service_Consumables!$E$5:$E$856,K$5,Service_Consumables!$H$5:$H$856,"Auto-deduct")</f>
        <v>0</v>
      </c>
      <c r="L43" s="15" t="n">
        <f aca="false">SUMIFS(Service_Consumables!$L$5:$L$856,Service_Consumables!$A$5:$A$856,$A43,Service_Consumables!$E$5:$E$856,L$5,Service_Consumables!$H$5:$H$856,"Auto-deduct")</f>
        <v>1</v>
      </c>
      <c r="M43" s="15" t="n">
        <f aca="false">SUMIFS(Service_Consumables!$L$5:$L$856,Service_Consumables!$A$5:$A$856,$A43,Service_Consumables!$E$5:$E$856,M$5,Service_Consumables!$H$5:$H$856,"Auto-deduct")</f>
        <v>0</v>
      </c>
      <c r="N43" s="15" t="n">
        <f aca="false">SUMIFS(Service_Consumables!$L$5:$L$856,Service_Consumables!$A$5:$A$856,$A43,Service_Consumables!$E$5:$E$856,N$5,Service_Consumables!$H$5:$H$856,"Auto-deduct")</f>
        <v>0</v>
      </c>
      <c r="O43" s="15" t="n">
        <f aca="false">SUMIFS(Service_Consumables!$L$5:$L$856,Service_Consumables!$A$5:$A$856,$A43,Service_Consumables!$E$5:$E$856,O$5,Service_Consumables!$H$5:$H$856,"Auto-deduct")</f>
        <v>0</v>
      </c>
      <c r="P43" s="15" t="n">
        <f aca="false">SUMIFS(Service_Consumables!$L$5:$L$856,Service_Consumables!$A$5:$A$856,$A43,Service_Consumables!$E$5:$E$856,P$5,Service_Consumables!$H$5:$H$856,"Auto-deduct")</f>
        <v>1</v>
      </c>
      <c r="Q43" s="15" t="n">
        <f aca="false">SUMIFS(Service_Consumables!$L$5:$L$856,Service_Consumables!$A$5:$A$856,$A43,Service_Consumables!$E$5:$E$856,Q$5,Service_Consumables!$H$5:$H$856,"Auto-deduct")</f>
        <v>1</v>
      </c>
      <c r="R43" s="15" t="n">
        <f aca="false">SUMIFS(Service_Consumables!$L$5:$L$856,Service_Consumables!$A$5:$A$856,$A43,Service_Consumables!$E$5:$E$856,R$5,Service_Consumables!$H$5:$H$856,"Auto-deduct")</f>
        <v>0</v>
      </c>
      <c r="S43" s="15" t="n">
        <f aca="false">SUMIFS(Service_Consumables!$L$5:$L$856,Service_Consumables!$A$5:$A$856,$A43,Service_Consumables!$E$5:$E$856,S$5,Service_Consumables!$H$5:$H$856,"Auto-deduct")</f>
        <v>0</v>
      </c>
      <c r="T43" s="15" t="n">
        <f aca="false">SUMIFS(Service_Consumables!$L$5:$L$856,Service_Consumables!$A$5:$A$856,$A43,Service_Consumables!$E$5:$E$856,T$5,Service_Consumables!$H$5:$H$856,"Auto-deduct")</f>
        <v>0</v>
      </c>
      <c r="U43" s="15" t="n">
        <f aca="false">SUMIFS(Service_Consumables!$L$5:$L$856,Service_Consumables!$A$5:$A$856,$A43,Service_Consumables!$E$5:$E$856,U$5,Service_Consumables!$H$5:$H$856,"Auto-deduct")</f>
        <v>0</v>
      </c>
      <c r="V43" s="15" t="n">
        <f aca="false">SUMIFS(Service_Consumables!$L$5:$L$856,Service_Consumables!$A$5:$A$856,$A43,Service_Consumables!$E$5:$E$856,V$5,Service_Consumables!$H$5:$H$856,"Auto-deduct")</f>
        <v>0</v>
      </c>
      <c r="W43" s="15" t="n">
        <f aca="false">SUMIFS(Service_Consumables!$L$5:$L$856,Service_Consumables!$A$5:$A$856,$A43,Service_Consumables!$E$5:$E$856,W$5,Service_Consumables!$H$5:$H$856,"Auto-deduct")</f>
        <v>0</v>
      </c>
      <c r="X43" s="15" t="n">
        <f aca="false">SUMIFS(Service_Consumables!$L$5:$L$856,Service_Consumables!$A$5:$A$856,$A43,Service_Consumables!$E$5:$E$856,X$5,Service_Consumables!$H$5:$H$856,"Auto-deduct")</f>
        <v>0</v>
      </c>
      <c r="Y43" s="15" t="n">
        <f aca="false">SUMIFS(Service_Consumables!$L$5:$L$856,Service_Consumables!$A$5:$A$856,$A43,Service_Consumables!$E$5:$E$856,Y$5,Service_Consumables!$H$5:$H$856,"Auto-deduct")</f>
        <v>0</v>
      </c>
      <c r="Z43" s="15" t="n">
        <f aca="false">SUMIFS(Service_Consumables!$L$5:$L$856,Service_Consumables!$A$5:$A$856,$A43,Service_Consumables!$E$5:$E$856,Z$5,Service_Consumables!$H$5:$H$856,"Auto-deduct")</f>
        <v>30</v>
      </c>
      <c r="AA43" s="15" t="n">
        <f aca="false">SUMIFS(Service_Consumables!$L$5:$L$856,Service_Consumables!$A$5:$A$856,$A43,Service_Consumables!$E$5:$E$856,AA$5,Service_Consumables!$H$5:$H$856,"Auto-deduct")</f>
        <v>0</v>
      </c>
      <c r="AB43" s="15" t="n">
        <f aca="false">SUMIFS(Service_Consumables!$L$5:$L$856,Service_Consumables!$A$5:$A$856,$A43,Service_Consumables!$E$5:$E$856,AB$5,Service_Consumables!$H$5:$H$856,"Auto-deduct")</f>
        <v>5</v>
      </c>
      <c r="AC43" s="15" t="n">
        <f aca="false">SUMIFS(Service_Consumables!$L$5:$L$856,Service_Consumables!$A$5:$A$856,$A43,Service_Consumables!$E$5:$E$856,AC$5,Service_Consumables!$H$5:$H$856,"Auto-deduct")</f>
        <v>4.5</v>
      </c>
      <c r="AD43" s="15" t="n">
        <f aca="false">SUMIFS(Service_Consumables!$L$5:$L$856,Service_Consumables!$A$5:$A$856,$A43,Service_Consumables!$E$5:$E$856,AD$5,Service_Consumables!$H$5:$H$856,"Auto-deduct")</f>
        <v>20</v>
      </c>
      <c r="AE43" s="15" t="n">
        <f aca="false">SUMIFS(Service_Consumables!$L$5:$L$856,Service_Consumables!$A$5:$A$856,$A43,Service_Consumables!$E$5:$E$856,AE$5,Service_Consumables!$H$5:$H$856,"Auto-deduct")</f>
        <v>0</v>
      </c>
      <c r="AF43" s="15" t="n">
        <f aca="false">SUMIFS(Service_Consumables!$L$5:$L$856,Service_Consumables!$A$5:$A$856,$A43,Service_Consumables!$E$5:$E$856,AF$5,Service_Consumables!$H$5:$H$856,"Auto-deduct")</f>
        <v>0</v>
      </c>
      <c r="AG43" s="15" t="n">
        <f aca="false">SUMIFS(Service_Consumables!$L$5:$L$856,Service_Consumables!$A$5:$A$856,$A43,Service_Consumables!$E$5:$E$856,AG$5,Service_Consumables!$H$5:$H$856,"Auto-deduct")</f>
        <v>0</v>
      </c>
      <c r="AH43" s="15" t="n">
        <f aca="false">SUMIFS(Service_Consumables!$L$5:$L$856,Service_Consumables!$A$5:$A$856,$A43,Service_Consumables!$E$5:$E$856,AH$5,Service_Consumables!$H$5:$H$856,"Auto-deduct")</f>
        <v>0</v>
      </c>
      <c r="AI43" s="15" t="n">
        <f aca="false">SUMIFS(Service_Consumables!$L$5:$L$856,Service_Consumables!$A$5:$A$856,$A43,Service_Consumables!$E$5:$E$856,AI$5,Service_Consumables!$H$5:$H$856,"Auto-deduct")</f>
        <v>0</v>
      </c>
      <c r="AJ43" s="15" t="n">
        <f aca="false">SUMIFS(Service_Consumables!$L$5:$L$856,Service_Consumables!$A$5:$A$856,$A43,Service_Consumables!$E$5:$E$856,AJ$5,Service_Consumables!$H$5:$H$856,"Auto-deduct")</f>
        <v>0</v>
      </c>
      <c r="AK43" s="15" t="n">
        <f aca="false">SUMIFS(Service_Consumables!$L$5:$L$856,Service_Consumables!$A$5:$A$856,$A43,Service_Consumables!$E$5:$E$856,AK$5,Service_Consumables!$H$5:$H$856,"Auto-deduct")</f>
        <v>0</v>
      </c>
      <c r="AL43" s="15" t="n">
        <f aca="false">SUMIFS(Service_Consumables!$L$5:$L$856,Service_Consumables!$A$5:$A$856,$A43,Service_Consumables!$E$5:$E$856,AL$5,Service_Consumables!$H$5:$H$856,"Auto-deduct")</f>
        <v>0</v>
      </c>
      <c r="AM43" s="15" t="n">
        <f aca="false">SUMIFS(Service_Consumables!$L$5:$L$856,Service_Consumables!$A$5:$A$856,$A43,Service_Consumables!$E$5:$E$856,AM$5,Service_Consumables!$H$5:$H$856,"Auto-deduct")</f>
        <v>0</v>
      </c>
      <c r="AN43" s="15" t="n">
        <f aca="false">SUMIFS(Service_Consumables!$L$5:$L$856,Service_Consumables!$A$5:$A$856,$A43,Service_Consumables!$E$5:$E$856,AN$5,Service_Consumables!$H$5:$H$856,"Auto-deduct")</f>
        <v>0</v>
      </c>
      <c r="AO43" s="15" t="n">
        <f aca="false">SUMIFS(Service_Consumables!$L$5:$L$856,Service_Consumables!$A$5:$A$856,$A43,Service_Consumables!$E$5:$E$856,AO$5,Service_Consumables!$H$5:$H$856,"Auto-deduct")</f>
        <v>0</v>
      </c>
      <c r="AP43" s="15" t="n">
        <f aca="false">SUMIFS(Service_Consumables!$L$5:$L$856,Service_Consumables!$A$5:$A$856,$A43,Service_Consumables!$E$5:$E$856,AP$5,Service_Consumables!$H$5:$H$856,"Auto-deduct")</f>
        <v>0</v>
      </c>
      <c r="AQ43" s="15" t="n">
        <f aca="false">SUMIFS(Service_Consumables!$L$5:$L$856,Service_Consumables!$A$5:$A$856,$A43,Service_Consumables!$E$5:$E$856,AQ$5,Service_Consumables!$H$5:$H$856,"Auto-deduct")</f>
        <v>0</v>
      </c>
      <c r="AR43" s="15" t="n">
        <f aca="false">SUMIFS(Service_Consumables!$L$5:$L$856,Service_Consumables!$A$5:$A$856,$A43,Service_Consumables!$E$5:$E$856,AR$5,Service_Consumables!$H$5:$H$856,"Auto-deduct")</f>
        <v>0</v>
      </c>
      <c r="AS43" s="15" t="n">
        <f aca="false">SUMIFS(Service_Consumables!$L$5:$L$856,Service_Consumables!$A$5:$A$856,$A43,Service_Consumables!$E$5:$E$856,AS$5,Service_Consumables!$H$5:$H$856,"Auto-deduct")</f>
        <v>0</v>
      </c>
      <c r="AT43" s="15" t="n">
        <f aca="false">SUMIFS(Service_Consumables!$L$5:$L$856,Service_Consumables!$A$5:$A$856,$A43,Service_Consumables!$E$5:$E$856,AT$5,Service_Consumables!$H$5:$H$856,"Auto-deduct")</f>
        <v>0</v>
      </c>
      <c r="AU43" s="15" t="n">
        <f aca="false">SUMIFS(Service_Consumables!$L$5:$L$856,Service_Consumables!$A$5:$A$856,$A43,Service_Consumables!$E$5:$E$856,AU$5,Service_Consumables!$H$5:$H$856,"Auto-deduct")</f>
        <v>0</v>
      </c>
      <c r="AV43" s="15" t="n">
        <f aca="false">SUMIFS(Service_Consumables!$L$5:$L$856,Service_Consumables!$A$5:$A$856,$A43,Service_Consumables!$E$5:$E$856,AV$5,Service_Consumables!$H$5:$H$856,"Auto-deduct")</f>
        <v>0</v>
      </c>
      <c r="AW43" s="15" t="n">
        <f aca="false">SUMIFS(Service_Consumables!$L$5:$L$856,Service_Consumables!$A$5:$A$856,$A43,Service_Consumables!$E$5:$E$856,AW$5,Service_Consumables!$H$5:$H$856,"Auto-deduct")</f>
        <v>0</v>
      </c>
      <c r="AX43" s="15" t="n">
        <f aca="false">SUMIFS(Service_Consumables!$L$5:$L$856,Service_Consumables!$A$5:$A$856,$A43,Service_Consumables!$E$5:$E$856,AX$5,Service_Consumables!$H$5:$H$856,"Auto-deduct")</f>
        <v>0</v>
      </c>
      <c r="AY43" s="15" t="n">
        <f aca="false">SUMIFS(Service_Consumables!$L$5:$L$856,Service_Consumables!$A$5:$A$856,$A43,Service_Consumables!$E$5:$E$856,AY$5,Service_Consumables!$H$5:$H$856,"Auto-deduct")</f>
        <v>0</v>
      </c>
      <c r="AZ43" s="15" t="n">
        <f aca="false">SUMIFS(Service_Consumables!$L$5:$L$856,Service_Consumables!$A$5:$A$856,$A43,Service_Consumables!$E$5:$E$856,AZ$5,Service_Consumables!$H$5:$H$856,"Auto-deduct")</f>
        <v>0</v>
      </c>
      <c r="BA43" s="15" t="n">
        <f aca="false">SUMIFS(Service_Consumables!$L$5:$L$856,Service_Consumables!$A$5:$A$856,$A43,Service_Consumables!$E$5:$E$856,BA$5,Service_Consumables!$H$5:$H$856,"Auto-deduct")</f>
        <v>0</v>
      </c>
      <c r="BB43" s="15" t="n">
        <f aca="false">SUMIFS(Service_Consumables!$L$5:$L$856,Service_Consumables!$A$5:$A$856,$A43,Service_Consumables!$E$5:$E$856,BB$5,Service_Consumables!$H$5:$H$856,"Auto-deduct")</f>
        <v>0</v>
      </c>
      <c r="BC43" s="15" t="n">
        <f aca="false">SUMIFS(Service_Consumables!$L$5:$L$856,Service_Consumables!$A$5:$A$856,$A43,Service_Consumables!$E$5:$E$856,BC$5,Service_Consumables!$H$5:$H$856,"Auto-deduct")</f>
        <v>0</v>
      </c>
      <c r="BD43" s="15" t="n">
        <f aca="false">SUMIFS(Service_Consumables!$L$5:$L$856,Service_Consumables!$A$5:$A$856,$A43,Service_Consumables!$E$5:$E$856,BD$5,Service_Consumables!$H$5:$H$856,"Auto-deduct")</f>
        <v>0</v>
      </c>
      <c r="BE43" s="15" t="n">
        <f aca="false">SUMIFS(Service_Consumables!$L$5:$L$856,Service_Consumables!$A$5:$A$856,$A43,Service_Consumables!$E$5:$E$856,BE$5,Service_Consumables!$H$5:$H$856,"Auto-deduct")</f>
        <v>0</v>
      </c>
      <c r="BF43" s="15" t="n">
        <f aca="false">SUMIFS(Service_Consumables!$L$5:$L$856,Service_Consumables!$A$5:$A$856,$A43,Service_Consumables!$E$5:$E$856,BF$5,Service_Consumables!$H$5:$H$856,"Auto-deduct")</f>
        <v>0</v>
      </c>
      <c r="BG43" s="15" t="n">
        <f aca="false">SUMIFS(Service_Consumables!$L$5:$L$856,Service_Consumables!$A$5:$A$856,$A43,Service_Consumables!$E$5:$E$856,BG$5,Service_Consumables!$H$5:$H$856,"Auto-deduct")</f>
        <v>0</v>
      </c>
      <c r="BH43" s="15" t="n">
        <f aca="false">SUMIFS(Service_Consumables!$L$5:$L$856,Service_Consumables!$A$5:$A$856,$A43,Service_Consumables!$E$5:$E$856,BH$5,Service_Consumables!$H$5:$H$856,"Auto-deduct")</f>
        <v>0</v>
      </c>
      <c r="BI43" s="15" t="n">
        <f aca="false">SUMIFS(Service_Consumables!$L$5:$L$856,Service_Consumables!$A$5:$A$856,$A43,Service_Consumables!$E$5:$E$856,BI$5,Service_Consumables!$H$5:$H$856,"Auto-deduct")</f>
        <v>4.5</v>
      </c>
    </row>
    <row r="44" customFormat="false" ht="15" hidden="false" customHeight="false" outlineLevel="0" collapsed="false">
      <c r="A44" s="14" t="n">
        <f aca="false">Services!A43</f>
        <v>39</v>
      </c>
      <c r="B44" s="14" t="str">
        <f aca="false">Services!B43</f>
        <v>Mesotherapy (MT)</v>
      </c>
      <c r="C44" s="14" t="str">
        <f aca="false">Services!C43</f>
        <v>Tummy</v>
      </c>
      <c r="D44" s="15" t="n">
        <f aca="false">SUMIFS(Service_Consumables!$L$5:$L$856,Service_Consumables!$A$5:$A$856,$A44,Service_Consumables!$E$5:$E$856,D$5,Service_Consumables!$H$5:$H$856,"Auto-deduct")</f>
        <v>0</v>
      </c>
      <c r="E44" s="15" t="n">
        <f aca="false">SUMIFS(Service_Consumables!$L$5:$L$856,Service_Consumables!$A$5:$A$856,$A44,Service_Consumables!$E$5:$E$856,E$5,Service_Consumables!$H$5:$H$856,"Auto-deduct")</f>
        <v>3</v>
      </c>
      <c r="F44" s="15" t="n">
        <f aca="false">SUMIFS(Service_Consumables!$L$5:$L$856,Service_Consumables!$A$5:$A$856,$A44,Service_Consumables!$E$5:$E$856,F$5,Service_Consumables!$H$5:$H$856,"Auto-deduct")</f>
        <v>0</v>
      </c>
      <c r="G44" s="15" t="n">
        <f aca="false">SUMIFS(Service_Consumables!$L$5:$L$856,Service_Consumables!$A$5:$A$856,$A44,Service_Consumables!$E$5:$E$856,G$5,Service_Consumables!$H$5:$H$856,"Auto-deduct")</f>
        <v>0</v>
      </c>
      <c r="H44" s="15" t="n">
        <f aca="false">SUMIFS(Service_Consumables!$L$5:$L$856,Service_Consumables!$A$5:$A$856,$A44,Service_Consumables!$E$5:$E$856,H$5,Service_Consumables!$H$5:$H$856,"Auto-deduct")</f>
        <v>3</v>
      </c>
      <c r="I44" s="15" t="n">
        <f aca="false">SUMIFS(Service_Consumables!$L$5:$L$856,Service_Consumables!$A$5:$A$856,$A44,Service_Consumables!$E$5:$E$856,I$5,Service_Consumables!$H$5:$H$856,"Auto-deduct")</f>
        <v>3</v>
      </c>
      <c r="J44" s="15" t="n">
        <f aca="false">SUMIFS(Service_Consumables!$L$5:$L$856,Service_Consumables!$A$5:$A$856,$A44,Service_Consumables!$E$5:$E$856,J$5,Service_Consumables!$H$5:$H$856,"Auto-deduct")</f>
        <v>0</v>
      </c>
      <c r="K44" s="15" t="n">
        <f aca="false">SUMIFS(Service_Consumables!$L$5:$L$856,Service_Consumables!$A$5:$A$856,$A44,Service_Consumables!$E$5:$E$856,K$5,Service_Consumables!$H$5:$H$856,"Auto-deduct")</f>
        <v>0</v>
      </c>
      <c r="L44" s="15" t="n">
        <f aca="false">SUMIFS(Service_Consumables!$L$5:$L$856,Service_Consumables!$A$5:$A$856,$A44,Service_Consumables!$E$5:$E$856,L$5,Service_Consumables!$H$5:$H$856,"Auto-deduct")</f>
        <v>1</v>
      </c>
      <c r="M44" s="15" t="n">
        <f aca="false">SUMIFS(Service_Consumables!$L$5:$L$856,Service_Consumables!$A$5:$A$856,$A44,Service_Consumables!$E$5:$E$856,M$5,Service_Consumables!$H$5:$H$856,"Auto-deduct")</f>
        <v>0</v>
      </c>
      <c r="N44" s="15" t="n">
        <f aca="false">SUMIFS(Service_Consumables!$L$5:$L$856,Service_Consumables!$A$5:$A$856,$A44,Service_Consumables!$E$5:$E$856,N$5,Service_Consumables!$H$5:$H$856,"Auto-deduct")</f>
        <v>0</v>
      </c>
      <c r="O44" s="15" t="n">
        <f aca="false">SUMIFS(Service_Consumables!$L$5:$L$856,Service_Consumables!$A$5:$A$856,$A44,Service_Consumables!$E$5:$E$856,O$5,Service_Consumables!$H$5:$H$856,"Auto-deduct")</f>
        <v>0</v>
      </c>
      <c r="P44" s="15" t="n">
        <f aca="false">SUMIFS(Service_Consumables!$L$5:$L$856,Service_Consumables!$A$5:$A$856,$A44,Service_Consumables!$E$5:$E$856,P$5,Service_Consumables!$H$5:$H$856,"Auto-deduct")</f>
        <v>1</v>
      </c>
      <c r="Q44" s="15" t="n">
        <f aca="false">SUMIFS(Service_Consumables!$L$5:$L$856,Service_Consumables!$A$5:$A$856,$A44,Service_Consumables!$E$5:$E$856,Q$5,Service_Consumables!$H$5:$H$856,"Auto-deduct")</f>
        <v>1</v>
      </c>
      <c r="R44" s="15" t="n">
        <f aca="false">SUMIFS(Service_Consumables!$L$5:$L$856,Service_Consumables!$A$5:$A$856,$A44,Service_Consumables!$E$5:$E$856,R$5,Service_Consumables!$H$5:$H$856,"Auto-deduct")</f>
        <v>0</v>
      </c>
      <c r="S44" s="15" t="n">
        <f aca="false">SUMIFS(Service_Consumables!$L$5:$L$856,Service_Consumables!$A$5:$A$856,$A44,Service_Consumables!$E$5:$E$856,S$5,Service_Consumables!$H$5:$H$856,"Auto-deduct")</f>
        <v>0</v>
      </c>
      <c r="T44" s="15" t="n">
        <f aca="false">SUMIFS(Service_Consumables!$L$5:$L$856,Service_Consumables!$A$5:$A$856,$A44,Service_Consumables!$E$5:$E$856,T$5,Service_Consumables!$H$5:$H$856,"Auto-deduct")</f>
        <v>0</v>
      </c>
      <c r="U44" s="15" t="n">
        <f aca="false">SUMIFS(Service_Consumables!$L$5:$L$856,Service_Consumables!$A$5:$A$856,$A44,Service_Consumables!$E$5:$E$856,U$5,Service_Consumables!$H$5:$H$856,"Auto-deduct")</f>
        <v>0</v>
      </c>
      <c r="V44" s="15" t="n">
        <f aca="false">SUMIFS(Service_Consumables!$L$5:$L$856,Service_Consumables!$A$5:$A$856,$A44,Service_Consumables!$E$5:$E$856,V$5,Service_Consumables!$H$5:$H$856,"Auto-deduct")</f>
        <v>0</v>
      </c>
      <c r="W44" s="15" t="n">
        <f aca="false">SUMIFS(Service_Consumables!$L$5:$L$856,Service_Consumables!$A$5:$A$856,$A44,Service_Consumables!$E$5:$E$856,W$5,Service_Consumables!$H$5:$H$856,"Auto-deduct")</f>
        <v>0</v>
      </c>
      <c r="X44" s="15" t="n">
        <f aca="false">SUMIFS(Service_Consumables!$L$5:$L$856,Service_Consumables!$A$5:$A$856,$A44,Service_Consumables!$E$5:$E$856,X$5,Service_Consumables!$H$5:$H$856,"Auto-deduct")</f>
        <v>0</v>
      </c>
      <c r="Y44" s="15" t="n">
        <f aca="false">SUMIFS(Service_Consumables!$L$5:$L$856,Service_Consumables!$A$5:$A$856,$A44,Service_Consumables!$E$5:$E$856,Y$5,Service_Consumables!$H$5:$H$856,"Auto-deduct")</f>
        <v>0</v>
      </c>
      <c r="Z44" s="15" t="n">
        <f aca="false">SUMIFS(Service_Consumables!$L$5:$L$856,Service_Consumables!$A$5:$A$856,$A44,Service_Consumables!$E$5:$E$856,Z$5,Service_Consumables!$H$5:$H$856,"Auto-deduct")</f>
        <v>30</v>
      </c>
      <c r="AA44" s="15" t="n">
        <f aca="false">SUMIFS(Service_Consumables!$L$5:$L$856,Service_Consumables!$A$5:$A$856,$A44,Service_Consumables!$E$5:$E$856,AA$5,Service_Consumables!$H$5:$H$856,"Auto-deduct")</f>
        <v>0</v>
      </c>
      <c r="AB44" s="15" t="n">
        <f aca="false">SUMIFS(Service_Consumables!$L$5:$L$856,Service_Consumables!$A$5:$A$856,$A44,Service_Consumables!$E$5:$E$856,AB$5,Service_Consumables!$H$5:$H$856,"Auto-deduct")</f>
        <v>5</v>
      </c>
      <c r="AC44" s="15" t="n">
        <f aca="false">SUMIFS(Service_Consumables!$L$5:$L$856,Service_Consumables!$A$5:$A$856,$A44,Service_Consumables!$E$5:$E$856,AC$5,Service_Consumables!$H$5:$H$856,"Auto-deduct")</f>
        <v>4.5</v>
      </c>
      <c r="AD44" s="15" t="n">
        <f aca="false">SUMIFS(Service_Consumables!$L$5:$L$856,Service_Consumables!$A$5:$A$856,$A44,Service_Consumables!$E$5:$E$856,AD$5,Service_Consumables!$H$5:$H$856,"Auto-deduct")</f>
        <v>20</v>
      </c>
      <c r="AE44" s="15" t="n">
        <f aca="false">SUMIFS(Service_Consumables!$L$5:$L$856,Service_Consumables!$A$5:$A$856,$A44,Service_Consumables!$E$5:$E$856,AE$5,Service_Consumables!$H$5:$H$856,"Auto-deduct")</f>
        <v>0</v>
      </c>
      <c r="AF44" s="15" t="n">
        <f aca="false">SUMIFS(Service_Consumables!$L$5:$L$856,Service_Consumables!$A$5:$A$856,$A44,Service_Consumables!$E$5:$E$856,AF$5,Service_Consumables!$H$5:$H$856,"Auto-deduct")</f>
        <v>0</v>
      </c>
      <c r="AG44" s="15" t="n">
        <f aca="false">SUMIFS(Service_Consumables!$L$5:$L$856,Service_Consumables!$A$5:$A$856,$A44,Service_Consumables!$E$5:$E$856,AG$5,Service_Consumables!$H$5:$H$856,"Auto-deduct")</f>
        <v>0</v>
      </c>
      <c r="AH44" s="15" t="n">
        <f aca="false">SUMIFS(Service_Consumables!$L$5:$L$856,Service_Consumables!$A$5:$A$856,$A44,Service_Consumables!$E$5:$E$856,AH$5,Service_Consumables!$H$5:$H$856,"Auto-deduct")</f>
        <v>0</v>
      </c>
      <c r="AI44" s="15" t="n">
        <f aca="false">SUMIFS(Service_Consumables!$L$5:$L$856,Service_Consumables!$A$5:$A$856,$A44,Service_Consumables!$E$5:$E$856,AI$5,Service_Consumables!$H$5:$H$856,"Auto-deduct")</f>
        <v>0</v>
      </c>
      <c r="AJ44" s="15" t="n">
        <f aca="false">SUMIFS(Service_Consumables!$L$5:$L$856,Service_Consumables!$A$5:$A$856,$A44,Service_Consumables!$E$5:$E$856,AJ$5,Service_Consumables!$H$5:$H$856,"Auto-deduct")</f>
        <v>0</v>
      </c>
      <c r="AK44" s="15" t="n">
        <f aca="false">SUMIFS(Service_Consumables!$L$5:$L$856,Service_Consumables!$A$5:$A$856,$A44,Service_Consumables!$E$5:$E$856,AK$5,Service_Consumables!$H$5:$H$856,"Auto-deduct")</f>
        <v>0</v>
      </c>
      <c r="AL44" s="15" t="n">
        <f aca="false">SUMIFS(Service_Consumables!$L$5:$L$856,Service_Consumables!$A$5:$A$856,$A44,Service_Consumables!$E$5:$E$856,AL$5,Service_Consumables!$H$5:$H$856,"Auto-deduct")</f>
        <v>0</v>
      </c>
      <c r="AM44" s="15" t="n">
        <f aca="false">SUMIFS(Service_Consumables!$L$5:$L$856,Service_Consumables!$A$5:$A$856,$A44,Service_Consumables!$E$5:$E$856,AM$5,Service_Consumables!$H$5:$H$856,"Auto-deduct")</f>
        <v>0</v>
      </c>
      <c r="AN44" s="15" t="n">
        <f aca="false">SUMIFS(Service_Consumables!$L$5:$L$856,Service_Consumables!$A$5:$A$856,$A44,Service_Consumables!$E$5:$E$856,AN$5,Service_Consumables!$H$5:$H$856,"Auto-deduct")</f>
        <v>0</v>
      </c>
      <c r="AO44" s="15" t="n">
        <f aca="false">SUMIFS(Service_Consumables!$L$5:$L$856,Service_Consumables!$A$5:$A$856,$A44,Service_Consumables!$E$5:$E$856,AO$5,Service_Consumables!$H$5:$H$856,"Auto-deduct")</f>
        <v>0</v>
      </c>
      <c r="AP44" s="15" t="n">
        <f aca="false">SUMIFS(Service_Consumables!$L$5:$L$856,Service_Consumables!$A$5:$A$856,$A44,Service_Consumables!$E$5:$E$856,AP$5,Service_Consumables!$H$5:$H$856,"Auto-deduct")</f>
        <v>0</v>
      </c>
      <c r="AQ44" s="15" t="n">
        <f aca="false">SUMIFS(Service_Consumables!$L$5:$L$856,Service_Consumables!$A$5:$A$856,$A44,Service_Consumables!$E$5:$E$856,AQ$5,Service_Consumables!$H$5:$H$856,"Auto-deduct")</f>
        <v>0</v>
      </c>
      <c r="AR44" s="15" t="n">
        <f aca="false">SUMIFS(Service_Consumables!$L$5:$L$856,Service_Consumables!$A$5:$A$856,$A44,Service_Consumables!$E$5:$E$856,AR$5,Service_Consumables!$H$5:$H$856,"Auto-deduct")</f>
        <v>0</v>
      </c>
      <c r="AS44" s="15" t="n">
        <f aca="false">SUMIFS(Service_Consumables!$L$5:$L$856,Service_Consumables!$A$5:$A$856,$A44,Service_Consumables!$E$5:$E$856,AS$5,Service_Consumables!$H$5:$H$856,"Auto-deduct")</f>
        <v>0</v>
      </c>
      <c r="AT44" s="15" t="n">
        <f aca="false">SUMIFS(Service_Consumables!$L$5:$L$856,Service_Consumables!$A$5:$A$856,$A44,Service_Consumables!$E$5:$E$856,AT$5,Service_Consumables!$H$5:$H$856,"Auto-deduct")</f>
        <v>0</v>
      </c>
      <c r="AU44" s="15" t="n">
        <f aca="false">SUMIFS(Service_Consumables!$L$5:$L$856,Service_Consumables!$A$5:$A$856,$A44,Service_Consumables!$E$5:$E$856,AU$5,Service_Consumables!$H$5:$H$856,"Auto-deduct")</f>
        <v>0</v>
      </c>
      <c r="AV44" s="15" t="n">
        <f aca="false">SUMIFS(Service_Consumables!$L$5:$L$856,Service_Consumables!$A$5:$A$856,$A44,Service_Consumables!$E$5:$E$856,AV$5,Service_Consumables!$H$5:$H$856,"Auto-deduct")</f>
        <v>0</v>
      </c>
      <c r="AW44" s="15" t="n">
        <f aca="false">SUMIFS(Service_Consumables!$L$5:$L$856,Service_Consumables!$A$5:$A$856,$A44,Service_Consumables!$E$5:$E$856,AW$5,Service_Consumables!$H$5:$H$856,"Auto-deduct")</f>
        <v>0</v>
      </c>
      <c r="AX44" s="15" t="n">
        <f aca="false">SUMIFS(Service_Consumables!$L$5:$L$856,Service_Consumables!$A$5:$A$856,$A44,Service_Consumables!$E$5:$E$856,AX$5,Service_Consumables!$H$5:$H$856,"Auto-deduct")</f>
        <v>0</v>
      </c>
      <c r="AY44" s="15" t="n">
        <f aca="false">SUMIFS(Service_Consumables!$L$5:$L$856,Service_Consumables!$A$5:$A$856,$A44,Service_Consumables!$E$5:$E$856,AY$5,Service_Consumables!$H$5:$H$856,"Auto-deduct")</f>
        <v>0</v>
      </c>
      <c r="AZ44" s="15" t="n">
        <f aca="false">SUMIFS(Service_Consumables!$L$5:$L$856,Service_Consumables!$A$5:$A$856,$A44,Service_Consumables!$E$5:$E$856,AZ$5,Service_Consumables!$H$5:$H$856,"Auto-deduct")</f>
        <v>0</v>
      </c>
      <c r="BA44" s="15" t="n">
        <f aca="false">SUMIFS(Service_Consumables!$L$5:$L$856,Service_Consumables!$A$5:$A$856,$A44,Service_Consumables!$E$5:$E$856,BA$5,Service_Consumables!$H$5:$H$856,"Auto-deduct")</f>
        <v>0</v>
      </c>
      <c r="BB44" s="15" t="n">
        <f aca="false">SUMIFS(Service_Consumables!$L$5:$L$856,Service_Consumables!$A$5:$A$856,$A44,Service_Consumables!$E$5:$E$856,BB$5,Service_Consumables!$H$5:$H$856,"Auto-deduct")</f>
        <v>0</v>
      </c>
      <c r="BC44" s="15" t="n">
        <f aca="false">SUMIFS(Service_Consumables!$L$5:$L$856,Service_Consumables!$A$5:$A$856,$A44,Service_Consumables!$E$5:$E$856,BC$5,Service_Consumables!$H$5:$H$856,"Auto-deduct")</f>
        <v>0</v>
      </c>
      <c r="BD44" s="15" t="n">
        <f aca="false">SUMIFS(Service_Consumables!$L$5:$L$856,Service_Consumables!$A$5:$A$856,$A44,Service_Consumables!$E$5:$E$856,BD$5,Service_Consumables!$H$5:$H$856,"Auto-deduct")</f>
        <v>0</v>
      </c>
      <c r="BE44" s="15" t="n">
        <f aca="false">SUMIFS(Service_Consumables!$L$5:$L$856,Service_Consumables!$A$5:$A$856,$A44,Service_Consumables!$E$5:$E$856,BE$5,Service_Consumables!$H$5:$H$856,"Auto-deduct")</f>
        <v>0</v>
      </c>
      <c r="BF44" s="15" t="n">
        <f aca="false">SUMIFS(Service_Consumables!$L$5:$L$856,Service_Consumables!$A$5:$A$856,$A44,Service_Consumables!$E$5:$E$856,BF$5,Service_Consumables!$H$5:$H$856,"Auto-deduct")</f>
        <v>0</v>
      </c>
      <c r="BG44" s="15" t="n">
        <f aca="false">SUMIFS(Service_Consumables!$L$5:$L$856,Service_Consumables!$A$5:$A$856,$A44,Service_Consumables!$E$5:$E$856,BG$5,Service_Consumables!$H$5:$H$856,"Auto-deduct")</f>
        <v>0</v>
      </c>
      <c r="BH44" s="15" t="n">
        <f aca="false">SUMIFS(Service_Consumables!$L$5:$L$856,Service_Consumables!$A$5:$A$856,$A44,Service_Consumables!$E$5:$E$856,BH$5,Service_Consumables!$H$5:$H$856,"Auto-deduct")</f>
        <v>0</v>
      </c>
      <c r="BI44" s="15" t="n">
        <f aca="false">SUMIFS(Service_Consumables!$L$5:$L$856,Service_Consumables!$A$5:$A$856,$A44,Service_Consumables!$E$5:$E$856,BI$5,Service_Consumables!$H$5:$H$856,"Auto-deduct")</f>
        <v>4.5</v>
      </c>
    </row>
    <row r="45" customFormat="false" ht="15" hidden="false" customHeight="false" outlineLevel="0" collapsed="false">
      <c r="A45" s="14" t="n">
        <f aca="false">Services!A44</f>
        <v>40</v>
      </c>
      <c r="B45" s="14" t="str">
        <f aca="false">Services!B44</f>
        <v>Mesotherapy (MT)</v>
      </c>
      <c r="C45" s="14" t="str">
        <f aca="false">Services!C44</f>
        <v>Thigh</v>
      </c>
      <c r="D45" s="15" t="n">
        <f aca="false">SUMIFS(Service_Consumables!$L$5:$L$856,Service_Consumables!$A$5:$A$856,$A45,Service_Consumables!$E$5:$E$856,D$5,Service_Consumables!$H$5:$H$856,"Auto-deduct")</f>
        <v>0</v>
      </c>
      <c r="E45" s="15" t="n">
        <f aca="false">SUMIFS(Service_Consumables!$L$5:$L$856,Service_Consumables!$A$5:$A$856,$A45,Service_Consumables!$E$5:$E$856,E$5,Service_Consumables!$H$5:$H$856,"Auto-deduct")</f>
        <v>3</v>
      </c>
      <c r="F45" s="15" t="n">
        <f aca="false">SUMIFS(Service_Consumables!$L$5:$L$856,Service_Consumables!$A$5:$A$856,$A45,Service_Consumables!$E$5:$E$856,F$5,Service_Consumables!$H$5:$H$856,"Auto-deduct")</f>
        <v>0</v>
      </c>
      <c r="G45" s="15" t="n">
        <f aca="false">SUMIFS(Service_Consumables!$L$5:$L$856,Service_Consumables!$A$5:$A$856,$A45,Service_Consumables!$E$5:$E$856,G$5,Service_Consumables!$H$5:$H$856,"Auto-deduct")</f>
        <v>0</v>
      </c>
      <c r="H45" s="15" t="n">
        <f aca="false">SUMIFS(Service_Consumables!$L$5:$L$856,Service_Consumables!$A$5:$A$856,$A45,Service_Consumables!$E$5:$E$856,H$5,Service_Consumables!$H$5:$H$856,"Auto-deduct")</f>
        <v>3</v>
      </c>
      <c r="I45" s="15" t="n">
        <f aca="false">SUMIFS(Service_Consumables!$L$5:$L$856,Service_Consumables!$A$5:$A$856,$A45,Service_Consumables!$E$5:$E$856,I$5,Service_Consumables!$H$5:$H$856,"Auto-deduct")</f>
        <v>3</v>
      </c>
      <c r="J45" s="15" t="n">
        <f aca="false">SUMIFS(Service_Consumables!$L$5:$L$856,Service_Consumables!$A$5:$A$856,$A45,Service_Consumables!$E$5:$E$856,J$5,Service_Consumables!$H$5:$H$856,"Auto-deduct")</f>
        <v>0</v>
      </c>
      <c r="K45" s="15" t="n">
        <f aca="false">SUMIFS(Service_Consumables!$L$5:$L$856,Service_Consumables!$A$5:$A$856,$A45,Service_Consumables!$E$5:$E$856,K$5,Service_Consumables!$H$5:$H$856,"Auto-deduct")</f>
        <v>0</v>
      </c>
      <c r="L45" s="15" t="n">
        <f aca="false">SUMIFS(Service_Consumables!$L$5:$L$856,Service_Consumables!$A$5:$A$856,$A45,Service_Consumables!$E$5:$E$856,L$5,Service_Consumables!$H$5:$H$856,"Auto-deduct")</f>
        <v>1</v>
      </c>
      <c r="M45" s="15" t="n">
        <f aca="false">SUMIFS(Service_Consumables!$L$5:$L$856,Service_Consumables!$A$5:$A$856,$A45,Service_Consumables!$E$5:$E$856,M$5,Service_Consumables!$H$5:$H$856,"Auto-deduct")</f>
        <v>0</v>
      </c>
      <c r="N45" s="15" t="n">
        <f aca="false">SUMIFS(Service_Consumables!$L$5:$L$856,Service_Consumables!$A$5:$A$856,$A45,Service_Consumables!$E$5:$E$856,N$5,Service_Consumables!$H$5:$H$856,"Auto-deduct")</f>
        <v>0</v>
      </c>
      <c r="O45" s="15" t="n">
        <f aca="false">SUMIFS(Service_Consumables!$L$5:$L$856,Service_Consumables!$A$5:$A$856,$A45,Service_Consumables!$E$5:$E$856,O$5,Service_Consumables!$H$5:$H$856,"Auto-deduct")</f>
        <v>0</v>
      </c>
      <c r="P45" s="15" t="n">
        <f aca="false">SUMIFS(Service_Consumables!$L$5:$L$856,Service_Consumables!$A$5:$A$856,$A45,Service_Consumables!$E$5:$E$856,P$5,Service_Consumables!$H$5:$H$856,"Auto-deduct")</f>
        <v>1</v>
      </c>
      <c r="Q45" s="15" t="n">
        <f aca="false">SUMIFS(Service_Consumables!$L$5:$L$856,Service_Consumables!$A$5:$A$856,$A45,Service_Consumables!$E$5:$E$856,Q$5,Service_Consumables!$H$5:$H$856,"Auto-deduct")</f>
        <v>1</v>
      </c>
      <c r="R45" s="15" t="n">
        <f aca="false">SUMIFS(Service_Consumables!$L$5:$L$856,Service_Consumables!$A$5:$A$856,$A45,Service_Consumables!$E$5:$E$856,R$5,Service_Consumables!$H$5:$H$856,"Auto-deduct")</f>
        <v>0</v>
      </c>
      <c r="S45" s="15" t="n">
        <f aca="false">SUMIFS(Service_Consumables!$L$5:$L$856,Service_Consumables!$A$5:$A$856,$A45,Service_Consumables!$E$5:$E$856,S$5,Service_Consumables!$H$5:$H$856,"Auto-deduct")</f>
        <v>0</v>
      </c>
      <c r="T45" s="15" t="n">
        <f aca="false">SUMIFS(Service_Consumables!$L$5:$L$856,Service_Consumables!$A$5:$A$856,$A45,Service_Consumables!$E$5:$E$856,T$5,Service_Consumables!$H$5:$H$856,"Auto-deduct")</f>
        <v>0</v>
      </c>
      <c r="U45" s="15" t="n">
        <f aca="false">SUMIFS(Service_Consumables!$L$5:$L$856,Service_Consumables!$A$5:$A$856,$A45,Service_Consumables!$E$5:$E$856,U$5,Service_Consumables!$H$5:$H$856,"Auto-deduct")</f>
        <v>0</v>
      </c>
      <c r="V45" s="15" t="n">
        <f aca="false">SUMIFS(Service_Consumables!$L$5:$L$856,Service_Consumables!$A$5:$A$856,$A45,Service_Consumables!$E$5:$E$856,V$5,Service_Consumables!$H$5:$H$856,"Auto-deduct")</f>
        <v>0</v>
      </c>
      <c r="W45" s="15" t="n">
        <f aca="false">SUMIFS(Service_Consumables!$L$5:$L$856,Service_Consumables!$A$5:$A$856,$A45,Service_Consumables!$E$5:$E$856,W$5,Service_Consumables!$H$5:$H$856,"Auto-deduct")</f>
        <v>0</v>
      </c>
      <c r="X45" s="15" t="n">
        <f aca="false">SUMIFS(Service_Consumables!$L$5:$L$856,Service_Consumables!$A$5:$A$856,$A45,Service_Consumables!$E$5:$E$856,X$5,Service_Consumables!$H$5:$H$856,"Auto-deduct")</f>
        <v>0</v>
      </c>
      <c r="Y45" s="15" t="n">
        <f aca="false">SUMIFS(Service_Consumables!$L$5:$L$856,Service_Consumables!$A$5:$A$856,$A45,Service_Consumables!$E$5:$E$856,Y$5,Service_Consumables!$H$5:$H$856,"Auto-deduct")</f>
        <v>0</v>
      </c>
      <c r="Z45" s="15" t="n">
        <f aca="false">SUMIFS(Service_Consumables!$L$5:$L$856,Service_Consumables!$A$5:$A$856,$A45,Service_Consumables!$E$5:$E$856,Z$5,Service_Consumables!$H$5:$H$856,"Auto-deduct")</f>
        <v>30</v>
      </c>
      <c r="AA45" s="15" t="n">
        <f aca="false">SUMIFS(Service_Consumables!$L$5:$L$856,Service_Consumables!$A$5:$A$856,$A45,Service_Consumables!$E$5:$E$856,AA$5,Service_Consumables!$H$5:$H$856,"Auto-deduct")</f>
        <v>0</v>
      </c>
      <c r="AB45" s="15" t="n">
        <f aca="false">SUMIFS(Service_Consumables!$L$5:$L$856,Service_Consumables!$A$5:$A$856,$A45,Service_Consumables!$E$5:$E$856,AB$5,Service_Consumables!$H$5:$H$856,"Auto-deduct")</f>
        <v>5</v>
      </c>
      <c r="AC45" s="15" t="n">
        <f aca="false">SUMIFS(Service_Consumables!$L$5:$L$856,Service_Consumables!$A$5:$A$856,$A45,Service_Consumables!$E$5:$E$856,AC$5,Service_Consumables!$H$5:$H$856,"Auto-deduct")</f>
        <v>4.5</v>
      </c>
      <c r="AD45" s="15" t="n">
        <f aca="false">SUMIFS(Service_Consumables!$L$5:$L$856,Service_Consumables!$A$5:$A$856,$A45,Service_Consumables!$E$5:$E$856,AD$5,Service_Consumables!$H$5:$H$856,"Auto-deduct")</f>
        <v>20</v>
      </c>
      <c r="AE45" s="15" t="n">
        <f aca="false">SUMIFS(Service_Consumables!$L$5:$L$856,Service_Consumables!$A$5:$A$856,$A45,Service_Consumables!$E$5:$E$856,AE$5,Service_Consumables!$H$5:$H$856,"Auto-deduct")</f>
        <v>0</v>
      </c>
      <c r="AF45" s="15" t="n">
        <f aca="false">SUMIFS(Service_Consumables!$L$5:$L$856,Service_Consumables!$A$5:$A$856,$A45,Service_Consumables!$E$5:$E$856,AF$5,Service_Consumables!$H$5:$H$856,"Auto-deduct")</f>
        <v>0</v>
      </c>
      <c r="AG45" s="15" t="n">
        <f aca="false">SUMIFS(Service_Consumables!$L$5:$L$856,Service_Consumables!$A$5:$A$856,$A45,Service_Consumables!$E$5:$E$856,AG$5,Service_Consumables!$H$5:$H$856,"Auto-deduct")</f>
        <v>0</v>
      </c>
      <c r="AH45" s="15" t="n">
        <f aca="false">SUMIFS(Service_Consumables!$L$5:$L$856,Service_Consumables!$A$5:$A$856,$A45,Service_Consumables!$E$5:$E$856,AH$5,Service_Consumables!$H$5:$H$856,"Auto-deduct")</f>
        <v>0</v>
      </c>
      <c r="AI45" s="15" t="n">
        <f aca="false">SUMIFS(Service_Consumables!$L$5:$L$856,Service_Consumables!$A$5:$A$856,$A45,Service_Consumables!$E$5:$E$856,AI$5,Service_Consumables!$H$5:$H$856,"Auto-deduct")</f>
        <v>0</v>
      </c>
      <c r="AJ45" s="15" t="n">
        <f aca="false">SUMIFS(Service_Consumables!$L$5:$L$856,Service_Consumables!$A$5:$A$856,$A45,Service_Consumables!$E$5:$E$856,AJ$5,Service_Consumables!$H$5:$H$856,"Auto-deduct")</f>
        <v>0</v>
      </c>
      <c r="AK45" s="15" t="n">
        <f aca="false">SUMIFS(Service_Consumables!$L$5:$L$856,Service_Consumables!$A$5:$A$856,$A45,Service_Consumables!$E$5:$E$856,AK$5,Service_Consumables!$H$5:$H$856,"Auto-deduct")</f>
        <v>0</v>
      </c>
      <c r="AL45" s="15" t="n">
        <f aca="false">SUMIFS(Service_Consumables!$L$5:$L$856,Service_Consumables!$A$5:$A$856,$A45,Service_Consumables!$E$5:$E$856,AL$5,Service_Consumables!$H$5:$H$856,"Auto-deduct")</f>
        <v>0</v>
      </c>
      <c r="AM45" s="15" t="n">
        <f aca="false">SUMIFS(Service_Consumables!$L$5:$L$856,Service_Consumables!$A$5:$A$856,$A45,Service_Consumables!$E$5:$E$856,AM$5,Service_Consumables!$H$5:$H$856,"Auto-deduct")</f>
        <v>0</v>
      </c>
      <c r="AN45" s="15" t="n">
        <f aca="false">SUMIFS(Service_Consumables!$L$5:$L$856,Service_Consumables!$A$5:$A$856,$A45,Service_Consumables!$E$5:$E$856,AN$5,Service_Consumables!$H$5:$H$856,"Auto-deduct")</f>
        <v>0</v>
      </c>
      <c r="AO45" s="15" t="n">
        <f aca="false">SUMIFS(Service_Consumables!$L$5:$L$856,Service_Consumables!$A$5:$A$856,$A45,Service_Consumables!$E$5:$E$856,AO$5,Service_Consumables!$H$5:$H$856,"Auto-deduct")</f>
        <v>0</v>
      </c>
      <c r="AP45" s="15" t="n">
        <f aca="false">SUMIFS(Service_Consumables!$L$5:$L$856,Service_Consumables!$A$5:$A$856,$A45,Service_Consumables!$E$5:$E$856,AP$5,Service_Consumables!$H$5:$H$856,"Auto-deduct")</f>
        <v>0</v>
      </c>
      <c r="AQ45" s="15" t="n">
        <f aca="false">SUMIFS(Service_Consumables!$L$5:$L$856,Service_Consumables!$A$5:$A$856,$A45,Service_Consumables!$E$5:$E$856,AQ$5,Service_Consumables!$H$5:$H$856,"Auto-deduct")</f>
        <v>0</v>
      </c>
      <c r="AR45" s="15" t="n">
        <f aca="false">SUMIFS(Service_Consumables!$L$5:$L$856,Service_Consumables!$A$5:$A$856,$A45,Service_Consumables!$E$5:$E$856,AR$5,Service_Consumables!$H$5:$H$856,"Auto-deduct")</f>
        <v>0</v>
      </c>
      <c r="AS45" s="15" t="n">
        <f aca="false">SUMIFS(Service_Consumables!$L$5:$L$856,Service_Consumables!$A$5:$A$856,$A45,Service_Consumables!$E$5:$E$856,AS$5,Service_Consumables!$H$5:$H$856,"Auto-deduct")</f>
        <v>0</v>
      </c>
      <c r="AT45" s="15" t="n">
        <f aca="false">SUMIFS(Service_Consumables!$L$5:$L$856,Service_Consumables!$A$5:$A$856,$A45,Service_Consumables!$E$5:$E$856,AT$5,Service_Consumables!$H$5:$H$856,"Auto-deduct")</f>
        <v>0</v>
      </c>
      <c r="AU45" s="15" t="n">
        <f aca="false">SUMIFS(Service_Consumables!$L$5:$L$856,Service_Consumables!$A$5:$A$856,$A45,Service_Consumables!$E$5:$E$856,AU$5,Service_Consumables!$H$5:$H$856,"Auto-deduct")</f>
        <v>0</v>
      </c>
      <c r="AV45" s="15" t="n">
        <f aca="false">SUMIFS(Service_Consumables!$L$5:$L$856,Service_Consumables!$A$5:$A$856,$A45,Service_Consumables!$E$5:$E$856,AV$5,Service_Consumables!$H$5:$H$856,"Auto-deduct")</f>
        <v>0</v>
      </c>
      <c r="AW45" s="15" t="n">
        <f aca="false">SUMIFS(Service_Consumables!$L$5:$L$856,Service_Consumables!$A$5:$A$856,$A45,Service_Consumables!$E$5:$E$856,AW$5,Service_Consumables!$H$5:$H$856,"Auto-deduct")</f>
        <v>0</v>
      </c>
      <c r="AX45" s="15" t="n">
        <f aca="false">SUMIFS(Service_Consumables!$L$5:$L$856,Service_Consumables!$A$5:$A$856,$A45,Service_Consumables!$E$5:$E$856,AX$5,Service_Consumables!$H$5:$H$856,"Auto-deduct")</f>
        <v>0</v>
      </c>
      <c r="AY45" s="15" t="n">
        <f aca="false">SUMIFS(Service_Consumables!$L$5:$L$856,Service_Consumables!$A$5:$A$856,$A45,Service_Consumables!$E$5:$E$856,AY$5,Service_Consumables!$H$5:$H$856,"Auto-deduct")</f>
        <v>0</v>
      </c>
      <c r="AZ45" s="15" t="n">
        <f aca="false">SUMIFS(Service_Consumables!$L$5:$L$856,Service_Consumables!$A$5:$A$856,$A45,Service_Consumables!$E$5:$E$856,AZ$5,Service_Consumables!$H$5:$H$856,"Auto-deduct")</f>
        <v>0</v>
      </c>
      <c r="BA45" s="15" t="n">
        <f aca="false">SUMIFS(Service_Consumables!$L$5:$L$856,Service_Consumables!$A$5:$A$856,$A45,Service_Consumables!$E$5:$E$856,BA$5,Service_Consumables!$H$5:$H$856,"Auto-deduct")</f>
        <v>0</v>
      </c>
      <c r="BB45" s="15" t="n">
        <f aca="false">SUMIFS(Service_Consumables!$L$5:$L$856,Service_Consumables!$A$5:$A$856,$A45,Service_Consumables!$E$5:$E$856,BB$5,Service_Consumables!$H$5:$H$856,"Auto-deduct")</f>
        <v>0</v>
      </c>
      <c r="BC45" s="15" t="n">
        <f aca="false">SUMIFS(Service_Consumables!$L$5:$L$856,Service_Consumables!$A$5:$A$856,$A45,Service_Consumables!$E$5:$E$856,BC$5,Service_Consumables!$H$5:$H$856,"Auto-deduct")</f>
        <v>0</v>
      </c>
      <c r="BD45" s="15" t="n">
        <f aca="false">SUMIFS(Service_Consumables!$L$5:$L$856,Service_Consumables!$A$5:$A$856,$A45,Service_Consumables!$E$5:$E$856,BD$5,Service_Consumables!$H$5:$H$856,"Auto-deduct")</f>
        <v>0</v>
      </c>
      <c r="BE45" s="15" t="n">
        <f aca="false">SUMIFS(Service_Consumables!$L$5:$L$856,Service_Consumables!$A$5:$A$856,$A45,Service_Consumables!$E$5:$E$856,BE$5,Service_Consumables!$H$5:$H$856,"Auto-deduct")</f>
        <v>0</v>
      </c>
      <c r="BF45" s="15" t="n">
        <f aca="false">SUMIFS(Service_Consumables!$L$5:$L$856,Service_Consumables!$A$5:$A$856,$A45,Service_Consumables!$E$5:$E$856,BF$5,Service_Consumables!$H$5:$H$856,"Auto-deduct")</f>
        <v>0</v>
      </c>
      <c r="BG45" s="15" t="n">
        <f aca="false">SUMIFS(Service_Consumables!$L$5:$L$856,Service_Consumables!$A$5:$A$856,$A45,Service_Consumables!$E$5:$E$856,BG$5,Service_Consumables!$H$5:$H$856,"Auto-deduct")</f>
        <v>0</v>
      </c>
      <c r="BH45" s="15" t="n">
        <f aca="false">SUMIFS(Service_Consumables!$L$5:$L$856,Service_Consumables!$A$5:$A$856,$A45,Service_Consumables!$E$5:$E$856,BH$5,Service_Consumables!$H$5:$H$856,"Auto-deduct")</f>
        <v>0</v>
      </c>
      <c r="BI45" s="15" t="n">
        <f aca="false">SUMIFS(Service_Consumables!$L$5:$L$856,Service_Consumables!$A$5:$A$856,$A45,Service_Consumables!$E$5:$E$856,BI$5,Service_Consumables!$H$5:$H$856,"Auto-deduct")</f>
        <v>4.5</v>
      </c>
    </row>
    <row r="46" customFormat="false" ht="15" hidden="false" customHeight="false" outlineLevel="0" collapsed="false">
      <c r="A46" s="14" t="n">
        <f aca="false">Services!A45</f>
        <v>41</v>
      </c>
      <c r="B46" s="14" t="str">
        <f aca="false">Services!B45</f>
        <v>Mesotherapy (MT)</v>
      </c>
      <c r="C46" s="14" t="str">
        <f aca="false">Services!C45</f>
        <v>Whole Body w/ BFR &amp; BT</v>
      </c>
      <c r="D46" s="15" t="n">
        <f aca="false">SUMIFS(Service_Consumables!$L$5:$L$856,Service_Consumables!$A$5:$A$856,$A46,Service_Consumables!$E$5:$E$856,D$5,Service_Consumables!$H$5:$H$856,"Auto-deduct")</f>
        <v>0</v>
      </c>
      <c r="E46" s="15" t="n">
        <f aca="false">SUMIFS(Service_Consumables!$L$5:$L$856,Service_Consumables!$A$5:$A$856,$A46,Service_Consumables!$E$5:$E$856,E$5,Service_Consumables!$H$5:$H$856,"Auto-deduct")</f>
        <v>12</v>
      </c>
      <c r="F46" s="15" t="n">
        <f aca="false">SUMIFS(Service_Consumables!$L$5:$L$856,Service_Consumables!$A$5:$A$856,$A46,Service_Consumables!$E$5:$E$856,F$5,Service_Consumables!$H$5:$H$856,"Auto-deduct")</f>
        <v>0</v>
      </c>
      <c r="G46" s="15" t="n">
        <f aca="false">SUMIFS(Service_Consumables!$L$5:$L$856,Service_Consumables!$A$5:$A$856,$A46,Service_Consumables!$E$5:$E$856,G$5,Service_Consumables!$H$5:$H$856,"Auto-deduct")</f>
        <v>0</v>
      </c>
      <c r="H46" s="15" t="n">
        <f aca="false">SUMIFS(Service_Consumables!$L$5:$L$856,Service_Consumables!$A$5:$A$856,$A46,Service_Consumables!$E$5:$E$856,H$5,Service_Consumables!$H$5:$H$856,"Auto-deduct")</f>
        <v>12</v>
      </c>
      <c r="I46" s="15" t="n">
        <f aca="false">SUMIFS(Service_Consumables!$L$5:$L$856,Service_Consumables!$A$5:$A$856,$A46,Service_Consumables!$E$5:$E$856,I$5,Service_Consumables!$H$5:$H$856,"Auto-deduct")</f>
        <v>12</v>
      </c>
      <c r="J46" s="15" t="n">
        <f aca="false">SUMIFS(Service_Consumables!$L$5:$L$856,Service_Consumables!$A$5:$A$856,$A46,Service_Consumables!$E$5:$E$856,J$5,Service_Consumables!$H$5:$H$856,"Auto-deduct")</f>
        <v>0</v>
      </c>
      <c r="K46" s="15" t="n">
        <f aca="false">SUMIFS(Service_Consumables!$L$5:$L$856,Service_Consumables!$A$5:$A$856,$A46,Service_Consumables!$E$5:$E$856,K$5,Service_Consumables!$H$5:$H$856,"Auto-deduct")</f>
        <v>0</v>
      </c>
      <c r="L46" s="15" t="n">
        <f aca="false">SUMIFS(Service_Consumables!$L$5:$L$856,Service_Consumables!$A$5:$A$856,$A46,Service_Consumables!$E$5:$E$856,L$5,Service_Consumables!$H$5:$H$856,"Auto-deduct")</f>
        <v>1</v>
      </c>
      <c r="M46" s="15" t="n">
        <f aca="false">SUMIFS(Service_Consumables!$L$5:$L$856,Service_Consumables!$A$5:$A$856,$A46,Service_Consumables!$E$5:$E$856,M$5,Service_Consumables!$H$5:$H$856,"Auto-deduct")</f>
        <v>0</v>
      </c>
      <c r="N46" s="15" t="n">
        <f aca="false">SUMIFS(Service_Consumables!$L$5:$L$856,Service_Consumables!$A$5:$A$856,$A46,Service_Consumables!$E$5:$E$856,N$5,Service_Consumables!$H$5:$H$856,"Auto-deduct")</f>
        <v>0</v>
      </c>
      <c r="O46" s="15" t="n">
        <f aca="false">SUMIFS(Service_Consumables!$L$5:$L$856,Service_Consumables!$A$5:$A$856,$A46,Service_Consumables!$E$5:$E$856,O$5,Service_Consumables!$H$5:$H$856,"Auto-deduct")</f>
        <v>0</v>
      </c>
      <c r="P46" s="15" t="n">
        <f aca="false">SUMIFS(Service_Consumables!$L$5:$L$856,Service_Consumables!$A$5:$A$856,$A46,Service_Consumables!$E$5:$E$856,P$5,Service_Consumables!$H$5:$H$856,"Auto-deduct")</f>
        <v>1</v>
      </c>
      <c r="Q46" s="15" t="n">
        <f aca="false">SUMIFS(Service_Consumables!$L$5:$L$856,Service_Consumables!$A$5:$A$856,$A46,Service_Consumables!$E$5:$E$856,Q$5,Service_Consumables!$H$5:$H$856,"Auto-deduct")</f>
        <v>1</v>
      </c>
      <c r="R46" s="15" t="n">
        <f aca="false">SUMIFS(Service_Consumables!$L$5:$L$856,Service_Consumables!$A$5:$A$856,$A46,Service_Consumables!$E$5:$E$856,R$5,Service_Consumables!$H$5:$H$856,"Auto-deduct")</f>
        <v>0</v>
      </c>
      <c r="S46" s="15" t="n">
        <f aca="false">SUMIFS(Service_Consumables!$L$5:$L$856,Service_Consumables!$A$5:$A$856,$A46,Service_Consumables!$E$5:$E$856,S$5,Service_Consumables!$H$5:$H$856,"Auto-deduct")</f>
        <v>4</v>
      </c>
      <c r="T46" s="15" t="n">
        <f aca="false">SUMIFS(Service_Consumables!$L$5:$L$856,Service_Consumables!$A$5:$A$856,$A46,Service_Consumables!$E$5:$E$856,T$5,Service_Consumables!$H$5:$H$856,"Auto-deduct")</f>
        <v>0</v>
      </c>
      <c r="U46" s="15" t="n">
        <f aca="false">SUMIFS(Service_Consumables!$L$5:$L$856,Service_Consumables!$A$5:$A$856,$A46,Service_Consumables!$E$5:$E$856,U$5,Service_Consumables!$H$5:$H$856,"Auto-deduct")</f>
        <v>72</v>
      </c>
      <c r="V46" s="15" t="n">
        <f aca="false">SUMIFS(Service_Consumables!$L$5:$L$856,Service_Consumables!$A$5:$A$856,$A46,Service_Consumables!$E$5:$E$856,V$5,Service_Consumables!$H$5:$H$856,"Auto-deduct")</f>
        <v>0</v>
      </c>
      <c r="W46" s="15" t="n">
        <f aca="false">SUMIFS(Service_Consumables!$L$5:$L$856,Service_Consumables!$A$5:$A$856,$A46,Service_Consumables!$E$5:$E$856,W$5,Service_Consumables!$H$5:$H$856,"Auto-deduct")</f>
        <v>0</v>
      </c>
      <c r="X46" s="15" t="n">
        <f aca="false">SUMIFS(Service_Consumables!$L$5:$L$856,Service_Consumables!$A$5:$A$856,$A46,Service_Consumables!$E$5:$E$856,X$5,Service_Consumables!$H$5:$H$856,"Auto-deduct")</f>
        <v>0</v>
      </c>
      <c r="Y46" s="15" t="n">
        <f aca="false">SUMIFS(Service_Consumables!$L$5:$L$856,Service_Consumables!$A$5:$A$856,$A46,Service_Consumables!$E$5:$E$856,Y$5,Service_Consumables!$H$5:$H$856,"Auto-deduct")</f>
        <v>0</v>
      </c>
      <c r="Z46" s="15" t="n">
        <f aca="false">SUMIFS(Service_Consumables!$L$5:$L$856,Service_Consumables!$A$5:$A$856,$A46,Service_Consumables!$E$5:$E$856,Z$5,Service_Consumables!$H$5:$H$856,"Auto-deduct")</f>
        <v>120</v>
      </c>
      <c r="AA46" s="15" t="n">
        <f aca="false">SUMIFS(Service_Consumables!$L$5:$L$856,Service_Consumables!$A$5:$A$856,$A46,Service_Consumables!$E$5:$E$856,AA$5,Service_Consumables!$H$5:$H$856,"Auto-deduct")</f>
        <v>0</v>
      </c>
      <c r="AB46" s="15" t="n">
        <f aca="false">SUMIFS(Service_Consumables!$L$5:$L$856,Service_Consumables!$A$5:$A$856,$A46,Service_Consumables!$E$5:$E$856,AB$5,Service_Consumables!$H$5:$H$856,"Auto-deduct")</f>
        <v>18</v>
      </c>
      <c r="AC46" s="15" t="n">
        <f aca="false">SUMIFS(Service_Consumables!$L$5:$L$856,Service_Consumables!$A$5:$A$856,$A46,Service_Consumables!$E$5:$E$856,AC$5,Service_Consumables!$H$5:$H$856,"Auto-deduct")</f>
        <v>21</v>
      </c>
      <c r="AD46" s="15" t="n">
        <f aca="false">SUMIFS(Service_Consumables!$L$5:$L$856,Service_Consumables!$A$5:$A$856,$A46,Service_Consumables!$E$5:$E$856,AD$5,Service_Consumables!$H$5:$H$856,"Auto-deduct")</f>
        <v>65</v>
      </c>
      <c r="AE46" s="15" t="n">
        <f aca="false">SUMIFS(Service_Consumables!$L$5:$L$856,Service_Consumables!$A$5:$A$856,$A46,Service_Consumables!$E$5:$E$856,AE$5,Service_Consumables!$H$5:$H$856,"Auto-deduct")</f>
        <v>0</v>
      </c>
      <c r="AF46" s="15" t="n">
        <f aca="false">SUMIFS(Service_Consumables!$L$5:$L$856,Service_Consumables!$A$5:$A$856,$A46,Service_Consumables!$E$5:$E$856,AF$5,Service_Consumables!$H$5:$H$856,"Auto-deduct")</f>
        <v>0</v>
      </c>
      <c r="AG46" s="15" t="n">
        <f aca="false">SUMIFS(Service_Consumables!$L$5:$L$856,Service_Consumables!$A$5:$A$856,$A46,Service_Consumables!$E$5:$E$856,AG$5,Service_Consumables!$H$5:$H$856,"Auto-deduct")</f>
        <v>0</v>
      </c>
      <c r="AH46" s="15" t="n">
        <f aca="false">SUMIFS(Service_Consumables!$L$5:$L$856,Service_Consumables!$A$5:$A$856,$A46,Service_Consumables!$E$5:$E$856,AH$5,Service_Consumables!$H$5:$H$856,"Auto-deduct")</f>
        <v>0</v>
      </c>
      <c r="AI46" s="15" t="n">
        <f aca="false">SUMIFS(Service_Consumables!$L$5:$L$856,Service_Consumables!$A$5:$A$856,$A46,Service_Consumables!$E$5:$E$856,AI$5,Service_Consumables!$H$5:$H$856,"Auto-deduct")</f>
        <v>0</v>
      </c>
      <c r="AJ46" s="15" t="n">
        <f aca="false">SUMIFS(Service_Consumables!$L$5:$L$856,Service_Consumables!$A$5:$A$856,$A46,Service_Consumables!$E$5:$E$856,AJ$5,Service_Consumables!$H$5:$H$856,"Auto-deduct")</f>
        <v>0</v>
      </c>
      <c r="AK46" s="15" t="n">
        <f aca="false">SUMIFS(Service_Consumables!$L$5:$L$856,Service_Consumables!$A$5:$A$856,$A46,Service_Consumables!$E$5:$E$856,AK$5,Service_Consumables!$H$5:$H$856,"Auto-deduct")</f>
        <v>0</v>
      </c>
      <c r="AL46" s="15" t="n">
        <f aca="false">SUMIFS(Service_Consumables!$L$5:$L$856,Service_Consumables!$A$5:$A$856,$A46,Service_Consumables!$E$5:$E$856,AL$5,Service_Consumables!$H$5:$H$856,"Auto-deduct")</f>
        <v>0</v>
      </c>
      <c r="AM46" s="15" t="n">
        <f aca="false">SUMIFS(Service_Consumables!$L$5:$L$856,Service_Consumables!$A$5:$A$856,$A46,Service_Consumables!$E$5:$E$856,AM$5,Service_Consumables!$H$5:$H$856,"Auto-deduct")</f>
        <v>0</v>
      </c>
      <c r="AN46" s="15" t="n">
        <f aca="false">SUMIFS(Service_Consumables!$L$5:$L$856,Service_Consumables!$A$5:$A$856,$A46,Service_Consumables!$E$5:$E$856,AN$5,Service_Consumables!$H$5:$H$856,"Auto-deduct")</f>
        <v>0</v>
      </c>
      <c r="AO46" s="15" t="n">
        <f aca="false">SUMIFS(Service_Consumables!$L$5:$L$856,Service_Consumables!$A$5:$A$856,$A46,Service_Consumables!$E$5:$E$856,AO$5,Service_Consumables!$H$5:$H$856,"Auto-deduct")</f>
        <v>0</v>
      </c>
      <c r="AP46" s="15" t="n">
        <f aca="false">SUMIFS(Service_Consumables!$L$5:$L$856,Service_Consumables!$A$5:$A$856,$A46,Service_Consumables!$E$5:$E$856,AP$5,Service_Consumables!$H$5:$H$856,"Auto-deduct")</f>
        <v>120</v>
      </c>
      <c r="AQ46" s="15" t="n">
        <f aca="false">SUMIFS(Service_Consumables!$L$5:$L$856,Service_Consumables!$A$5:$A$856,$A46,Service_Consumables!$E$5:$E$856,AQ$5,Service_Consumables!$H$5:$H$856,"Auto-deduct")</f>
        <v>180</v>
      </c>
      <c r="AR46" s="15" t="n">
        <f aca="false">SUMIFS(Service_Consumables!$L$5:$L$856,Service_Consumables!$A$5:$A$856,$A46,Service_Consumables!$E$5:$E$856,AR$5,Service_Consumables!$H$5:$H$856,"Auto-deduct")</f>
        <v>0</v>
      </c>
      <c r="AS46" s="15" t="n">
        <f aca="false">SUMIFS(Service_Consumables!$L$5:$L$856,Service_Consumables!$A$5:$A$856,$A46,Service_Consumables!$E$5:$E$856,AS$5,Service_Consumables!$H$5:$H$856,"Auto-deduct")</f>
        <v>0</v>
      </c>
      <c r="AT46" s="15" t="n">
        <f aca="false">SUMIFS(Service_Consumables!$L$5:$L$856,Service_Consumables!$A$5:$A$856,$A46,Service_Consumables!$E$5:$E$856,AT$5,Service_Consumables!$H$5:$H$856,"Auto-deduct")</f>
        <v>0</v>
      </c>
      <c r="AU46" s="15" t="n">
        <f aca="false">SUMIFS(Service_Consumables!$L$5:$L$856,Service_Consumables!$A$5:$A$856,$A46,Service_Consumables!$E$5:$E$856,AU$5,Service_Consumables!$H$5:$H$856,"Auto-deduct")</f>
        <v>0</v>
      </c>
      <c r="AV46" s="15" t="n">
        <f aca="false">SUMIFS(Service_Consumables!$L$5:$L$856,Service_Consumables!$A$5:$A$856,$A46,Service_Consumables!$E$5:$E$856,AV$5,Service_Consumables!$H$5:$H$856,"Auto-deduct")</f>
        <v>0</v>
      </c>
      <c r="AW46" s="15" t="n">
        <f aca="false">SUMIFS(Service_Consumables!$L$5:$L$856,Service_Consumables!$A$5:$A$856,$A46,Service_Consumables!$E$5:$E$856,AW$5,Service_Consumables!$H$5:$H$856,"Auto-deduct")</f>
        <v>0</v>
      </c>
      <c r="AX46" s="15" t="n">
        <f aca="false">SUMIFS(Service_Consumables!$L$5:$L$856,Service_Consumables!$A$5:$A$856,$A46,Service_Consumables!$E$5:$E$856,AX$5,Service_Consumables!$H$5:$H$856,"Auto-deduct")</f>
        <v>0</v>
      </c>
      <c r="AY46" s="15" t="n">
        <f aca="false">SUMIFS(Service_Consumables!$L$5:$L$856,Service_Consumables!$A$5:$A$856,$A46,Service_Consumables!$E$5:$E$856,AY$5,Service_Consumables!$H$5:$H$856,"Auto-deduct")</f>
        <v>0</v>
      </c>
      <c r="AZ46" s="15" t="n">
        <f aca="false">SUMIFS(Service_Consumables!$L$5:$L$856,Service_Consumables!$A$5:$A$856,$A46,Service_Consumables!$E$5:$E$856,AZ$5,Service_Consumables!$H$5:$H$856,"Auto-deduct")</f>
        <v>0</v>
      </c>
      <c r="BA46" s="15" t="n">
        <f aca="false">SUMIFS(Service_Consumables!$L$5:$L$856,Service_Consumables!$A$5:$A$856,$A46,Service_Consumables!$E$5:$E$856,BA$5,Service_Consumables!$H$5:$H$856,"Auto-deduct")</f>
        <v>0</v>
      </c>
      <c r="BB46" s="15" t="n">
        <f aca="false">SUMIFS(Service_Consumables!$L$5:$L$856,Service_Consumables!$A$5:$A$856,$A46,Service_Consumables!$E$5:$E$856,BB$5,Service_Consumables!$H$5:$H$856,"Auto-deduct")</f>
        <v>0</v>
      </c>
      <c r="BC46" s="15" t="n">
        <f aca="false">SUMIFS(Service_Consumables!$L$5:$L$856,Service_Consumables!$A$5:$A$856,$A46,Service_Consumables!$E$5:$E$856,BC$5,Service_Consumables!$H$5:$H$856,"Auto-deduct")</f>
        <v>0</v>
      </c>
      <c r="BD46" s="15" t="n">
        <f aca="false">SUMIFS(Service_Consumables!$L$5:$L$856,Service_Consumables!$A$5:$A$856,$A46,Service_Consumables!$E$5:$E$856,BD$5,Service_Consumables!$H$5:$H$856,"Auto-deduct")</f>
        <v>0</v>
      </c>
      <c r="BE46" s="15" t="n">
        <f aca="false">SUMIFS(Service_Consumables!$L$5:$L$856,Service_Consumables!$A$5:$A$856,$A46,Service_Consumables!$E$5:$E$856,BE$5,Service_Consumables!$H$5:$H$856,"Auto-deduct")</f>
        <v>0</v>
      </c>
      <c r="BF46" s="15" t="n">
        <f aca="false">SUMIFS(Service_Consumables!$L$5:$L$856,Service_Consumables!$A$5:$A$856,$A46,Service_Consumables!$E$5:$E$856,BF$5,Service_Consumables!$H$5:$H$856,"Auto-deduct")</f>
        <v>0</v>
      </c>
      <c r="BG46" s="15" t="n">
        <f aca="false">SUMIFS(Service_Consumables!$L$5:$L$856,Service_Consumables!$A$5:$A$856,$A46,Service_Consumables!$E$5:$E$856,BG$5,Service_Consumables!$H$5:$H$856,"Auto-deduct")</f>
        <v>0</v>
      </c>
      <c r="BH46" s="15" t="n">
        <f aca="false">SUMIFS(Service_Consumables!$L$5:$L$856,Service_Consumables!$A$5:$A$856,$A46,Service_Consumables!$E$5:$E$856,BH$5,Service_Consumables!$H$5:$H$856,"Auto-deduct")</f>
        <v>0</v>
      </c>
      <c r="BI46" s="15" t="n">
        <f aca="false">SUMIFS(Service_Consumables!$L$5:$L$856,Service_Consumables!$A$5:$A$856,$A46,Service_Consumables!$E$5:$E$856,BI$5,Service_Consumables!$H$5:$H$856,"Auto-deduct")</f>
        <v>18</v>
      </c>
    </row>
    <row r="47" customFormat="false" ht="15" hidden="false" customHeight="false" outlineLevel="0" collapsed="false">
      <c r="A47" s="14" t="n">
        <f aca="false">Services!A46</f>
        <v>42</v>
      </c>
      <c r="B47" s="14" t="str">
        <f aca="false">Services!B46</f>
        <v>Hand Treatment</v>
      </c>
      <c r="C47" s="14" t="str">
        <f aca="false">Services!C46</f>
        <v>Manicure</v>
      </c>
      <c r="D47" s="15" t="n">
        <f aca="false">SUMIFS(Service_Consumables!$L$5:$L$856,Service_Consumables!$A$5:$A$856,$A47,Service_Consumables!$E$5:$E$856,D$5,Service_Consumables!$H$5:$H$856,"Auto-deduct")</f>
        <v>0</v>
      </c>
      <c r="E47" s="15" t="n">
        <f aca="false">SUMIFS(Service_Consumables!$L$5:$L$856,Service_Consumables!$A$5:$A$856,$A47,Service_Consumables!$E$5:$E$856,E$5,Service_Consumables!$H$5:$H$856,"Auto-deduct")</f>
        <v>0</v>
      </c>
      <c r="F47" s="15" t="n">
        <f aca="false">SUMIFS(Service_Consumables!$L$5:$L$856,Service_Consumables!$A$5:$A$856,$A47,Service_Consumables!$E$5:$E$856,F$5,Service_Consumables!$H$5:$H$856,"Auto-deduct")</f>
        <v>0</v>
      </c>
      <c r="G47" s="15" t="n">
        <f aca="false">SUMIFS(Service_Consumables!$L$5:$L$856,Service_Consumables!$A$5:$A$856,$A47,Service_Consumables!$E$5:$E$856,G$5,Service_Consumables!$H$5:$H$856,"Auto-deduct")</f>
        <v>0</v>
      </c>
      <c r="H47" s="15" t="n">
        <f aca="false">SUMIFS(Service_Consumables!$L$5:$L$856,Service_Consumables!$A$5:$A$856,$A47,Service_Consumables!$E$5:$E$856,H$5,Service_Consumables!$H$5:$H$856,"Auto-deduct")</f>
        <v>0</v>
      </c>
      <c r="I47" s="15" t="n">
        <f aca="false">SUMIFS(Service_Consumables!$L$5:$L$856,Service_Consumables!$A$5:$A$856,$A47,Service_Consumables!$E$5:$E$856,I$5,Service_Consumables!$H$5:$H$856,"Auto-deduct")</f>
        <v>0</v>
      </c>
      <c r="J47" s="15" t="n">
        <f aca="false">SUMIFS(Service_Consumables!$L$5:$L$856,Service_Consumables!$A$5:$A$856,$A47,Service_Consumables!$E$5:$E$856,J$5,Service_Consumables!$H$5:$H$856,"Auto-deduct")</f>
        <v>0</v>
      </c>
      <c r="K47" s="15" t="n">
        <f aca="false">SUMIFS(Service_Consumables!$L$5:$L$856,Service_Consumables!$A$5:$A$856,$A47,Service_Consumables!$E$5:$E$856,K$5,Service_Consumables!$H$5:$H$856,"Auto-deduct")</f>
        <v>0</v>
      </c>
      <c r="L47" s="15" t="n">
        <f aca="false">SUMIFS(Service_Consumables!$L$5:$L$856,Service_Consumables!$A$5:$A$856,$A47,Service_Consumables!$E$5:$E$856,L$5,Service_Consumables!$H$5:$H$856,"Auto-deduct")</f>
        <v>0</v>
      </c>
      <c r="M47" s="15" t="n">
        <f aca="false">SUMIFS(Service_Consumables!$L$5:$L$856,Service_Consumables!$A$5:$A$856,$A47,Service_Consumables!$E$5:$E$856,M$5,Service_Consumables!$H$5:$H$856,"Auto-deduct")</f>
        <v>0</v>
      </c>
      <c r="N47" s="15" t="n">
        <f aca="false">SUMIFS(Service_Consumables!$L$5:$L$856,Service_Consumables!$A$5:$A$856,$A47,Service_Consumables!$E$5:$E$856,N$5,Service_Consumables!$H$5:$H$856,"Auto-deduct")</f>
        <v>0</v>
      </c>
      <c r="O47" s="15" t="n">
        <f aca="false">SUMIFS(Service_Consumables!$L$5:$L$856,Service_Consumables!$A$5:$A$856,$A47,Service_Consumables!$E$5:$E$856,O$5,Service_Consumables!$H$5:$H$856,"Auto-deduct")</f>
        <v>0</v>
      </c>
      <c r="P47" s="15" t="n">
        <f aca="false">SUMIFS(Service_Consumables!$L$5:$L$856,Service_Consumables!$A$5:$A$856,$A47,Service_Consumables!$E$5:$E$856,P$5,Service_Consumables!$H$5:$H$856,"Auto-deduct")</f>
        <v>1</v>
      </c>
      <c r="Q47" s="15" t="n">
        <f aca="false">SUMIFS(Service_Consumables!$L$5:$L$856,Service_Consumables!$A$5:$A$856,$A47,Service_Consumables!$E$5:$E$856,Q$5,Service_Consumables!$H$5:$H$856,"Auto-deduct")</f>
        <v>1</v>
      </c>
      <c r="R47" s="15" t="n">
        <f aca="false">SUMIFS(Service_Consumables!$L$5:$L$856,Service_Consumables!$A$5:$A$856,$A47,Service_Consumables!$E$5:$E$856,R$5,Service_Consumables!$H$5:$H$856,"Auto-deduct")</f>
        <v>0</v>
      </c>
      <c r="S47" s="15" t="n">
        <f aca="false">SUMIFS(Service_Consumables!$L$5:$L$856,Service_Consumables!$A$5:$A$856,$A47,Service_Consumables!$E$5:$E$856,S$5,Service_Consumables!$H$5:$H$856,"Auto-deduct")</f>
        <v>4</v>
      </c>
      <c r="T47" s="15" t="n">
        <f aca="false">SUMIFS(Service_Consumables!$L$5:$L$856,Service_Consumables!$A$5:$A$856,$A47,Service_Consumables!$E$5:$E$856,T$5,Service_Consumables!$H$5:$H$856,"Auto-deduct")</f>
        <v>0</v>
      </c>
      <c r="U47" s="15" t="n">
        <f aca="false">SUMIFS(Service_Consumables!$L$5:$L$856,Service_Consumables!$A$5:$A$856,$A47,Service_Consumables!$E$5:$E$856,U$5,Service_Consumables!$H$5:$H$856,"Auto-deduct")</f>
        <v>0</v>
      </c>
      <c r="V47" s="15" t="n">
        <f aca="false">SUMIFS(Service_Consumables!$L$5:$L$856,Service_Consumables!$A$5:$A$856,$A47,Service_Consumables!$E$5:$E$856,V$5,Service_Consumables!$H$5:$H$856,"Auto-deduct")</f>
        <v>5</v>
      </c>
      <c r="W47" s="15" t="n">
        <f aca="false">SUMIFS(Service_Consumables!$L$5:$L$856,Service_Consumables!$A$5:$A$856,$A47,Service_Consumables!$E$5:$E$856,W$5,Service_Consumables!$H$5:$H$856,"Auto-deduct")</f>
        <v>4</v>
      </c>
      <c r="X47" s="15" t="n">
        <f aca="false">SUMIFS(Service_Consumables!$L$5:$L$856,Service_Consumables!$A$5:$A$856,$A47,Service_Consumables!$E$5:$E$856,X$5,Service_Consumables!$H$5:$H$856,"Auto-deduct")</f>
        <v>0</v>
      </c>
      <c r="Y47" s="15" t="n">
        <f aca="false">SUMIFS(Service_Consumables!$L$5:$L$856,Service_Consumables!$A$5:$A$856,$A47,Service_Consumables!$E$5:$E$856,Y$5,Service_Consumables!$H$5:$H$856,"Auto-deduct")</f>
        <v>0</v>
      </c>
      <c r="Z47" s="15" t="n">
        <f aca="false">SUMIFS(Service_Consumables!$L$5:$L$856,Service_Consumables!$A$5:$A$856,$A47,Service_Consumables!$E$5:$E$856,Z$5,Service_Consumables!$H$5:$H$856,"Auto-deduct")</f>
        <v>0</v>
      </c>
      <c r="AA47" s="15" t="n">
        <f aca="false">SUMIFS(Service_Consumables!$L$5:$L$856,Service_Consumables!$A$5:$A$856,$A47,Service_Consumables!$E$5:$E$856,AA$5,Service_Consumables!$H$5:$H$856,"Auto-deduct")</f>
        <v>0</v>
      </c>
      <c r="AB47" s="15" t="n">
        <f aca="false">SUMIFS(Service_Consumables!$L$5:$L$856,Service_Consumables!$A$5:$A$856,$A47,Service_Consumables!$E$5:$E$856,AB$5,Service_Consumables!$H$5:$H$856,"Auto-deduct")</f>
        <v>0</v>
      </c>
      <c r="AC47" s="15" t="n">
        <f aca="false">SUMIFS(Service_Consumables!$L$5:$L$856,Service_Consumables!$A$5:$A$856,$A47,Service_Consumables!$E$5:$E$856,AC$5,Service_Consumables!$H$5:$H$856,"Auto-deduct")</f>
        <v>2</v>
      </c>
      <c r="AD47" s="15" t="n">
        <f aca="false">SUMIFS(Service_Consumables!$L$5:$L$856,Service_Consumables!$A$5:$A$856,$A47,Service_Consumables!$E$5:$E$856,AD$5,Service_Consumables!$H$5:$H$856,"Auto-deduct")</f>
        <v>5</v>
      </c>
      <c r="AE47" s="15" t="n">
        <f aca="false">SUMIFS(Service_Consumables!$L$5:$L$856,Service_Consumables!$A$5:$A$856,$A47,Service_Consumables!$E$5:$E$856,AE$5,Service_Consumables!$H$5:$H$856,"Auto-deduct")</f>
        <v>0</v>
      </c>
      <c r="AF47" s="15" t="n">
        <f aca="false">SUMIFS(Service_Consumables!$L$5:$L$856,Service_Consumables!$A$5:$A$856,$A47,Service_Consumables!$E$5:$E$856,AF$5,Service_Consumables!$H$5:$H$856,"Auto-deduct")</f>
        <v>0</v>
      </c>
      <c r="AG47" s="15" t="n">
        <f aca="false">SUMIFS(Service_Consumables!$L$5:$L$856,Service_Consumables!$A$5:$A$856,$A47,Service_Consumables!$E$5:$E$856,AG$5,Service_Consumables!$H$5:$H$856,"Auto-deduct")</f>
        <v>0</v>
      </c>
      <c r="AH47" s="15" t="n">
        <f aca="false">SUMIFS(Service_Consumables!$L$5:$L$856,Service_Consumables!$A$5:$A$856,$A47,Service_Consumables!$E$5:$E$856,AH$5,Service_Consumables!$H$5:$H$856,"Auto-deduct")</f>
        <v>0</v>
      </c>
      <c r="AI47" s="15" t="n">
        <f aca="false">SUMIFS(Service_Consumables!$L$5:$L$856,Service_Consumables!$A$5:$A$856,$A47,Service_Consumables!$E$5:$E$856,AI$5,Service_Consumables!$H$5:$H$856,"Auto-deduct")</f>
        <v>0</v>
      </c>
      <c r="AJ47" s="15" t="n">
        <f aca="false">SUMIFS(Service_Consumables!$L$5:$L$856,Service_Consumables!$A$5:$A$856,$A47,Service_Consumables!$E$5:$E$856,AJ$5,Service_Consumables!$H$5:$H$856,"Auto-deduct")</f>
        <v>0</v>
      </c>
      <c r="AK47" s="15" t="n">
        <f aca="false">SUMIFS(Service_Consumables!$L$5:$L$856,Service_Consumables!$A$5:$A$856,$A47,Service_Consumables!$E$5:$E$856,AK$5,Service_Consumables!$H$5:$H$856,"Auto-deduct")</f>
        <v>0</v>
      </c>
      <c r="AL47" s="15" t="n">
        <f aca="false">SUMIFS(Service_Consumables!$L$5:$L$856,Service_Consumables!$A$5:$A$856,$A47,Service_Consumables!$E$5:$E$856,AL$5,Service_Consumables!$H$5:$H$856,"Auto-deduct")</f>
        <v>0</v>
      </c>
      <c r="AM47" s="15" t="n">
        <f aca="false">SUMIFS(Service_Consumables!$L$5:$L$856,Service_Consumables!$A$5:$A$856,$A47,Service_Consumables!$E$5:$E$856,AM$5,Service_Consumables!$H$5:$H$856,"Auto-deduct")</f>
        <v>0</v>
      </c>
      <c r="AN47" s="15" t="n">
        <f aca="false">SUMIFS(Service_Consumables!$L$5:$L$856,Service_Consumables!$A$5:$A$856,$A47,Service_Consumables!$E$5:$E$856,AN$5,Service_Consumables!$H$5:$H$856,"Auto-deduct")</f>
        <v>0</v>
      </c>
      <c r="AO47" s="15" t="n">
        <f aca="false">SUMIFS(Service_Consumables!$L$5:$L$856,Service_Consumables!$A$5:$A$856,$A47,Service_Consumables!$E$5:$E$856,AO$5,Service_Consumables!$H$5:$H$856,"Auto-deduct")</f>
        <v>0</v>
      </c>
      <c r="AP47" s="15" t="n">
        <f aca="false">SUMIFS(Service_Consumables!$L$5:$L$856,Service_Consumables!$A$5:$A$856,$A47,Service_Consumables!$E$5:$E$856,AP$5,Service_Consumables!$H$5:$H$856,"Auto-deduct")</f>
        <v>0</v>
      </c>
      <c r="AQ47" s="15" t="n">
        <f aca="false">SUMIFS(Service_Consumables!$L$5:$L$856,Service_Consumables!$A$5:$A$856,$A47,Service_Consumables!$E$5:$E$856,AQ$5,Service_Consumables!$H$5:$H$856,"Auto-deduct")</f>
        <v>0</v>
      </c>
      <c r="AR47" s="15" t="n">
        <f aca="false">SUMIFS(Service_Consumables!$L$5:$L$856,Service_Consumables!$A$5:$A$856,$A47,Service_Consumables!$E$5:$E$856,AR$5,Service_Consumables!$H$5:$H$856,"Auto-deduct")</f>
        <v>0</v>
      </c>
      <c r="AS47" s="15" t="n">
        <f aca="false">SUMIFS(Service_Consumables!$L$5:$L$856,Service_Consumables!$A$5:$A$856,$A47,Service_Consumables!$E$5:$E$856,AS$5,Service_Consumables!$H$5:$H$856,"Auto-deduct")</f>
        <v>0</v>
      </c>
      <c r="AT47" s="15" t="n">
        <f aca="false">SUMIFS(Service_Consumables!$L$5:$L$856,Service_Consumables!$A$5:$A$856,$A47,Service_Consumables!$E$5:$E$856,AT$5,Service_Consumables!$H$5:$H$856,"Auto-deduct")</f>
        <v>0</v>
      </c>
      <c r="AU47" s="15" t="n">
        <f aca="false">SUMIFS(Service_Consumables!$L$5:$L$856,Service_Consumables!$A$5:$A$856,$A47,Service_Consumables!$E$5:$E$856,AU$5,Service_Consumables!$H$5:$H$856,"Auto-deduct")</f>
        <v>0</v>
      </c>
      <c r="AV47" s="15" t="n">
        <f aca="false">SUMIFS(Service_Consumables!$L$5:$L$856,Service_Consumables!$A$5:$A$856,$A47,Service_Consumables!$E$5:$E$856,AV$5,Service_Consumables!$H$5:$H$856,"Auto-deduct")</f>
        <v>0</v>
      </c>
      <c r="AW47" s="15" t="n">
        <f aca="false">SUMIFS(Service_Consumables!$L$5:$L$856,Service_Consumables!$A$5:$A$856,$A47,Service_Consumables!$E$5:$E$856,AW$5,Service_Consumables!$H$5:$H$856,"Auto-deduct")</f>
        <v>0</v>
      </c>
      <c r="AX47" s="15" t="n">
        <f aca="false">SUMIFS(Service_Consumables!$L$5:$L$856,Service_Consumables!$A$5:$A$856,$A47,Service_Consumables!$E$5:$E$856,AX$5,Service_Consumables!$H$5:$H$856,"Auto-deduct")</f>
        <v>0</v>
      </c>
      <c r="AY47" s="15" t="n">
        <f aca="false">SUMIFS(Service_Consumables!$L$5:$L$856,Service_Consumables!$A$5:$A$856,$A47,Service_Consumables!$E$5:$E$856,AY$5,Service_Consumables!$H$5:$H$856,"Auto-deduct")</f>
        <v>0</v>
      </c>
      <c r="AZ47" s="15" t="n">
        <f aca="false">SUMIFS(Service_Consumables!$L$5:$L$856,Service_Consumables!$A$5:$A$856,$A47,Service_Consumables!$E$5:$E$856,AZ$5,Service_Consumables!$H$5:$H$856,"Auto-deduct")</f>
        <v>0</v>
      </c>
      <c r="BA47" s="15" t="n">
        <f aca="false">SUMIFS(Service_Consumables!$L$5:$L$856,Service_Consumables!$A$5:$A$856,$A47,Service_Consumables!$E$5:$E$856,BA$5,Service_Consumables!$H$5:$H$856,"Auto-deduct")</f>
        <v>0</v>
      </c>
      <c r="BB47" s="15" t="n">
        <f aca="false">SUMIFS(Service_Consumables!$L$5:$L$856,Service_Consumables!$A$5:$A$856,$A47,Service_Consumables!$E$5:$E$856,BB$5,Service_Consumables!$H$5:$H$856,"Auto-deduct")</f>
        <v>0</v>
      </c>
      <c r="BC47" s="15" t="n">
        <f aca="false">SUMIFS(Service_Consumables!$L$5:$L$856,Service_Consumables!$A$5:$A$856,$A47,Service_Consumables!$E$5:$E$856,BC$5,Service_Consumables!$H$5:$H$856,"Auto-deduct")</f>
        <v>0</v>
      </c>
      <c r="BD47" s="15" t="n">
        <f aca="false">SUMIFS(Service_Consumables!$L$5:$L$856,Service_Consumables!$A$5:$A$856,$A47,Service_Consumables!$E$5:$E$856,BD$5,Service_Consumables!$H$5:$H$856,"Auto-deduct")</f>
        <v>0</v>
      </c>
      <c r="BE47" s="15" t="n">
        <f aca="false">SUMIFS(Service_Consumables!$L$5:$L$856,Service_Consumables!$A$5:$A$856,$A47,Service_Consumables!$E$5:$E$856,BE$5,Service_Consumables!$H$5:$H$856,"Auto-deduct")</f>
        <v>0</v>
      </c>
      <c r="BF47" s="15" t="n">
        <f aca="false">SUMIFS(Service_Consumables!$L$5:$L$856,Service_Consumables!$A$5:$A$856,$A47,Service_Consumables!$E$5:$E$856,BF$5,Service_Consumables!$H$5:$H$856,"Auto-deduct")</f>
        <v>0</v>
      </c>
      <c r="BG47" s="15" t="n">
        <f aca="false">SUMIFS(Service_Consumables!$L$5:$L$856,Service_Consumables!$A$5:$A$856,$A47,Service_Consumables!$E$5:$E$856,BG$5,Service_Consumables!$H$5:$H$856,"Auto-deduct")</f>
        <v>0</v>
      </c>
      <c r="BH47" s="15" t="n">
        <f aca="false">SUMIFS(Service_Consumables!$L$5:$L$856,Service_Consumables!$A$5:$A$856,$A47,Service_Consumables!$E$5:$E$856,BH$5,Service_Consumables!$H$5:$H$856,"Auto-deduct")</f>
        <v>0</v>
      </c>
      <c r="BI47" s="15" t="n">
        <f aca="false">SUMIFS(Service_Consumables!$L$5:$L$856,Service_Consumables!$A$5:$A$856,$A47,Service_Consumables!$E$5:$E$856,BI$5,Service_Consumables!$H$5:$H$856,"Auto-deduct")</f>
        <v>0</v>
      </c>
    </row>
    <row r="48" customFormat="false" ht="15" hidden="false" customHeight="false" outlineLevel="0" collapsed="false">
      <c r="A48" s="14" t="n">
        <f aca="false">Services!A47</f>
        <v>43</v>
      </c>
      <c r="B48" s="14" t="str">
        <f aca="false">Services!B47</f>
        <v>Hand Treatment</v>
      </c>
      <c r="C48" s="14" t="str">
        <f aca="false">Services!C47</f>
        <v>Soft Gel Manicure (Gel Polish)</v>
      </c>
      <c r="D48" s="15" t="n">
        <f aca="false">SUMIFS(Service_Consumables!$L$5:$L$856,Service_Consumables!$A$5:$A$856,$A48,Service_Consumables!$E$5:$E$856,D$5,Service_Consumables!$H$5:$H$856,"Auto-deduct")</f>
        <v>0</v>
      </c>
      <c r="E48" s="15" t="n">
        <f aca="false">SUMIFS(Service_Consumables!$L$5:$L$856,Service_Consumables!$A$5:$A$856,$A48,Service_Consumables!$E$5:$E$856,E$5,Service_Consumables!$H$5:$H$856,"Auto-deduct")</f>
        <v>0</v>
      </c>
      <c r="F48" s="15" t="n">
        <f aca="false">SUMIFS(Service_Consumables!$L$5:$L$856,Service_Consumables!$A$5:$A$856,$A48,Service_Consumables!$E$5:$E$856,F$5,Service_Consumables!$H$5:$H$856,"Auto-deduct")</f>
        <v>0</v>
      </c>
      <c r="G48" s="15" t="n">
        <f aca="false">SUMIFS(Service_Consumables!$L$5:$L$856,Service_Consumables!$A$5:$A$856,$A48,Service_Consumables!$E$5:$E$856,G$5,Service_Consumables!$H$5:$H$856,"Auto-deduct")</f>
        <v>0</v>
      </c>
      <c r="H48" s="15" t="n">
        <f aca="false">SUMIFS(Service_Consumables!$L$5:$L$856,Service_Consumables!$A$5:$A$856,$A48,Service_Consumables!$E$5:$E$856,H$5,Service_Consumables!$H$5:$H$856,"Auto-deduct")</f>
        <v>0</v>
      </c>
      <c r="I48" s="15" t="n">
        <f aca="false">SUMIFS(Service_Consumables!$L$5:$L$856,Service_Consumables!$A$5:$A$856,$A48,Service_Consumables!$E$5:$E$856,I$5,Service_Consumables!$H$5:$H$856,"Auto-deduct")</f>
        <v>0</v>
      </c>
      <c r="J48" s="15" t="n">
        <f aca="false">SUMIFS(Service_Consumables!$L$5:$L$856,Service_Consumables!$A$5:$A$856,$A48,Service_Consumables!$E$5:$E$856,J$5,Service_Consumables!$H$5:$H$856,"Auto-deduct")</f>
        <v>0</v>
      </c>
      <c r="K48" s="15" t="n">
        <f aca="false">SUMIFS(Service_Consumables!$L$5:$L$856,Service_Consumables!$A$5:$A$856,$A48,Service_Consumables!$E$5:$E$856,K$5,Service_Consumables!$H$5:$H$856,"Auto-deduct")</f>
        <v>0</v>
      </c>
      <c r="L48" s="15" t="n">
        <f aca="false">SUMIFS(Service_Consumables!$L$5:$L$856,Service_Consumables!$A$5:$A$856,$A48,Service_Consumables!$E$5:$E$856,L$5,Service_Consumables!$H$5:$H$856,"Auto-deduct")</f>
        <v>0</v>
      </c>
      <c r="M48" s="15" t="n">
        <f aca="false">SUMIFS(Service_Consumables!$L$5:$L$856,Service_Consumables!$A$5:$A$856,$A48,Service_Consumables!$E$5:$E$856,M$5,Service_Consumables!$H$5:$H$856,"Auto-deduct")</f>
        <v>0</v>
      </c>
      <c r="N48" s="15" t="n">
        <f aca="false">SUMIFS(Service_Consumables!$L$5:$L$856,Service_Consumables!$A$5:$A$856,$A48,Service_Consumables!$E$5:$E$856,N$5,Service_Consumables!$H$5:$H$856,"Auto-deduct")</f>
        <v>0</v>
      </c>
      <c r="O48" s="15" t="n">
        <f aca="false">SUMIFS(Service_Consumables!$L$5:$L$856,Service_Consumables!$A$5:$A$856,$A48,Service_Consumables!$E$5:$E$856,O$5,Service_Consumables!$H$5:$H$856,"Auto-deduct")</f>
        <v>0</v>
      </c>
      <c r="P48" s="15" t="n">
        <f aca="false">SUMIFS(Service_Consumables!$L$5:$L$856,Service_Consumables!$A$5:$A$856,$A48,Service_Consumables!$E$5:$E$856,P$5,Service_Consumables!$H$5:$H$856,"Auto-deduct")</f>
        <v>1</v>
      </c>
      <c r="Q48" s="15" t="n">
        <f aca="false">SUMIFS(Service_Consumables!$L$5:$L$856,Service_Consumables!$A$5:$A$856,$A48,Service_Consumables!$E$5:$E$856,Q$5,Service_Consumables!$H$5:$H$856,"Auto-deduct")</f>
        <v>1</v>
      </c>
      <c r="R48" s="15" t="n">
        <f aca="false">SUMIFS(Service_Consumables!$L$5:$L$856,Service_Consumables!$A$5:$A$856,$A48,Service_Consumables!$E$5:$E$856,R$5,Service_Consumables!$H$5:$H$856,"Auto-deduct")</f>
        <v>0</v>
      </c>
      <c r="S48" s="15" t="n">
        <f aca="false">SUMIFS(Service_Consumables!$L$5:$L$856,Service_Consumables!$A$5:$A$856,$A48,Service_Consumables!$E$5:$E$856,S$5,Service_Consumables!$H$5:$H$856,"Auto-deduct")</f>
        <v>4</v>
      </c>
      <c r="T48" s="15" t="n">
        <f aca="false">SUMIFS(Service_Consumables!$L$5:$L$856,Service_Consumables!$A$5:$A$856,$A48,Service_Consumables!$E$5:$E$856,T$5,Service_Consumables!$H$5:$H$856,"Auto-deduct")</f>
        <v>0</v>
      </c>
      <c r="U48" s="15" t="n">
        <f aca="false">SUMIFS(Service_Consumables!$L$5:$L$856,Service_Consumables!$A$5:$A$856,$A48,Service_Consumables!$E$5:$E$856,U$5,Service_Consumables!$H$5:$H$856,"Auto-deduct")</f>
        <v>0</v>
      </c>
      <c r="V48" s="15" t="n">
        <f aca="false">SUMIFS(Service_Consumables!$L$5:$L$856,Service_Consumables!$A$5:$A$856,$A48,Service_Consumables!$E$5:$E$856,V$5,Service_Consumables!$H$5:$H$856,"Auto-deduct")</f>
        <v>5</v>
      </c>
      <c r="W48" s="15" t="n">
        <f aca="false">SUMIFS(Service_Consumables!$L$5:$L$856,Service_Consumables!$A$5:$A$856,$A48,Service_Consumables!$E$5:$E$856,W$5,Service_Consumables!$H$5:$H$856,"Auto-deduct")</f>
        <v>6</v>
      </c>
      <c r="X48" s="15" t="n">
        <f aca="false">SUMIFS(Service_Consumables!$L$5:$L$856,Service_Consumables!$A$5:$A$856,$A48,Service_Consumables!$E$5:$E$856,X$5,Service_Consumables!$H$5:$H$856,"Auto-deduct")</f>
        <v>0</v>
      </c>
      <c r="Y48" s="15" t="n">
        <f aca="false">SUMIFS(Service_Consumables!$L$5:$L$856,Service_Consumables!$A$5:$A$856,$A48,Service_Consumables!$E$5:$E$856,Y$5,Service_Consumables!$H$5:$H$856,"Auto-deduct")</f>
        <v>0</v>
      </c>
      <c r="Z48" s="15" t="n">
        <f aca="false">SUMIFS(Service_Consumables!$L$5:$L$856,Service_Consumables!$A$5:$A$856,$A48,Service_Consumables!$E$5:$E$856,Z$5,Service_Consumables!$H$5:$H$856,"Auto-deduct")</f>
        <v>0</v>
      </c>
      <c r="AA48" s="15" t="n">
        <f aca="false">SUMIFS(Service_Consumables!$L$5:$L$856,Service_Consumables!$A$5:$A$856,$A48,Service_Consumables!$E$5:$E$856,AA$5,Service_Consumables!$H$5:$H$856,"Auto-deduct")</f>
        <v>0</v>
      </c>
      <c r="AB48" s="15" t="n">
        <f aca="false">SUMIFS(Service_Consumables!$L$5:$L$856,Service_Consumables!$A$5:$A$856,$A48,Service_Consumables!$E$5:$E$856,AB$5,Service_Consumables!$H$5:$H$856,"Auto-deduct")</f>
        <v>0</v>
      </c>
      <c r="AC48" s="15" t="n">
        <f aca="false">SUMIFS(Service_Consumables!$L$5:$L$856,Service_Consumables!$A$5:$A$856,$A48,Service_Consumables!$E$5:$E$856,AC$5,Service_Consumables!$H$5:$H$856,"Auto-deduct")</f>
        <v>5</v>
      </c>
      <c r="AD48" s="15" t="n">
        <f aca="false">SUMIFS(Service_Consumables!$L$5:$L$856,Service_Consumables!$A$5:$A$856,$A48,Service_Consumables!$E$5:$E$856,AD$5,Service_Consumables!$H$5:$H$856,"Auto-deduct")</f>
        <v>10</v>
      </c>
      <c r="AE48" s="15" t="n">
        <f aca="false">SUMIFS(Service_Consumables!$L$5:$L$856,Service_Consumables!$A$5:$A$856,$A48,Service_Consumables!$E$5:$E$856,AE$5,Service_Consumables!$H$5:$H$856,"Auto-deduct")</f>
        <v>0</v>
      </c>
      <c r="AF48" s="15" t="n">
        <f aca="false">SUMIFS(Service_Consumables!$L$5:$L$856,Service_Consumables!$A$5:$A$856,$A48,Service_Consumables!$E$5:$E$856,AF$5,Service_Consumables!$H$5:$H$856,"Auto-deduct")</f>
        <v>0</v>
      </c>
      <c r="AG48" s="15" t="n">
        <f aca="false">SUMIFS(Service_Consumables!$L$5:$L$856,Service_Consumables!$A$5:$A$856,$A48,Service_Consumables!$E$5:$E$856,AG$5,Service_Consumables!$H$5:$H$856,"Auto-deduct")</f>
        <v>0</v>
      </c>
      <c r="AH48" s="15" t="n">
        <f aca="false">SUMIFS(Service_Consumables!$L$5:$L$856,Service_Consumables!$A$5:$A$856,$A48,Service_Consumables!$E$5:$E$856,AH$5,Service_Consumables!$H$5:$H$856,"Auto-deduct")</f>
        <v>0</v>
      </c>
      <c r="AI48" s="15" t="n">
        <f aca="false">SUMIFS(Service_Consumables!$L$5:$L$856,Service_Consumables!$A$5:$A$856,$A48,Service_Consumables!$E$5:$E$856,AI$5,Service_Consumables!$H$5:$H$856,"Auto-deduct")</f>
        <v>0</v>
      </c>
      <c r="AJ48" s="15" t="n">
        <f aca="false">SUMIFS(Service_Consumables!$L$5:$L$856,Service_Consumables!$A$5:$A$856,$A48,Service_Consumables!$E$5:$E$856,AJ$5,Service_Consumables!$H$5:$H$856,"Auto-deduct")</f>
        <v>0</v>
      </c>
      <c r="AK48" s="15" t="n">
        <f aca="false">SUMIFS(Service_Consumables!$L$5:$L$856,Service_Consumables!$A$5:$A$856,$A48,Service_Consumables!$E$5:$E$856,AK$5,Service_Consumables!$H$5:$H$856,"Auto-deduct")</f>
        <v>0</v>
      </c>
      <c r="AL48" s="15" t="n">
        <f aca="false">SUMIFS(Service_Consumables!$L$5:$L$856,Service_Consumables!$A$5:$A$856,$A48,Service_Consumables!$E$5:$E$856,AL$5,Service_Consumables!$H$5:$H$856,"Auto-deduct")</f>
        <v>0</v>
      </c>
      <c r="AM48" s="15" t="n">
        <f aca="false">SUMIFS(Service_Consumables!$L$5:$L$856,Service_Consumables!$A$5:$A$856,$A48,Service_Consumables!$E$5:$E$856,AM$5,Service_Consumables!$H$5:$H$856,"Auto-deduct")</f>
        <v>0</v>
      </c>
      <c r="AN48" s="15" t="n">
        <f aca="false">SUMIFS(Service_Consumables!$L$5:$L$856,Service_Consumables!$A$5:$A$856,$A48,Service_Consumables!$E$5:$E$856,AN$5,Service_Consumables!$H$5:$H$856,"Auto-deduct")</f>
        <v>0</v>
      </c>
      <c r="AO48" s="15" t="n">
        <f aca="false">SUMIFS(Service_Consumables!$L$5:$L$856,Service_Consumables!$A$5:$A$856,$A48,Service_Consumables!$E$5:$E$856,AO$5,Service_Consumables!$H$5:$H$856,"Auto-deduct")</f>
        <v>0</v>
      </c>
      <c r="AP48" s="15" t="n">
        <f aca="false">SUMIFS(Service_Consumables!$L$5:$L$856,Service_Consumables!$A$5:$A$856,$A48,Service_Consumables!$E$5:$E$856,AP$5,Service_Consumables!$H$5:$H$856,"Auto-deduct")</f>
        <v>0</v>
      </c>
      <c r="AQ48" s="15" t="n">
        <f aca="false">SUMIFS(Service_Consumables!$L$5:$L$856,Service_Consumables!$A$5:$A$856,$A48,Service_Consumables!$E$5:$E$856,AQ$5,Service_Consumables!$H$5:$H$856,"Auto-deduct")</f>
        <v>0</v>
      </c>
      <c r="AR48" s="15" t="n">
        <f aca="false">SUMIFS(Service_Consumables!$L$5:$L$856,Service_Consumables!$A$5:$A$856,$A48,Service_Consumables!$E$5:$E$856,AR$5,Service_Consumables!$H$5:$H$856,"Auto-deduct")</f>
        <v>0</v>
      </c>
      <c r="AS48" s="15" t="n">
        <f aca="false">SUMIFS(Service_Consumables!$L$5:$L$856,Service_Consumables!$A$5:$A$856,$A48,Service_Consumables!$E$5:$E$856,AS$5,Service_Consumables!$H$5:$H$856,"Auto-deduct")</f>
        <v>0</v>
      </c>
      <c r="AT48" s="15" t="n">
        <f aca="false">SUMIFS(Service_Consumables!$L$5:$L$856,Service_Consumables!$A$5:$A$856,$A48,Service_Consumables!$E$5:$E$856,AT$5,Service_Consumables!$H$5:$H$856,"Auto-deduct")</f>
        <v>0</v>
      </c>
      <c r="AU48" s="15" t="n">
        <f aca="false">SUMIFS(Service_Consumables!$L$5:$L$856,Service_Consumables!$A$5:$A$856,$A48,Service_Consumables!$E$5:$E$856,AU$5,Service_Consumables!$H$5:$H$856,"Auto-deduct")</f>
        <v>0</v>
      </c>
      <c r="AV48" s="15" t="n">
        <f aca="false">SUMIFS(Service_Consumables!$L$5:$L$856,Service_Consumables!$A$5:$A$856,$A48,Service_Consumables!$E$5:$E$856,AV$5,Service_Consumables!$H$5:$H$856,"Auto-deduct")</f>
        <v>0</v>
      </c>
      <c r="AW48" s="15" t="n">
        <f aca="false">SUMIFS(Service_Consumables!$L$5:$L$856,Service_Consumables!$A$5:$A$856,$A48,Service_Consumables!$E$5:$E$856,AW$5,Service_Consumables!$H$5:$H$856,"Auto-deduct")</f>
        <v>0</v>
      </c>
      <c r="AX48" s="15" t="n">
        <f aca="false">SUMIFS(Service_Consumables!$L$5:$L$856,Service_Consumables!$A$5:$A$856,$A48,Service_Consumables!$E$5:$E$856,AX$5,Service_Consumables!$H$5:$H$856,"Auto-deduct")</f>
        <v>0</v>
      </c>
      <c r="AY48" s="15" t="n">
        <f aca="false">SUMIFS(Service_Consumables!$L$5:$L$856,Service_Consumables!$A$5:$A$856,$A48,Service_Consumables!$E$5:$E$856,AY$5,Service_Consumables!$H$5:$H$856,"Auto-deduct")</f>
        <v>0</v>
      </c>
      <c r="AZ48" s="15" t="n">
        <f aca="false">SUMIFS(Service_Consumables!$L$5:$L$856,Service_Consumables!$A$5:$A$856,$A48,Service_Consumables!$E$5:$E$856,AZ$5,Service_Consumables!$H$5:$H$856,"Auto-deduct")</f>
        <v>0</v>
      </c>
      <c r="BA48" s="15" t="n">
        <f aca="false">SUMIFS(Service_Consumables!$L$5:$L$856,Service_Consumables!$A$5:$A$856,$A48,Service_Consumables!$E$5:$E$856,BA$5,Service_Consumables!$H$5:$H$856,"Auto-deduct")</f>
        <v>0</v>
      </c>
      <c r="BB48" s="15" t="n">
        <f aca="false">SUMIFS(Service_Consumables!$L$5:$L$856,Service_Consumables!$A$5:$A$856,$A48,Service_Consumables!$E$5:$E$856,BB$5,Service_Consumables!$H$5:$H$856,"Auto-deduct")</f>
        <v>0</v>
      </c>
      <c r="BC48" s="15" t="n">
        <f aca="false">SUMIFS(Service_Consumables!$L$5:$L$856,Service_Consumables!$A$5:$A$856,$A48,Service_Consumables!$E$5:$E$856,BC$5,Service_Consumables!$H$5:$H$856,"Auto-deduct")</f>
        <v>0</v>
      </c>
      <c r="BD48" s="15" t="n">
        <f aca="false">SUMIFS(Service_Consumables!$L$5:$L$856,Service_Consumables!$A$5:$A$856,$A48,Service_Consumables!$E$5:$E$856,BD$5,Service_Consumables!$H$5:$H$856,"Auto-deduct")</f>
        <v>0</v>
      </c>
      <c r="BE48" s="15" t="n">
        <f aca="false">SUMIFS(Service_Consumables!$L$5:$L$856,Service_Consumables!$A$5:$A$856,$A48,Service_Consumables!$E$5:$E$856,BE$5,Service_Consumables!$H$5:$H$856,"Auto-deduct")</f>
        <v>0</v>
      </c>
      <c r="BF48" s="15" t="n">
        <f aca="false">SUMIFS(Service_Consumables!$L$5:$L$856,Service_Consumables!$A$5:$A$856,$A48,Service_Consumables!$E$5:$E$856,BF$5,Service_Consumables!$H$5:$H$856,"Auto-deduct")</f>
        <v>0</v>
      </c>
      <c r="BG48" s="15" t="n">
        <f aca="false">SUMIFS(Service_Consumables!$L$5:$L$856,Service_Consumables!$A$5:$A$856,$A48,Service_Consumables!$E$5:$E$856,BG$5,Service_Consumables!$H$5:$H$856,"Auto-deduct")</f>
        <v>0</v>
      </c>
      <c r="BH48" s="15" t="n">
        <f aca="false">SUMIFS(Service_Consumables!$L$5:$L$856,Service_Consumables!$A$5:$A$856,$A48,Service_Consumables!$E$5:$E$856,BH$5,Service_Consumables!$H$5:$H$856,"Auto-deduct")</f>
        <v>0</v>
      </c>
      <c r="BI48" s="15" t="n">
        <f aca="false">SUMIFS(Service_Consumables!$L$5:$L$856,Service_Consumables!$A$5:$A$856,$A48,Service_Consumables!$E$5:$E$856,BI$5,Service_Consumables!$H$5:$H$856,"Auto-deduct")</f>
        <v>0</v>
      </c>
    </row>
    <row r="49" customFormat="false" ht="15" hidden="false" customHeight="false" outlineLevel="0" collapsed="false">
      <c r="A49" s="14" t="n">
        <f aca="false">Services!A48</f>
        <v>44</v>
      </c>
      <c r="B49" s="14" t="str">
        <f aca="false">Services!B48</f>
        <v>Soft Gel Nail Extensions</v>
      </c>
      <c r="C49" s="14" t="str">
        <f aca="false">Services!C48</f>
        <v>Short</v>
      </c>
      <c r="D49" s="15" t="n">
        <f aca="false">SUMIFS(Service_Consumables!$L$5:$L$856,Service_Consumables!$A$5:$A$856,$A49,Service_Consumables!$E$5:$E$856,D$5,Service_Consumables!$H$5:$H$856,"Auto-deduct")</f>
        <v>0</v>
      </c>
      <c r="E49" s="15" t="n">
        <f aca="false">SUMIFS(Service_Consumables!$L$5:$L$856,Service_Consumables!$A$5:$A$856,$A49,Service_Consumables!$E$5:$E$856,E$5,Service_Consumables!$H$5:$H$856,"Auto-deduct")</f>
        <v>0</v>
      </c>
      <c r="F49" s="15" t="n">
        <f aca="false">SUMIFS(Service_Consumables!$L$5:$L$856,Service_Consumables!$A$5:$A$856,$A49,Service_Consumables!$E$5:$E$856,F$5,Service_Consumables!$H$5:$H$856,"Auto-deduct")</f>
        <v>0</v>
      </c>
      <c r="G49" s="15" t="n">
        <f aca="false">SUMIFS(Service_Consumables!$L$5:$L$856,Service_Consumables!$A$5:$A$856,$A49,Service_Consumables!$E$5:$E$856,G$5,Service_Consumables!$H$5:$H$856,"Auto-deduct")</f>
        <v>0</v>
      </c>
      <c r="H49" s="15" t="n">
        <f aca="false">SUMIFS(Service_Consumables!$L$5:$L$856,Service_Consumables!$A$5:$A$856,$A49,Service_Consumables!$E$5:$E$856,H$5,Service_Consumables!$H$5:$H$856,"Auto-deduct")</f>
        <v>0</v>
      </c>
      <c r="I49" s="15" t="n">
        <f aca="false">SUMIFS(Service_Consumables!$L$5:$L$856,Service_Consumables!$A$5:$A$856,$A49,Service_Consumables!$E$5:$E$856,I$5,Service_Consumables!$H$5:$H$856,"Auto-deduct")</f>
        <v>0</v>
      </c>
      <c r="J49" s="15" t="n">
        <f aca="false">SUMIFS(Service_Consumables!$L$5:$L$856,Service_Consumables!$A$5:$A$856,$A49,Service_Consumables!$E$5:$E$856,J$5,Service_Consumables!$H$5:$H$856,"Auto-deduct")</f>
        <v>0</v>
      </c>
      <c r="K49" s="15" t="n">
        <f aca="false">SUMIFS(Service_Consumables!$L$5:$L$856,Service_Consumables!$A$5:$A$856,$A49,Service_Consumables!$E$5:$E$856,K$5,Service_Consumables!$H$5:$H$856,"Auto-deduct")</f>
        <v>0</v>
      </c>
      <c r="L49" s="15" t="n">
        <f aca="false">SUMIFS(Service_Consumables!$L$5:$L$856,Service_Consumables!$A$5:$A$856,$A49,Service_Consumables!$E$5:$E$856,L$5,Service_Consumables!$H$5:$H$856,"Auto-deduct")</f>
        <v>0</v>
      </c>
      <c r="M49" s="15" t="n">
        <f aca="false">SUMIFS(Service_Consumables!$L$5:$L$856,Service_Consumables!$A$5:$A$856,$A49,Service_Consumables!$E$5:$E$856,M$5,Service_Consumables!$H$5:$H$856,"Auto-deduct")</f>
        <v>0</v>
      </c>
      <c r="N49" s="15" t="n">
        <f aca="false">SUMIFS(Service_Consumables!$L$5:$L$856,Service_Consumables!$A$5:$A$856,$A49,Service_Consumables!$E$5:$E$856,N$5,Service_Consumables!$H$5:$H$856,"Auto-deduct")</f>
        <v>0</v>
      </c>
      <c r="O49" s="15" t="n">
        <f aca="false">SUMIFS(Service_Consumables!$L$5:$L$856,Service_Consumables!$A$5:$A$856,$A49,Service_Consumables!$E$5:$E$856,O$5,Service_Consumables!$H$5:$H$856,"Auto-deduct")</f>
        <v>0</v>
      </c>
      <c r="P49" s="15" t="n">
        <f aca="false">SUMIFS(Service_Consumables!$L$5:$L$856,Service_Consumables!$A$5:$A$856,$A49,Service_Consumables!$E$5:$E$856,P$5,Service_Consumables!$H$5:$H$856,"Auto-deduct")</f>
        <v>1</v>
      </c>
      <c r="Q49" s="15" t="n">
        <f aca="false">SUMIFS(Service_Consumables!$L$5:$L$856,Service_Consumables!$A$5:$A$856,$A49,Service_Consumables!$E$5:$E$856,Q$5,Service_Consumables!$H$5:$H$856,"Auto-deduct")</f>
        <v>1</v>
      </c>
      <c r="R49" s="15" t="n">
        <f aca="false">SUMIFS(Service_Consumables!$L$5:$L$856,Service_Consumables!$A$5:$A$856,$A49,Service_Consumables!$E$5:$E$856,R$5,Service_Consumables!$H$5:$H$856,"Auto-deduct")</f>
        <v>0</v>
      </c>
      <c r="S49" s="15" t="n">
        <f aca="false">SUMIFS(Service_Consumables!$L$5:$L$856,Service_Consumables!$A$5:$A$856,$A49,Service_Consumables!$E$5:$E$856,S$5,Service_Consumables!$H$5:$H$856,"Auto-deduct")</f>
        <v>4</v>
      </c>
      <c r="T49" s="15" t="n">
        <f aca="false">SUMIFS(Service_Consumables!$L$5:$L$856,Service_Consumables!$A$5:$A$856,$A49,Service_Consumables!$E$5:$E$856,T$5,Service_Consumables!$H$5:$H$856,"Auto-deduct")</f>
        <v>0</v>
      </c>
      <c r="U49" s="15" t="n">
        <f aca="false">SUMIFS(Service_Consumables!$L$5:$L$856,Service_Consumables!$A$5:$A$856,$A49,Service_Consumables!$E$5:$E$856,U$5,Service_Consumables!$H$5:$H$856,"Auto-deduct")</f>
        <v>0</v>
      </c>
      <c r="V49" s="15" t="n">
        <f aca="false">SUMIFS(Service_Consumables!$L$5:$L$856,Service_Consumables!$A$5:$A$856,$A49,Service_Consumables!$E$5:$E$856,V$5,Service_Consumables!$H$5:$H$856,"Auto-deduct")</f>
        <v>5</v>
      </c>
      <c r="W49" s="15" t="n">
        <f aca="false">SUMIFS(Service_Consumables!$L$5:$L$856,Service_Consumables!$A$5:$A$856,$A49,Service_Consumables!$E$5:$E$856,W$5,Service_Consumables!$H$5:$H$856,"Auto-deduct")</f>
        <v>6</v>
      </c>
      <c r="X49" s="15" t="n">
        <f aca="false">SUMIFS(Service_Consumables!$L$5:$L$856,Service_Consumables!$A$5:$A$856,$A49,Service_Consumables!$E$5:$E$856,X$5,Service_Consumables!$H$5:$H$856,"Auto-deduct")</f>
        <v>0</v>
      </c>
      <c r="Y49" s="15" t="n">
        <f aca="false">SUMIFS(Service_Consumables!$L$5:$L$856,Service_Consumables!$A$5:$A$856,$A49,Service_Consumables!$E$5:$E$856,Y$5,Service_Consumables!$H$5:$H$856,"Auto-deduct")</f>
        <v>0</v>
      </c>
      <c r="Z49" s="15" t="n">
        <f aca="false">SUMIFS(Service_Consumables!$L$5:$L$856,Service_Consumables!$A$5:$A$856,$A49,Service_Consumables!$E$5:$E$856,Z$5,Service_Consumables!$H$5:$H$856,"Auto-deduct")</f>
        <v>0</v>
      </c>
      <c r="AA49" s="15" t="n">
        <f aca="false">SUMIFS(Service_Consumables!$L$5:$L$856,Service_Consumables!$A$5:$A$856,$A49,Service_Consumables!$E$5:$E$856,AA$5,Service_Consumables!$H$5:$H$856,"Auto-deduct")</f>
        <v>0</v>
      </c>
      <c r="AB49" s="15" t="n">
        <f aca="false">SUMIFS(Service_Consumables!$L$5:$L$856,Service_Consumables!$A$5:$A$856,$A49,Service_Consumables!$E$5:$E$856,AB$5,Service_Consumables!$H$5:$H$856,"Auto-deduct")</f>
        <v>0</v>
      </c>
      <c r="AC49" s="15" t="n">
        <f aca="false">SUMIFS(Service_Consumables!$L$5:$L$856,Service_Consumables!$A$5:$A$856,$A49,Service_Consumables!$E$5:$E$856,AC$5,Service_Consumables!$H$5:$H$856,"Auto-deduct")</f>
        <v>5</v>
      </c>
      <c r="AD49" s="15" t="n">
        <f aca="false">SUMIFS(Service_Consumables!$L$5:$L$856,Service_Consumables!$A$5:$A$856,$A49,Service_Consumables!$E$5:$E$856,AD$5,Service_Consumables!$H$5:$H$856,"Auto-deduct")</f>
        <v>10</v>
      </c>
      <c r="AE49" s="15" t="n">
        <f aca="false">SUMIFS(Service_Consumables!$L$5:$L$856,Service_Consumables!$A$5:$A$856,$A49,Service_Consumables!$E$5:$E$856,AE$5,Service_Consumables!$H$5:$H$856,"Auto-deduct")</f>
        <v>0</v>
      </c>
      <c r="AF49" s="15" t="n">
        <f aca="false">SUMIFS(Service_Consumables!$L$5:$L$856,Service_Consumables!$A$5:$A$856,$A49,Service_Consumables!$E$5:$E$856,AF$5,Service_Consumables!$H$5:$H$856,"Auto-deduct")</f>
        <v>0</v>
      </c>
      <c r="AG49" s="15" t="n">
        <f aca="false">SUMIFS(Service_Consumables!$L$5:$L$856,Service_Consumables!$A$5:$A$856,$A49,Service_Consumables!$E$5:$E$856,AG$5,Service_Consumables!$H$5:$H$856,"Auto-deduct")</f>
        <v>0</v>
      </c>
      <c r="AH49" s="15" t="n">
        <f aca="false">SUMIFS(Service_Consumables!$L$5:$L$856,Service_Consumables!$A$5:$A$856,$A49,Service_Consumables!$E$5:$E$856,AH$5,Service_Consumables!$H$5:$H$856,"Auto-deduct")</f>
        <v>0</v>
      </c>
      <c r="AI49" s="15" t="n">
        <f aca="false">SUMIFS(Service_Consumables!$L$5:$L$856,Service_Consumables!$A$5:$A$856,$A49,Service_Consumables!$E$5:$E$856,AI$5,Service_Consumables!$H$5:$H$856,"Auto-deduct")</f>
        <v>0</v>
      </c>
      <c r="AJ49" s="15" t="n">
        <f aca="false">SUMIFS(Service_Consumables!$L$5:$L$856,Service_Consumables!$A$5:$A$856,$A49,Service_Consumables!$E$5:$E$856,AJ$5,Service_Consumables!$H$5:$H$856,"Auto-deduct")</f>
        <v>0</v>
      </c>
      <c r="AK49" s="15" t="n">
        <f aca="false">SUMIFS(Service_Consumables!$L$5:$L$856,Service_Consumables!$A$5:$A$856,$A49,Service_Consumables!$E$5:$E$856,AK$5,Service_Consumables!$H$5:$H$856,"Auto-deduct")</f>
        <v>0</v>
      </c>
      <c r="AL49" s="15" t="n">
        <f aca="false">SUMIFS(Service_Consumables!$L$5:$L$856,Service_Consumables!$A$5:$A$856,$A49,Service_Consumables!$E$5:$E$856,AL$5,Service_Consumables!$H$5:$H$856,"Auto-deduct")</f>
        <v>0</v>
      </c>
      <c r="AM49" s="15" t="n">
        <f aca="false">SUMIFS(Service_Consumables!$L$5:$L$856,Service_Consumables!$A$5:$A$856,$A49,Service_Consumables!$E$5:$E$856,AM$5,Service_Consumables!$H$5:$H$856,"Auto-deduct")</f>
        <v>0</v>
      </c>
      <c r="AN49" s="15" t="n">
        <f aca="false">SUMIFS(Service_Consumables!$L$5:$L$856,Service_Consumables!$A$5:$A$856,$A49,Service_Consumables!$E$5:$E$856,AN$5,Service_Consumables!$H$5:$H$856,"Auto-deduct")</f>
        <v>0</v>
      </c>
      <c r="AO49" s="15" t="n">
        <f aca="false">SUMIFS(Service_Consumables!$L$5:$L$856,Service_Consumables!$A$5:$A$856,$A49,Service_Consumables!$E$5:$E$856,AO$5,Service_Consumables!$H$5:$H$856,"Auto-deduct")</f>
        <v>0</v>
      </c>
      <c r="AP49" s="15" t="n">
        <f aca="false">SUMIFS(Service_Consumables!$L$5:$L$856,Service_Consumables!$A$5:$A$856,$A49,Service_Consumables!$E$5:$E$856,AP$5,Service_Consumables!$H$5:$H$856,"Auto-deduct")</f>
        <v>0</v>
      </c>
      <c r="AQ49" s="15" t="n">
        <f aca="false">SUMIFS(Service_Consumables!$L$5:$L$856,Service_Consumables!$A$5:$A$856,$A49,Service_Consumables!$E$5:$E$856,AQ$5,Service_Consumables!$H$5:$H$856,"Auto-deduct")</f>
        <v>0</v>
      </c>
      <c r="AR49" s="15" t="n">
        <f aca="false">SUMIFS(Service_Consumables!$L$5:$L$856,Service_Consumables!$A$5:$A$856,$A49,Service_Consumables!$E$5:$E$856,AR$5,Service_Consumables!$H$5:$H$856,"Auto-deduct")</f>
        <v>0</v>
      </c>
      <c r="AS49" s="15" t="n">
        <f aca="false">SUMIFS(Service_Consumables!$L$5:$L$856,Service_Consumables!$A$5:$A$856,$A49,Service_Consumables!$E$5:$E$856,AS$5,Service_Consumables!$H$5:$H$856,"Auto-deduct")</f>
        <v>0</v>
      </c>
      <c r="AT49" s="15" t="n">
        <f aca="false">SUMIFS(Service_Consumables!$L$5:$L$856,Service_Consumables!$A$5:$A$856,$A49,Service_Consumables!$E$5:$E$856,AT$5,Service_Consumables!$H$5:$H$856,"Auto-deduct")</f>
        <v>0</v>
      </c>
      <c r="AU49" s="15" t="n">
        <f aca="false">SUMIFS(Service_Consumables!$L$5:$L$856,Service_Consumables!$A$5:$A$856,$A49,Service_Consumables!$E$5:$E$856,AU$5,Service_Consumables!$H$5:$H$856,"Auto-deduct")</f>
        <v>0</v>
      </c>
      <c r="AV49" s="15" t="n">
        <f aca="false">SUMIFS(Service_Consumables!$L$5:$L$856,Service_Consumables!$A$5:$A$856,$A49,Service_Consumables!$E$5:$E$856,AV$5,Service_Consumables!$H$5:$H$856,"Auto-deduct")</f>
        <v>0</v>
      </c>
      <c r="AW49" s="15" t="n">
        <f aca="false">SUMIFS(Service_Consumables!$L$5:$L$856,Service_Consumables!$A$5:$A$856,$A49,Service_Consumables!$E$5:$E$856,AW$5,Service_Consumables!$H$5:$H$856,"Auto-deduct")</f>
        <v>0</v>
      </c>
      <c r="AX49" s="15" t="n">
        <f aca="false">SUMIFS(Service_Consumables!$L$5:$L$856,Service_Consumables!$A$5:$A$856,$A49,Service_Consumables!$E$5:$E$856,AX$5,Service_Consumables!$H$5:$H$856,"Auto-deduct")</f>
        <v>0</v>
      </c>
      <c r="AY49" s="15" t="n">
        <f aca="false">SUMIFS(Service_Consumables!$L$5:$L$856,Service_Consumables!$A$5:$A$856,$A49,Service_Consumables!$E$5:$E$856,AY$5,Service_Consumables!$H$5:$H$856,"Auto-deduct")</f>
        <v>0</v>
      </c>
      <c r="AZ49" s="15" t="n">
        <f aca="false">SUMIFS(Service_Consumables!$L$5:$L$856,Service_Consumables!$A$5:$A$856,$A49,Service_Consumables!$E$5:$E$856,AZ$5,Service_Consumables!$H$5:$H$856,"Auto-deduct")</f>
        <v>0</v>
      </c>
      <c r="BA49" s="15" t="n">
        <f aca="false">SUMIFS(Service_Consumables!$L$5:$L$856,Service_Consumables!$A$5:$A$856,$A49,Service_Consumables!$E$5:$E$856,BA$5,Service_Consumables!$H$5:$H$856,"Auto-deduct")</f>
        <v>0</v>
      </c>
      <c r="BB49" s="15" t="n">
        <f aca="false">SUMIFS(Service_Consumables!$L$5:$L$856,Service_Consumables!$A$5:$A$856,$A49,Service_Consumables!$E$5:$E$856,BB$5,Service_Consumables!$H$5:$H$856,"Auto-deduct")</f>
        <v>0</v>
      </c>
      <c r="BC49" s="15" t="n">
        <f aca="false">SUMIFS(Service_Consumables!$L$5:$L$856,Service_Consumables!$A$5:$A$856,$A49,Service_Consumables!$E$5:$E$856,BC$5,Service_Consumables!$H$5:$H$856,"Auto-deduct")</f>
        <v>0</v>
      </c>
      <c r="BD49" s="15" t="n">
        <f aca="false">SUMIFS(Service_Consumables!$L$5:$L$856,Service_Consumables!$A$5:$A$856,$A49,Service_Consumables!$E$5:$E$856,BD$5,Service_Consumables!$H$5:$H$856,"Auto-deduct")</f>
        <v>0</v>
      </c>
      <c r="BE49" s="15" t="n">
        <f aca="false">SUMIFS(Service_Consumables!$L$5:$L$856,Service_Consumables!$A$5:$A$856,$A49,Service_Consumables!$E$5:$E$856,BE$5,Service_Consumables!$H$5:$H$856,"Auto-deduct")</f>
        <v>0</v>
      </c>
      <c r="BF49" s="15" t="n">
        <f aca="false">SUMIFS(Service_Consumables!$L$5:$L$856,Service_Consumables!$A$5:$A$856,$A49,Service_Consumables!$E$5:$E$856,BF$5,Service_Consumables!$H$5:$H$856,"Auto-deduct")</f>
        <v>0</v>
      </c>
      <c r="BG49" s="15" t="n">
        <f aca="false">SUMIFS(Service_Consumables!$L$5:$L$856,Service_Consumables!$A$5:$A$856,$A49,Service_Consumables!$E$5:$E$856,BG$5,Service_Consumables!$H$5:$H$856,"Auto-deduct")</f>
        <v>0</v>
      </c>
      <c r="BH49" s="15" t="n">
        <f aca="false">SUMIFS(Service_Consumables!$L$5:$L$856,Service_Consumables!$A$5:$A$856,$A49,Service_Consumables!$E$5:$E$856,BH$5,Service_Consumables!$H$5:$H$856,"Auto-deduct")</f>
        <v>0</v>
      </c>
      <c r="BI49" s="15" t="n">
        <f aca="false">SUMIFS(Service_Consumables!$L$5:$L$856,Service_Consumables!$A$5:$A$856,$A49,Service_Consumables!$E$5:$E$856,BI$5,Service_Consumables!$H$5:$H$856,"Auto-deduct")</f>
        <v>0</v>
      </c>
    </row>
    <row r="50" customFormat="false" ht="15" hidden="false" customHeight="false" outlineLevel="0" collapsed="false">
      <c r="A50" s="14" t="n">
        <f aca="false">Services!A49</f>
        <v>45</v>
      </c>
      <c r="B50" s="14" t="str">
        <f aca="false">Services!B49</f>
        <v>Soft Gel Nail Extensions</v>
      </c>
      <c r="C50" s="14" t="str">
        <f aca="false">Services!C49</f>
        <v>Medium</v>
      </c>
      <c r="D50" s="15" t="n">
        <f aca="false">SUMIFS(Service_Consumables!$L$5:$L$856,Service_Consumables!$A$5:$A$856,$A50,Service_Consumables!$E$5:$E$856,D$5,Service_Consumables!$H$5:$H$856,"Auto-deduct")</f>
        <v>0</v>
      </c>
      <c r="E50" s="15" t="n">
        <f aca="false">SUMIFS(Service_Consumables!$L$5:$L$856,Service_Consumables!$A$5:$A$856,$A50,Service_Consumables!$E$5:$E$856,E$5,Service_Consumables!$H$5:$H$856,"Auto-deduct")</f>
        <v>0</v>
      </c>
      <c r="F50" s="15" t="n">
        <f aca="false">SUMIFS(Service_Consumables!$L$5:$L$856,Service_Consumables!$A$5:$A$856,$A50,Service_Consumables!$E$5:$E$856,F$5,Service_Consumables!$H$5:$H$856,"Auto-deduct")</f>
        <v>0</v>
      </c>
      <c r="G50" s="15" t="n">
        <f aca="false">SUMIFS(Service_Consumables!$L$5:$L$856,Service_Consumables!$A$5:$A$856,$A50,Service_Consumables!$E$5:$E$856,G$5,Service_Consumables!$H$5:$H$856,"Auto-deduct")</f>
        <v>0</v>
      </c>
      <c r="H50" s="15" t="n">
        <f aca="false">SUMIFS(Service_Consumables!$L$5:$L$856,Service_Consumables!$A$5:$A$856,$A50,Service_Consumables!$E$5:$E$856,H$5,Service_Consumables!$H$5:$H$856,"Auto-deduct")</f>
        <v>0</v>
      </c>
      <c r="I50" s="15" t="n">
        <f aca="false">SUMIFS(Service_Consumables!$L$5:$L$856,Service_Consumables!$A$5:$A$856,$A50,Service_Consumables!$E$5:$E$856,I$5,Service_Consumables!$H$5:$H$856,"Auto-deduct")</f>
        <v>0</v>
      </c>
      <c r="J50" s="15" t="n">
        <f aca="false">SUMIFS(Service_Consumables!$L$5:$L$856,Service_Consumables!$A$5:$A$856,$A50,Service_Consumables!$E$5:$E$856,J$5,Service_Consumables!$H$5:$H$856,"Auto-deduct")</f>
        <v>0</v>
      </c>
      <c r="K50" s="15" t="n">
        <f aca="false">SUMIFS(Service_Consumables!$L$5:$L$856,Service_Consumables!$A$5:$A$856,$A50,Service_Consumables!$E$5:$E$856,K$5,Service_Consumables!$H$5:$H$856,"Auto-deduct")</f>
        <v>0</v>
      </c>
      <c r="L50" s="15" t="n">
        <f aca="false">SUMIFS(Service_Consumables!$L$5:$L$856,Service_Consumables!$A$5:$A$856,$A50,Service_Consumables!$E$5:$E$856,L$5,Service_Consumables!$H$5:$H$856,"Auto-deduct")</f>
        <v>0</v>
      </c>
      <c r="M50" s="15" t="n">
        <f aca="false">SUMIFS(Service_Consumables!$L$5:$L$856,Service_Consumables!$A$5:$A$856,$A50,Service_Consumables!$E$5:$E$856,M$5,Service_Consumables!$H$5:$H$856,"Auto-deduct")</f>
        <v>0</v>
      </c>
      <c r="N50" s="15" t="n">
        <f aca="false">SUMIFS(Service_Consumables!$L$5:$L$856,Service_Consumables!$A$5:$A$856,$A50,Service_Consumables!$E$5:$E$856,N$5,Service_Consumables!$H$5:$H$856,"Auto-deduct")</f>
        <v>0</v>
      </c>
      <c r="O50" s="15" t="n">
        <f aca="false">SUMIFS(Service_Consumables!$L$5:$L$856,Service_Consumables!$A$5:$A$856,$A50,Service_Consumables!$E$5:$E$856,O$5,Service_Consumables!$H$5:$H$856,"Auto-deduct")</f>
        <v>0</v>
      </c>
      <c r="P50" s="15" t="n">
        <f aca="false">SUMIFS(Service_Consumables!$L$5:$L$856,Service_Consumables!$A$5:$A$856,$A50,Service_Consumables!$E$5:$E$856,P$5,Service_Consumables!$H$5:$H$856,"Auto-deduct")</f>
        <v>1</v>
      </c>
      <c r="Q50" s="15" t="n">
        <f aca="false">SUMIFS(Service_Consumables!$L$5:$L$856,Service_Consumables!$A$5:$A$856,$A50,Service_Consumables!$E$5:$E$856,Q$5,Service_Consumables!$H$5:$H$856,"Auto-deduct")</f>
        <v>1</v>
      </c>
      <c r="R50" s="15" t="n">
        <f aca="false">SUMIFS(Service_Consumables!$L$5:$L$856,Service_Consumables!$A$5:$A$856,$A50,Service_Consumables!$E$5:$E$856,R$5,Service_Consumables!$H$5:$H$856,"Auto-deduct")</f>
        <v>0</v>
      </c>
      <c r="S50" s="15" t="n">
        <f aca="false">SUMIFS(Service_Consumables!$L$5:$L$856,Service_Consumables!$A$5:$A$856,$A50,Service_Consumables!$E$5:$E$856,S$5,Service_Consumables!$H$5:$H$856,"Auto-deduct")</f>
        <v>4</v>
      </c>
      <c r="T50" s="15" t="n">
        <f aca="false">SUMIFS(Service_Consumables!$L$5:$L$856,Service_Consumables!$A$5:$A$856,$A50,Service_Consumables!$E$5:$E$856,T$5,Service_Consumables!$H$5:$H$856,"Auto-deduct")</f>
        <v>0</v>
      </c>
      <c r="U50" s="15" t="n">
        <f aca="false">SUMIFS(Service_Consumables!$L$5:$L$856,Service_Consumables!$A$5:$A$856,$A50,Service_Consumables!$E$5:$E$856,U$5,Service_Consumables!$H$5:$H$856,"Auto-deduct")</f>
        <v>0</v>
      </c>
      <c r="V50" s="15" t="n">
        <f aca="false">SUMIFS(Service_Consumables!$L$5:$L$856,Service_Consumables!$A$5:$A$856,$A50,Service_Consumables!$E$5:$E$856,V$5,Service_Consumables!$H$5:$H$856,"Auto-deduct")</f>
        <v>5</v>
      </c>
      <c r="W50" s="15" t="n">
        <f aca="false">SUMIFS(Service_Consumables!$L$5:$L$856,Service_Consumables!$A$5:$A$856,$A50,Service_Consumables!$E$5:$E$856,W$5,Service_Consumables!$H$5:$H$856,"Auto-deduct")</f>
        <v>6</v>
      </c>
      <c r="X50" s="15" t="n">
        <f aca="false">SUMIFS(Service_Consumables!$L$5:$L$856,Service_Consumables!$A$5:$A$856,$A50,Service_Consumables!$E$5:$E$856,X$5,Service_Consumables!$H$5:$H$856,"Auto-deduct")</f>
        <v>0</v>
      </c>
      <c r="Y50" s="15" t="n">
        <f aca="false">SUMIFS(Service_Consumables!$L$5:$L$856,Service_Consumables!$A$5:$A$856,$A50,Service_Consumables!$E$5:$E$856,Y$5,Service_Consumables!$H$5:$H$856,"Auto-deduct")</f>
        <v>0</v>
      </c>
      <c r="Z50" s="15" t="n">
        <f aca="false">SUMIFS(Service_Consumables!$L$5:$L$856,Service_Consumables!$A$5:$A$856,$A50,Service_Consumables!$E$5:$E$856,Z$5,Service_Consumables!$H$5:$H$856,"Auto-deduct")</f>
        <v>0</v>
      </c>
      <c r="AA50" s="15" t="n">
        <f aca="false">SUMIFS(Service_Consumables!$L$5:$L$856,Service_Consumables!$A$5:$A$856,$A50,Service_Consumables!$E$5:$E$856,AA$5,Service_Consumables!$H$5:$H$856,"Auto-deduct")</f>
        <v>0</v>
      </c>
      <c r="AB50" s="15" t="n">
        <f aca="false">SUMIFS(Service_Consumables!$L$5:$L$856,Service_Consumables!$A$5:$A$856,$A50,Service_Consumables!$E$5:$E$856,AB$5,Service_Consumables!$H$5:$H$856,"Auto-deduct")</f>
        <v>0</v>
      </c>
      <c r="AC50" s="15" t="n">
        <f aca="false">SUMIFS(Service_Consumables!$L$5:$L$856,Service_Consumables!$A$5:$A$856,$A50,Service_Consumables!$E$5:$E$856,AC$5,Service_Consumables!$H$5:$H$856,"Auto-deduct")</f>
        <v>5.6</v>
      </c>
      <c r="AD50" s="15" t="n">
        <f aca="false">SUMIFS(Service_Consumables!$L$5:$L$856,Service_Consumables!$A$5:$A$856,$A50,Service_Consumables!$E$5:$E$856,AD$5,Service_Consumables!$H$5:$H$856,"Auto-deduct")</f>
        <v>11</v>
      </c>
      <c r="AE50" s="15" t="n">
        <f aca="false">SUMIFS(Service_Consumables!$L$5:$L$856,Service_Consumables!$A$5:$A$856,$A50,Service_Consumables!$E$5:$E$856,AE$5,Service_Consumables!$H$5:$H$856,"Auto-deduct")</f>
        <v>0</v>
      </c>
      <c r="AF50" s="15" t="n">
        <f aca="false">SUMIFS(Service_Consumables!$L$5:$L$856,Service_Consumables!$A$5:$A$856,$A50,Service_Consumables!$E$5:$E$856,AF$5,Service_Consumables!$H$5:$H$856,"Auto-deduct")</f>
        <v>0</v>
      </c>
      <c r="AG50" s="15" t="n">
        <f aca="false">SUMIFS(Service_Consumables!$L$5:$L$856,Service_Consumables!$A$5:$A$856,$A50,Service_Consumables!$E$5:$E$856,AG$5,Service_Consumables!$H$5:$H$856,"Auto-deduct")</f>
        <v>0</v>
      </c>
      <c r="AH50" s="15" t="n">
        <f aca="false">SUMIFS(Service_Consumables!$L$5:$L$856,Service_Consumables!$A$5:$A$856,$A50,Service_Consumables!$E$5:$E$856,AH$5,Service_Consumables!$H$5:$H$856,"Auto-deduct")</f>
        <v>0</v>
      </c>
      <c r="AI50" s="15" t="n">
        <f aca="false">SUMIFS(Service_Consumables!$L$5:$L$856,Service_Consumables!$A$5:$A$856,$A50,Service_Consumables!$E$5:$E$856,AI$5,Service_Consumables!$H$5:$H$856,"Auto-deduct")</f>
        <v>0</v>
      </c>
      <c r="AJ50" s="15" t="n">
        <f aca="false">SUMIFS(Service_Consumables!$L$5:$L$856,Service_Consumables!$A$5:$A$856,$A50,Service_Consumables!$E$5:$E$856,AJ$5,Service_Consumables!$H$5:$H$856,"Auto-deduct")</f>
        <v>0</v>
      </c>
      <c r="AK50" s="15" t="n">
        <f aca="false">SUMIFS(Service_Consumables!$L$5:$L$856,Service_Consumables!$A$5:$A$856,$A50,Service_Consumables!$E$5:$E$856,AK$5,Service_Consumables!$H$5:$H$856,"Auto-deduct")</f>
        <v>0</v>
      </c>
      <c r="AL50" s="15" t="n">
        <f aca="false">SUMIFS(Service_Consumables!$L$5:$L$856,Service_Consumables!$A$5:$A$856,$A50,Service_Consumables!$E$5:$E$856,AL$5,Service_Consumables!$H$5:$H$856,"Auto-deduct")</f>
        <v>0</v>
      </c>
      <c r="AM50" s="15" t="n">
        <f aca="false">SUMIFS(Service_Consumables!$L$5:$L$856,Service_Consumables!$A$5:$A$856,$A50,Service_Consumables!$E$5:$E$856,AM$5,Service_Consumables!$H$5:$H$856,"Auto-deduct")</f>
        <v>0</v>
      </c>
      <c r="AN50" s="15" t="n">
        <f aca="false">SUMIFS(Service_Consumables!$L$5:$L$856,Service_Consumables!$A$5:$A$856,$A50,Service_Consumables!$E$5:$E$856,AN$5,Service_Consumables!$H$5:$H$856,"Auto-deduct")</f>
        <v>0</v>
      </c>
      <c r="AO50" s="15" t="n">
        <f aca="false">SUMIFS(Service_Consumables!$L$5:$L$856,Service_Consumables!$A$5:$A$856,$A50,Service_Consumables!$E$5:$E$856,AO$5,Service_Consumables!$H$5:$H$856,"Auto-deduct")</f>
        <v>0</v>
      </c>
      <c r="AP50" s="15" t="n">
        <f aca="false">SUMIFS(Service_Consumables!$L$5:$L$856,Service_Consumables!$A$5:$A$856,$A50,Service_Consumables!$E$5:$E$856,AP$5,Service_Consumables!$H$5:$H$856,"Auto-deduct")</f>
        <v>0</v>
      </c>
      <c r="AQ50" s="15" t="n">
        <f aca="false">SUMIFS(Service_Consumables!$L$5:$L$856,Service_Consumables!$A$5:$A$856,$A50,Service_Consumables!$E$5:$E$856,AQ$5,Service_Consumables!$H$5:$H$856,"Auto-deduct")</f>
        <v>0</v>
      </c>
      <c r="AR50" s="15" t="n">
        <f aca="false">SUMIFS(Service_Consumables!$L$5:$L$856,Service_Consumables!$A$5:$A$856,$A50,Service_Consumables!$E$5:$E$856,AR$5,Service_Consumables!$H$5:$H$856,"Auto-deduct")</f>
        <v>0</v>
      </c>
      <c r="AS50" s="15" t="n">
        <f aca="false">SUMIFS(Service_Consumables!$L$5:$L$856,Service_Consumables!$A$5:$A$856,$A50,Service_Consumables!$E$5:$E$856,AS$5,Service_Consumables!$H$5:$H$856,"Auto-deduct")</f>
        <v>0</v>
      </c>
      <c r="AT50" s="15" t="n">
        <f aca="false">SUMIFS(Service_Consumables!$L$5:$L$856,Service_Consumables!$A$5:$A$856,$A50,Service_Consumables!$E$5:$E$856,AT$5,Service_Consumables!$H$5:$H$856,"Auto-deduct")</f>
        <v>0</v>
      </c>
      <c r="AU50" s="15" t="n">
        <f aca="false">SUMIFS(Service_Consumables!$L$5:$L$856,Service_Consumables!$A$5:$A$856,$A50,Service_Consumables!$E$5:$E$856,AU$5,Service_Consumables!$H$5:$H$856,"Auto-deduct")</f>
        <v>0</v>
      </c>
      <c r="AV50" s="15" t="n">
        <f aca="false">SUMIFS(Service_Consumables!$L$5:$L$856,Service_Consumables!$A$5:$A$856,$A50,Service_Consumables!$E$5:$E$856,AV$5,Service_Consumables!$H$5:$H$856,"Auto-deduct")</f>
        <v>0</v>
      </c>
      <c r="AW50" s="15" t="n">
        <f aca="false">SUMIFS(Service_Consumables!$L$5:$L$856,Service_Consumables!$A$5:$A$856,$A50,Service_Consumables!$E$5:$E$856,AW$5,Service_Consumables!$H$5:$H$856,"Auto-deduct")</f>
        <v>0</v>
      </c>
      <c r="AX50" s="15" t="n">
        <f aca="false">SUMIFS(Service_Consumables!$L$5:$L$856,Service_Consumables!$A$5:$A$856,$A50,Service_Consumables!$E$5:$E$856,AX$5,Service_Consumables!$H$5:$H$856,"Auto-deduct")</f>
        <v>0</v>
      </c>
      <c r="AY50" s="15" t="n">
        <f aca="false">SUMIFS(Service_Consumables!$L$5:$L$856,Service_Consumables!$A$5:$A$856,$A50,Service_Consumables!$E$5:$E$856,AY$5,Service_Consumables!$H$5:$H$856,"Auto-deduct")</f>
        <v>0</v>
      </c>
      <c r="AZ50" s="15" t="n">
        <f aca="false">SUMIFS(Service_Consumables!$L$5:$L$856,Service_Consumables!$A$5:$A$856,$A50,Service_Consumables!$E$5:$E$856,AZ$5,Service_Consumables!$H$5:$H$856,"Auto-deduct")</f>
        <v>0</v>
      </c>
      <c r="BA50" s="15" t="n">
        <f aca="false">SUMIFS(Service_Consumables!$L$5:$L$856,Service_Consumables!$A$5:$A$856,$A50,Service_Consumables!$E$5:$E$856,BA$5,Service_Consumables!$H$5:$H$856,"Auto-deduct")</f>
        <v>0</v>
      </c>
      <c r="BB50" s="15" t="n">
        <f aca="false">SUMIFS(Service_Consumables!$L$5:$L$856,Service_Consumables!$A$5:$A$856,$A50,Service_Consumables!$E$5:$E$856,BB$5,Service_Consumables!$H$5:$H$856,"Auto-deduct")</f>
        <v>0</v>
      </c>
      <c r="BC50" s="15" t="n">
        <f aca="false">SUMIFS(Service_Consumables!$L$5:$L$856,Service_Consumables!$A$5:$A$856,$A50,Service_Consumables!$E$5:$E$856,BC$5,Service_Consumables!$H$5:$H$856,"Auto-deduct")</f>
        <v>0</v>
      </c>
      <c r="BD50" s="15" t="n">
        <f aca="false">SUMIFS(Service_Consumables!$L$5:$L$856,Service_Consumables!$A$5:$A$856,$A50,Service_Consumables!$E$5:$E$856,BD$5,Service_Consumables!$H$5:$H$856,"Auto-deduct")</f>
        <v>0</v>
      </c>
      <c r="BE50" s="15" t="n">
        <f aca="false">SUMIFS(Service_Consumables!$L$5:$L$856,Service_Consumables!$A$5:$A$856,$A50,Service_Consumables!$E$5:$E$856,BE$5,Service_Consumables!$H$5:$H$856,"Auto-deduct")</f>
        <v>0</v>
      </c>
      <c r="BF50" s="15" t="n">
        <f aca="false">SUMIFS(Service_Consumables!$L$5:$L$856,Service_Consumables!$A$5:$A$856,$A50,Service_Consumables!$E$5:$E$856,BF$5,Service_Consumables!$H$5:$H$856,"Auto-deduct")</f>
        <v>0</v>
      </c>
      <c r="BG50" s="15" t="n">
        <f aca="false">SUMIFS(Service_Consumables!$L$5:$L$856,Service_Consumables!$A$5:$A$856,$A50,Service_Consumables!$E$5:$E$856,BG$5,Service_Consumables!$H$5:$H$856,"Auto-deduct")</f>
        <v>0</v>
      </c>
      <c r="BH50" s="15" t="n">
        <f aca="false">SUMIFS(Service_Consumables!$L$5:$L$856,Service_Consumables!$A$5:$A$856,$A50,Service_Consumables!$E$5:$E$856,BH$5,Service_Consumables!$H$5:$H$856,"Auto-deduct")</f>
        <v>0</v>
      </c>
      <c r="BI50" s="15" t="n">
        <f aca="false">SUMIFS(Service_Consumables!$L$5:$L$856,Service_Consumables!$A$5:$A$856,$A50,Service_Consumables!$E$5:$E$856,BI$5,Service_Consumables!$H$5:$H$856,"Auto-deduct")</f>
        <v>0</v>
      </c>
    </row>
    <row r="51" customFormat="false" ht="15" hidden="false" customHeight="false" outlineLevel="0" collapsed="false">
      <c r="A51" s="14" t="n">
        <f aca="false">Services!A50</f>
        <v>46</v>
      </c>
      <c r="B51" s="14" t="str">
        <f aca="false">Services!B50</f>
        <v>Soft Gel Nail Extensions</v>
      </c>
      <c r="C51" s="14" t="str">
        <f aca="false">Services!C50</f>
        <v>Long</v>
      </c>
      <c r="D51" s="15" t="n">
        <f aca="false">SUMIFS(Service_Consumables!$L$5:$L$856,Service_Consumables!$A$5:$A$856,$A51,Service_Consumables!$E$5:$E$856,D$5,Service_Consumables!$H$5:$H$856,"Auto-deduct")</f>
        <v>0</v>
      </c>
      <c r="E51" s="15" t="n">
        <f aca="false">SUMIFS(Service_Consumables!$L$5:$L$856,Service_Consumables!$A$5:$A$856,$A51,Service_Consumables!$E$5:$E$856,E$5,Service_Consumables!$H$5:$H$856,"Auto-deduct")</f>
        <v>0</v>
      </c>
      <c r="F51" s="15" t="n">
        <f aca="false">SUMIFS(Service_Consumables!$L$5:$L$856,Service_Consumables!$A$5:$A$856,$A51,Service_Consumables!$E$5:$E$856,F$5,Service_Consumables!$H$5:$H$856,"Auto-deduct")</f>
        <v>0</v>
      </c>
      <c r="G51" s="15" t="n">
        <f aca="false">SUMIFS(Service_Consumables!$L$5:$L$856,Service_Consumables!$A$5:$A$856,$A51,Service_Consumables!$E$5:$E$856,G$5,Service_Consumables!$H$5:$H$856,"Auto-deduct")</f>
        <v>0</v>
      </c>
      <c r="H51" s="15" t="n">
        <f aca="false">SUMIFS(Service_Consumables!$L$5:$L$856,Service_Consumables!$A$5:$A$856,$A51,Service_Consumables!$E$5:$E$856,H$5,Service_Consumables!$H$5:$H$856,"Auto-deduct")</f>
        <v>0</v>
      </c>
      <c r="I51" s="15" t="n">
        <f aca="false">SUMIFS(Service_Consumables!$L$5:$L$856,Service_Consumables!$A$5:$A$856,$A51,Service_Consumables!$E$5:$E$856,I$5,Service_Consumables!$H$5:$H$856,"Auto-deduct")</f>
        <v>0</v>
      </c>
      <c r="J51" s="15" t="n">
        <f aca="false">SUMIFS(Service_Consumables!$L$5:$L$856,Service_Consumables!$A$5:$A$856,$A51,Service_Consumables!$E$5:$E$856,J$5,Service_Consumables!$H$5:$H$856,"Auto-deduct")</f>
        <v>0</v>
      </c>
      <c r="K51" s="15" t="n">
        <f aca="false">SUMIFS(Service_Consumables!$L$5:$L$856,Service_Consumables!$A$5:$A$856,$A51,Service_Consumables!$E$5:$E$856,K$5,Service_Consumables!$H$5:$H$856,"Auto-deduct")</f>
        <v>0</v>
      </c>
      <c r="L51" s="15" t="n">
        <f aca="false">SUMIFS(Service_Consumables!$L$5:$L$856,Service_Consumables!$A$5:$A$856,$A51,Service_Consumables!$E$5:$E$856,L$5,Service_Consumables!$H$5:$H$856,"Auto-deduct")</f>
        <v>0</v>
      </c>
      <c r="M51" s="15" t="n">
        <f aca="false">SUMIFS(Service_Consumables!$L$5:$L$856,Service_Consumables!$A$5:$A$856,$A51,Service_Consumables!$E$5:$E$856,M$5,Service_Consumables!$H$5:$H$856,"Auto-deduct")</f>
        <v>0</v>
      </c>
      <c r="N51" s="15" t="n">
        <f aca="false">SUMIFS(Service_Consumables!$L$5:$L$856,Service_Consumables!$A$5:$A$856,$A51,Service_Consumables!$E$5:$E$856,N$5,Service_Consumables!$H$5:$H$856,"Auto-deduct")</f>
        <v>0</v>
      </c>
      <c r="O51" s="15" t="n">
        <f aca="false">SUMIFS(Service_Consumables!$L$5:$L$856,Service_Consumables!$A$5:$A$856,$A51,Service_Consumables!$E$5:$E$856,O$5,Service_Consumables!$H$5:$H$856,"Auto-deduct")</f>
        <v>0</v>
      </c>
      <c r="P51" s="15" t="n">
        <f aca="false">SUMIFS(Service_Consumables!$L$5:$L$856,Service_Consumables!$A$5:$A$856,$A51,Service_Consumables!$E$5:$E$856,P$5,Service_Consumables!$H$5:$H$856,"Auto-deduct")</f>
        <v>1</v>
      </c>
      <c r="Q51" s="15" t="n">
        <f aca="false">SUMIFS(Service_Consumables!$L$5:$L$856,Service_Consumables!$A$5:$A$856,$A51,Service_Consumables!$E$5:$E$856,Q$5,Service_Consumables!$H$5:$H$856,"Auto-deduct")</f>
        <v>1</v>
      </c>
      <c r="R51" s="15" t="n">
        <f aca="false">SUMIFS(Service_Consumables!$L$5:$L$856,Service_Consumables!$A$5:$A$856,$A51,Service_Consumables!$E$5:$E$856,R$5,Service_Consumables!$H$5:$H$856,"Auto-deduct")</f>
        <v>0</v>
      </c>
      <c r="S51" s="15" t="n">
        <f aca="false">SUMIFS(Service_Consumables!$L$5:$L$856,Service_Consumables!$A$5:$A$856,$A51,Service_Consumables!$E$5:$E$856,S$5,Service_Consumables!$H$5:$H$856,"Auto-deduct")</f>
        <v>4</v>
      </c>
      <c r="T51" s="15" t="n">
        <f aca="false">SUMIFS(Service_Consumables!$L$5:$L$856,Service_Consumables!$A$5:$A$856,$A51,Service_Consumables!$E$5:$E$856,T$5,Service_Consumables!$H$5:$H$856,"Auto-deduct")</f>
        <v>0</v>
      </c>
      <c r="U51" s="15" t="n">
        <f aca="false">SUMIFS(Service_Consumables!$L$5:$L$856,Service_Consumables!$A$5:$A$856,$A51,Service_Consumables!$E$5:$E$856,U$5,Service_Consumables!$H$5:$H$856,"Auto-deduct")</f>
        <v>0</v>
      </c>
      <c r="V51" s="15" t="n">
        <f aca="false">SUMIFS(Service_Consumables!$L$5:$L$856,Service_Consumables!$A$5:$A$856,$A51,Service_Consumables!$E$5:$E$856,V$5,Service_Consumables!$H$5:$H$856,"Auto-deduct")</f>
        <v>5</v>
      </c>
      <c r="W51" s="15" t="n">
        <f aca="false">SUMIFS(Service_Consumables!$L$5:$L$856,Service_Consumables!$A$5:$A$856,$A51,Service_Consumables!$E$5:$E$856,W$5,Service_Consumables!$H$5:$H$856,"Auto-deduct")</f>
        <v>6</v>
      </c>
      <c r="X51" s="15" t="n">
        <f aca="false">SUMIFS(Service_Consumables!$L$5:$L$856,Service_Consumables!$A$5:$A$856,$A51,Service_Consumables!$E$5:$E$856,X$5,Service_Consumables!$H$5:$H$856,"Auto-deduct")</f>
        <v>0</v>
      </c>
      <c r="Y51" s="15" t="n">
        <f aca="false">SUMIFS(Service_Consumables!$L$5:$L$856,Service_Consumables!$A$5:$A$856,$A51,Service_Consumables!$E$5:$E$856,Y$5,Service_Consumables!$H$5:$H$856,"Auto-deduct")</f>
        <v>0</v>
      </c>
      <c r="Z51" s="15" t="n">
        <f aca="false">SUMIFS(Service_Consumables!$L$5:$L$856,Service_Consumables!$A$5:$A$856,$A51,Service_Consumables!$E$5:$E$856,Z$5,Service_Consumables!$H$5:$H$856,"Auto-deduct")</f>
        <v>0</v>
      </c>
      <c r="AA51" s="15" t="n">
        <f aca="false">SUMIFS(Service_Consumables!$L$5:$L$856,Service_Consumables!$A$5:$A$856,$A51,Service_Consumables!$E$5:$E$856,AA$5,Service_Consumables!$H$5:$H$856,"Auto-deduct")</f>
        <v>0</v>
      </c>
      <c r="AB51" s="15" t="n">
        <f aca="false">SUMIFS(Service_Consumables!$L$5:$L$856,Service_Consumables!$A$5:$A$856,$A51,Service_Consumables!$E$5:$E$856,AB$5,Service_Consumables!$H$5:$H$856,"Auto-deduct")</f>
        <v>0</v>
      </c>
      <c r="AC51" s="15" t="n">
        <f aca="false">SUMIFS(Service_Consumables!$L$5:$L$856,Service_Consumables!$A$5:$A$856,$A51,Service_Consumables!$E$5:$E$856,AC$5,Service_Consumables!$H$5:$H$856,"Auto-deduct")</f>
        <v>6.2</v>
      </c>
      <c r="AD51" s="15" t="n">
        <f aca="false">SUMIFS(Service_Consumables!$L$5:$L$856,Service_Consumables!$A$5:$A$856,$A51,Service_Consumables!$E$5:$E$856,AD$5,Service_Consumables!$H$5:$H$856,"Auto-deduct")</f>
        <v>12</v>
      </c>
      <c r="AE51" s="15" t="n">
        <f aca="false">SUMIFS(Service_Consumables!$L$5:$L$856,Service_Consumables!$A$5:$A$856,$A51,Service_Consumables!$E$5:$E$856,AE$5,Service_Consumables!$H$5:$H$856,"Auto-deduct")</f>
        <v>0</v>
      </c>
      <c r="AF51" s="15" t="n">
        <f aca="false">SUMIFS(Service_Consumables!$L$5:$L$856,Service_Consumables!$A$5:$A$856,$A51,Service_Consumables!$E$5:$E$856,AF$5,Service_Consumables!$H$5:$H$856,"Auto-deduct")</f>
        <v>0</v>
      </c>
      <c r="AG51" s="15" t="n">
        <f aca="false">SUMIFS(Service_Consumables!$L$5:$L$856,Service_Consumables!$A$5:$A$856,$A51,Service_Consumables!$E$5:$E$856,AG$5,Service_Consumables!$H$5:$H$856,"Auto-deduct")</f>
        <v>0</v>
      </c>
      <c r="AH51" s="15" t="n">
        <f aca="false">SUMIFS(Service_Consumables!$L$5:$L$856,Service_Consumables!$A$5:$A$856,$A51,Service_Consumables!$E$5:$E$856,AH$5,Service_Consumables!$H$5:$H$856,"Auto-deduct")</f>
        <v>0</v>
      </c>
      <c r="AI51" s="15" t="n">
        <f aca="false">SUMIFS(Service_Consumables!$L$5:$L$856,Service_Consumables!$A$5:$A$856,$A51,Service_Consumables!$E$5:$E$856,AI$5,Service_Consumables!$H$5:$H$856,"Auto-deduct")</f>
        <v>0</v>
      </c>
      <c r="AJ51" s="15" t="n">
        <f aca="false">SUMIFS(Service_Consumables!$L$5:$L$856,Service_Consumables!$A$5:$A$856,$A51,Service_Consumables!$E$5:$E$856,AJ$5,Service_Consumables!$H$5:$H$856,"Auto-deduct")</f>
        <v>0</v>
      </c>
      <c r="AK51" s="15" t="n">
        <f aca="false">SUMIFS(Service_Consumables!$L$5:$L$856,Service_Consumables!$A$5:$A$856,$A51,Service_Consumables!$E$5:$E$856,AK$5,Service_Consumables!$H$5:$H$856,"Auto-deduct")</f>
        <v>0</v>
      </c>
      <c r="AL51" s="15" t="n">
        <f aca="false">SUMIFS(Service_Consumables!$L$5:$L$856,Service_Consumables!$A$5:$A$856,$A51,Service_Consumables!$E$5:$E$856,AL$5,Service_Consumables!$H$5:$H$856,"Auto-deduct")</f>
        <v>0</v>
      </c>
      <c r="AM51" s="15" t="n">
        <f aca="false">SUMIFS(Service_Consumables!$L$5:$L$856,Service_Consumables!$A$5:$A$856,$A51,Service_Consumables!$E$5:$E$856,AM$5,Service_Consumables!$H$5:$H$856,"Auto-deduct")</f>
        <v>0</v>
      </c>
      <c r="AN51" s="15" t="n">
        <f aca="false">SUMIFS(Service_Consumables!$L$5:$L$856,Service_Consumables!$A$5:$A$856,$A51,Service_Consumables!$E$5:$E$856,AN$5,Service_Consumables!$H$5:$H$856,"Auto-deduct")</f>
        <v>0</v>
      </c>
      <c r="AO51" s="15" t="n">
        <f aca="false">SUMIFS(Service_Consumables!$L$5:$L$856,Service_Consumables!$A$5:$A$856,$A51,Service_Consumables!$E$5:$E$856,AO$5,Service_Consumables!$H$5:$H$856,"Auto-deduct")</f>
        <v>0</v>
      </c>
      <c r="AP51" s="15" t="n">
        <f aca="false">SUMIFS(Service_Consumables!$L$5:$L$856,Service_Consumables!$A$5:$A$856,$A51,Service_Consumables!$E$5:$E$856,AP$5,Service_Consumables!$H$5:$H$856,"Auto-deduct")</f>
        <v>0</v>
      </c>
      <c r="AQ51" s="15" t="n">
        <f aca="false">SUMIFS(Service_Consumables!$L$5:$L$856,Service_Consumables!$A$5:$A$856,$A51,Service_Consumables!$E$5:$E$856,AQ$5,Service_Consumables!$H$5:$H$856,"Auto-deduct")</f>
        <v>0</v>
      </c>
      <c r="AR51" s="15" t="n">
        <f aca="false">SUMIFS(Service_Consumables!$L$5:$L$856,Service_Consumables!$A$5:$A$856,$A51,Service_Consumables!$E$5:$E$856,AR$5,Service_Consumables!$H$5:$H$856,"Auto-deduct")</f>
        <v>0</v>
      </c>
      <c r="AS51" s="15" t="n">
        <f aca="false">SUMIFS(Service_Consumables!$L$5:$L$856,Service_Consumables!$A$5:$A$856,$A51,Service_Consumables!$E$5:$E$856,AS$5,Service_Consumables!$H$5:$H$856,"Auto-deduct")</f>
        <v>0</v>
      </c>
      <c r="AT51" s="15" t="n">
        <f aca="false">SUMIFS(Service_Consumables!$L$5:$L$856,Service_Consumables!$A$5:$A$856,$A51,Service_Consumables!$E$5:$E$856,AT$5,Service_Consumables!$H$5:$H$856,"Auto-deduct")</f>
        <v>0</v>
      </c>
      <c r="AU51" s="15" t="n">
        <f aca="false">SUMIFS(Service_Consumables!$L$5:$L$856,Service_Consumables!$A$5:$A$856,$A51,Service_Consumables!$E$5:$E$856,AU$5,Service_Consumables!$H$5:$H$856,"Auto-deduct")</f>
        <v>0</v>
      </c>
      <c r="AV51" s="15" t="n">
        <f aca="false">SUMIFS(Service_Consumables!$L$5:$L$856,Service_Consumables!$A$5:$A$856,$A51,Service_Consumables!$E$5:$E$856,AV$5,Service_Consumables!$H$5:$H$856,"Auto-deduct")</f>
        <v>0</v>
      </c>
      <c r="AW51" s="15" t="n">
        <f aca="false">SUMIFS(Service_Consumables!$L$5:$L$856,Service_Consumables!$A$5:$A$856,$A51,Service_Consumables!$E$5:$E$856,AW$5,Service_Consumables!$H$5:$H$856,"Auto-deduct")</f>
        <v>0</v>
      </c>
      <c r="AX51" s="15" t="n">
        <f aca="false">SUMIFS(Service_Consumables!$L$5:$L$856,Service_Consumables!$A$5:$A$856,$A51,Service_Consumables!$E$5:$E$856,AX$5,Service_Consumables!$H$5:$H$856,"Auto-deduct")</f>
        <v>0</v>
      </c>
      <c r="AY51" s="15" t="n">
        <f aca="false">SUMIFS(Service_Consumables!$L$5:$L$856,Service_Consumables!$A$5:$A$856,$A51,Service_Consumables!$E$5:$E$856,AY$5,Service_Consumables!$H$5:$H$856,"Auto-deduct")</f>
        <v>0</v>
      </c>
      <c r="AZ51" s="15" t="n">
        <f aca="false">SUMIFS(Service_Consumables!$L$5:$L$856,Service_Consumables!$A$5:$A$856,$A51,Service_Consumables!$E$5:$E$856,AZ$5,Service_Consumables!$H$5:$H$856,"Auto-deduct")</f>
        <v>0</v>
      </c>
      <c r="BA51" s="15" t="n">
        <f aca="false">SUMIFS(Service_Consumables!$L$5:$L$856,Service_Consumables!$A$5:$A$856,$A51,Service_Consumables!$E$5:$E$856,BA$5,Service_Consumables!$H$5:$H$856,"Auto-deduct")</f>
        <v>0</v>
      </c>
      <c r="BB51" s="15" t="n">
        <f aca="false">SUMIFS(Service_Consumables!$L$5:$L$856,Service_Consumables!$A$5:$A$856,$A51,Service_Consumables!$E$5:$E$856,BB$5,Service_Consumables!$H$5:$H$856,"Auto-deduct")</f>
        <v>0</v>
      </c>
      <c r="BC51" s="15" t="n">
        <f aca="false">SUMIFS(Service_Consumables!$L$5:$L$856,Service_Consumables!$A$5:$A$856,$A51,Service_Consumables!$E$5:$E$856,BC$5,Service_Consumables!$H$5:$H$856,"Auto-deduct")</f>
        <v>0</v>
      </c>
      <c r="BD51" s="15" t="n">
        <f aca="false">SUMIFS(Service_Consumables!$L$5:$L$856,Service_Consumables!$A$5:$A$856,$A51,Service_Consumables!$E$5:$E$856,BD$5,Service_Consumables!$H$5:$H$856,"Auto-deduct")</f>
        <v>0</v>
      </c>
      <c r="BE51" s="15" t="n">
        <f aca="false">SUMIFS(Service_Consumables!$L$5:$L$856,Service_Consumables!$A$5:$A$856,$A51,Service_Consumables!$E$5:$E$856,BE$5,Service_Consumables!$H$5:$H$856,"Auto-deduct")</f>
        <v>0</v>
      </c>
      <c r="BF51" s="15" t="n">
        <f aca="false">SUMIFS(Service_Consumables!$L$5:$L$856,Service_Consumables!$A$5:$A$856,$A51,Service_Consumables!$E$5:$E$856,BF$5,Service_Consumables!$H$5:$H$856,"Auto-deduct")</f>
        <v>0</v>
      </c>
      <c r="BG51" s="15" t="n">
        <f aca="false">SUMIFS(Service_Consumables!$L$5:$L$856,Service_Consumables!$A$5:$A$856,$A51,Service_Consumables!$E$5:$E$856,BG$5,Service_Consumables!$H$5:$H$856,"Auto-deduct")</f>
        <v>0</v>
      </c>
      <c r="BH51" s="15" t="n">
        <f aca="false">SUMIFS(Service_Consumables!$L$5:$L$856,Service_Consumables!$A$5:$A$856,$A51,Service_Consumables!$E$5:$E$856,BH$5,Service_Consumables!$H$5:$H$856,"Auto-deduct")</f>
        <v>0</v>
      </c>
      <c r="BI51" s="15" t="n">
        <f aca="false">SUMIFS(Service_Consumables!$L$5:$L$856,Service_Consumables!$A$5:$A$856,$A51,Service_Consumables!$E$5:$E$856,BI$5,Service_Consumables!$H$5:$H$856,"Auto-deduct")</f>
        <v>0</v>
      </c>
    </row>
    <row r="52" customFormat="false" ht="15" hidden="false" customHeight="false" outlineLevel="0" collapsed="false">
      <c r="A52" s="14" t="n">
        <f aca="false">Services!A51</f>
        <v>47</v>
      </c>
      <c r="B52" s="14" t="str">
        <f aca="false">Services!B51</f>
        <v>Soft Gel Nail Extensions</v>
      </c>
      <c r="C52" s="14" t="str">
        <f aca="false">Services!C51</f>
        <v>Add-on: Nail Art (per nail)</v>
      </c>
      <c r="D52" s="15" t="n">
        <f aca="false">SUMIFS(Service_Consumables!$L$5:$L$856,Service_Consumables!$A$5:$A$856,$A52,Service_Consumables!$E$5:$E$856,D$5,Service_Consumables!$H$5:$H$856,"Auto-deduct")</f>
        <v>0</v>
      </c>
      <c r="E52" s="15" t="n">
        <f aca="false">SUMIFS(Service_Consumables!$L$5:$L$856,Service_Consumables!$A$5:$A$856,$A52,Service_Consumables!$E$5:$E$856,E$5,Service_Consumables!$H$5:$H$856,"Auto-deduct")</f>
        <v>0</v>
      </c>
      <c r="F52" s="15" t="n">
        <f aca="false">SUMIFS(Service_Consumables!$L$5:$L$856,Service_Consumables!$A$5:$A$856,$A52,Service_Consumables!$E$5:$E$856,F$5,Service_Consumables!$H$5:$H$856,"Auto-deduct")</f>
        <v>0</v>
      </c>
      <c r="G52" s="15" t="n">
        <f aca="false">SUMIFS(Service_Consumables!$L$5:$L$856,Service_Consumables!$A$5:$A$856,$A52,Service_Consumables!$E$5:$E$856,G$5,Service_Consumables!$H$5:$H$856,"Auto-deduct")</f>
        <v>0</v>
      </c>
      <c r="H52" s="15" t="n">
        <f aca="false">SUMIFS(Service_Consumables!$L$5:$L$856,Service_Consumables!$A$5:$A$856,$A52,Service_Consumables!$E$5:$E$856,H$5,Service_Consumables!$H$5:$H$856,"Auto-deduct")</f>
        <v>0</v>
      </c>
      <c r="I52" s="15" t="n">
        <f aca="false">SUMIFS(Service_Consumables!$L$5:$L$856,Service_Consumables!$A$5:$A$856,$A52,Service_Consumables!$E$5:$E$856,I$5,Service_Consumables!$H$5:$H$856,"Auto-deduct")</f>
        <v>0</v>
      </c>
      <c r="J52" s="15" t="n">
        <f aca="false">SUMIFS(Service_Consumables!$L$5:$L$856,Service_Consumables!$A$5:$A$856,$A52,Service_Consumables!$E$5:$E$856,J$5,Service_Consumables!$H$5:$H$856,"Auto-deduct")</f>
        <v>0</v>
      </c>
      <c r="K52" s="15" t="n">
        <f aca="false">SUMIFS(Service_Consumables!$L$5:$L$856,Service_Consumables!$A$5:$A$856,$A52,Service_Consumables!$E$5:$E$856,K$5,Service_Consumables!$H$5:$H$856,"Auto-deduct")</f>
        <v>0</v>
      </c>
      <c r="L52" s="15" t="n">
        <f aca="false">SUMIFS(Service_Consumables!$L$5:$L$856,Service_Consumables!$A$5:$A$856,$A52,Service_Consumables!$E$5:$E$856,L$5,Service_Consumables!$H$5:$H$856,"Auto-deduct")</f>
        <v>0</v>
      </c>
      <c r="M52" s="15" t="n">
        <f aca="false">SUMIFS(Service_Consumables!$L$5:$L$856,Service_Consumables!$A$5:$A$856,$A52,Service_Consumables!$E$5:$E$856,M$5,Service_Consumables!$H$5:$H$856,"Auto-deduct")</f>
        <v>0</v>
      </c>
      <c r="N52" s="15" t="n">
        <f aca="false">SUMIFS(Service_Consumables!$L$5:$L$856,Service_Consumables!$A$5:$A$856,$A52,Service_Consumables!$E$5:$E$856,N$5,Service_Consumables!$H$5:$H$856,"Auto-deduct")</f>
        <v>0</v>
      </c>
      <c r="O52" s="15" t="n">
        <f aca="false">SUMIFS(Service_Consumables!$L$5:$L$856,Service_Consumables!$A$5:$A$856,$A52,Service_Consumables!$E$5:$E$856,O$5,Service_Consumables!$H$5:$H$856,"Auto-deduct")</f>
        <v>0</v>
      </c>
      <c r="P52" s="15" t="n">
        <f aca="false">SUMIFS(Service_Consumables!$L$5:$L$856,Service_Consumables!$A$5:$A$856,$A52,Service_Consumables!$E$5:$E$856,P$5,Service_Consumables!$H$5:$H$856,"Auto-deduct")</f>
        <v>0</v>
      </c>
      <c r="Q52" s="15" t="n">
        <f aca="false">SUMIFS(Service_Consumables!$L$5:$L$856,Service_Consumables!$A$5:$A$856,$A52,Service_Consumables!$E$5:$E$856,Q$5,Service_Consumables!$H$5:$H$856,"Auto-deduct")</f>
        <v>0</v>
      </c>
      <c r="R52" s="15" t="n">
        <f aca="false">SUMIFS(Service_Consumables!$L$5:$L$856,Service_Consumables!$A$5:$A$856,$A52,Service_Consumables!$E$5:$E$856,R$5,Service_Consumables!$H$5:$H$856,"Auto-deduct")</f>
        <v>0</v>
      </c>
      <c r="S52" s="15" t="n">
        <f aca="false">SUMIFS(Service_Consumables!$L$5:$L$856,Service_Consumables!$A$5:$A$856,$A52,Service_Consumables!$E$5:$E$856,S$5,Service_Consumables!$H$5:$H$856,"Auto-deduct")</f>
        <v>0</v>
      </c>
      <c r="T52" s="15" t="n">
        <f aca="false">SUMIFS(Service_Consumables!$L$5:$L$856,Service_Consumables!$A$5:$A$856,$A52,Service_Consumables!$E$5:$E$856,T$5,Service_Consumables!$H$5:$H$856,"Auto-deduct")</f>
        <v>0</v>
      </c>
      <c r="U52" s="15" t="n">
        <f aca="false">SUMIFS(Service_Consumables!$L$5:$L$856,Service_Consumables!$A$5:$A$856,$A52,Service_Consumables!$E$5:$E$856,U$5,Service_Consumables!$H$5:$H$856,"Auto-deduct")</f>
        <v>0</v>
      </c>
      <c r="V52" s="15" t="n">
        <f aca="false">SUMIFS(Service_Consumables!$L$5:$L$856,Service_Consumables!$A$5:$A$856,$A52,Service_Consumables!$E$5:$E$856,V$5,Service_Consumables!$H$5:$H$856,"Auto-deduct")</f>
        <v>0</v>
      </c>
      <c r="W52" s="15" t="n">
        <f aca="false">SUMIFS(Service_Consumables!$L$5:$L$856,Service_Consumables!$A$5:$A$856,$A52,Service_Consumables!$E$5:$E$856,W$5,Service_Consumables!$H$5:$H$856,"Auto-deduct")</f>
        <v>2</v>
      </c>
      <c r="X52" s="15" t="n">
        <f aca="false">SUMIFS(Service_Consumables!$L$5:$L$856,Service_Consumables!$A$5:$A$856,$A52,Service_Consumables!$E$5:$E$856,X$5,Service_Consumables!$H$5:$H$856,"Auto-deduct")</f>
        <v>0</v>
      </c>
      <c r="Y52" s="15" t="n">
        <f aca="false">SUMIFS(Service_Consumables!$L$5:$L$856,Service_Consumables!$A$5:$A$856,$A52,Service_Consumables!$E$5:$E$856,Y$5,Service_Consumables!$H$5:$H$856,"Auto-deduct")</f>
        <v>0</v>
      </c>
      <c r="Z52" s="15" t="n">
        <f aca="false">SUMIFS(Service_Consumables!$L$5:$L$856,Service_Consumables!$A$5:$A$856,$A52,Service_Consumables!$E$5:$E$856,Z$5,Service_Consumables!$H$5:$H$856,"Auto-deduct")</f>
        <v>0</v>
      </c>
      <c r="AA52" s="15" t="n">
        <f aca="false">SUMIFS(Service_Consumables!$L$5:$L$856,Service_Consumables!$A$5:$A$856,$A52,Service_Consumables!$E$5:$E$856,AA$5,Service_Consumables!$H$5:$H$856,"Auto-deduct")</f>
        <v>0</v>
      </c>
      <c r="AB52" s="15" t="n">
        <f aca="false">SUMIFS(Service_Consumables!$L$5:$L$856,Service_Consumables!$A$5:$A$856,$A52,Service_Consumables!$E$5:$E$856,AB$5,Service_Consumables!$H$5:$H$856,"Auto-deduct")</f>
        <v>0</v>
      </c>
      <c r="AC52" s="15" t="n">
        <f aca="false">SUMIFS(Service_Consumables!$L$5:$L$856,Service_Consumables!$A$5:$A$856,$A52,Service_Consumables!$E$5:$E$856,AC$5,Service_Consumables!$H$5:$H$856,"Auto-deduct")</f>
        <v>1</v>
      </c>
      <c r="AD52" s="15" t="n">
        <f aca="false">SUMIFS(Service_Consumables!$L$5:$L$856,Service_Consumables!$A$5:$A$856,$A52,Service_Consumables!$E$5:$E$856,AD$5,Service_Consumables!$H$5:$H$856,"Auto-deduct")</f>
        <v>0</v>
      </c>
      <c r="AE52" s="15" t="n">
        <f aca="false">SUMIFS(Service_Consumables!$L$5:$L$856,Service_Consumables!$A$5:$A$856,$A52,Service_Consumables!$E$5:$E$856,AE$5,Service_Consumables!$H$5:$H$856,"Auto-deduct")</f>
        <v>0</v>
      </c>
      <c r="AF52" s="15" t="n">
        <f aca="false">SUMIFS(Service_Consumables!$L$5:$L$856,Service_Consumables!$A$5:$A$856,$A52,Service_Consumables!$E$5:$E$856,AF$5,Service_Consumables!$H$5:$H$856,"Auto-deduct")</f>
        <v>0</v>
      </c>
      <c r="AG52" s="15" t="n">
        <f aca="false">SUMIFS(Service_Consumables!$L$5:$L$856,Service_Consumables!$A$5:$A$856,$A52,Service_Consumables!$E$5:$E$856,AG$5,Service_Consumables!$H$5:$H$856,"Auto-deduct")</f>
        <v>0</v>
      </c>
      <c r="AH52" s="15" t="n">
        <f aca="false">SUMIFS(Service_Consumables!$L$5:$L$856,Service_Consumables!$A$5:$A$856,$A52,Service_Consumables!$E$5:$E$856,AH$5,Service_Consumables!$H$5:$H$856,"Auto-deduct")</f>
        <v>0</v>
      </c>
      <c r="AI52" s="15" t="n">
        <f aca="false">SUMIFS(Service_Consumables!$L$5:$L$856,Service_Consumables!$A$5:$A$856,$A52,Service_Consumables!$E$5:$E$856,AI$5,Service_Consumables!$H$5:$H$856,"Auto-deduct")</f>
        <v>0</v>
      </c>
      <c r="AJ52" s="15" t="n">
        <f aca="false">SUMIFS(Service_Consumables!$L$5:$L$856,Service_Consumables!$A$5:$A$856,$A52,Service_Consumables!$E$5:$E$856,AJ$5,Service_Consumables!$H$5:$H$856,"Auto-deduct")</f>
        <v>0</v>
      </c>
      <c r="AK52" s="15" t="n">
        <f aca="false">SUMIFS(Service_Consumables!$L$5:$L$856,Service_Consumables!$A$5:$A$856,$A52,Service_Consumables!$E$5:$E$856,AK$5,Service_Consumables!$H$5:$H$856,"Auto-deduct")</f>
        <v>0</v>
      </c>
      <c r="AL52" s="15" t="n">
        <f aca="false">SUMIFS(Service_Consumables!$L$5:$L$856,Service_Consumables!$A$5:$A$856,$A52,Service_Consumables!$E$5:$E$856,AL$5,Service_Consumables!$H$5:$H$856,"Auto-deduct")</f>
        <v>0</v>
      </c>
      <c r="AM52" s="15" t="n">
        <f aca="false">SUMIFS(Service_Consumables!$L$5:$L$856,Service_Consumables!$A$5:$A$856,$A52,Service_Consumables!$E$5:$E$856,AM$5,Service_Consumables!$H$5:$H$856,"Auto-deduct")</f>
        <v>0</v>
      </c>
      <c r="AN52" s="15" t="n">
        <f aca="false">SUMIFS(Service_Consumables!$L$5:$L$856,Service_Consumables!$A$5:$A$856,$A52,Service_Consumables!$E$5:$E$856,AN$5,Service_Consumables!$H$5:$H$856,"Auto-deduct")</f>
        <v>0</v>
      </c>
      <c r="AO52" s="15" t="n">
        <f aca="false">SUMIFS(Service_Consumables!$L$5:$L$856,Service_Consumables!$A$5:$A$856,$A52,Service_Consumables!$E$5:$E$856,AO$5,Service_Consumables!$H$5:$H$856,"Auto-deduct")</f>
        <v>0</v>
      </c>
      <c r="AP52" s="15" t="n">
        <f aca="false">SUMIFS(Service_Consumables!$L$5:$L$856,Service_Consumables!$A$5:$A$856,$A52,Service_Consumables!$E$5:$E$856,AP$5,Service_Consumables!$H$5:$H$856,"Auto-deduct")</f>
        <v>0</v>
      </c>
      <c r="AQ52" s="15" t="n">
        <f aca="false">SUMIFS(Service_Consumables!$L$5:$L$856,Service_Consumables!$A$5:$A$856,$A52,Service_Consumables!$E$5:$E$856,AQ$5,Service_Consumables!$H$5:$H$856,"Auto-deduct")</f>
        <v>0</v>
      </c>
      <c r="AR52" s="15" t="n">
        <f aca="false">SUMIFS(Service_Consumables!$L$5:$L$856,Service_Consumables!$A$5:$A$856,$A52,Service_Consumables!$E$5:$E$856,AR$5,Service_Consumables!$H$5:$H$856,"Auto-deduct")</f>
        <v>0</v>
      </c>
      <c r="AS52" s="15" t="n">
        <f aca="false">SUMIFS(Service_Consumables!$L$5:$L$856,Service_Consumables!$A$5:$A$856,$A52,Service_Consumables!$E$5:$E$856,AS$5,Service_Consumables!$H$5:$H$856,"Auto-deduct")</f>
        <v>0</v>
      </c>
      <c r="AT52" s="15" t="n">
        <f aca="false">SUMIFS(Service_Consumables!$L$5:$L$856,Service_Consumables!$A$5:$A$856,$A52,Service_Consumables!$E$5:$E$856,AT$5,Service_Consumables!$H$5:$H$856,"Auto-deduct")</f>
        <v>0</v>
      </c>
      <c r="AU52" s="15" t="n">
        <f aca="false">SUMIFS(Service_Consumables!$L$5:$L$856,Service_Consumables!$A$5:$A$856,$A52,Service_Consumables!$E$5:$E$856,AU$5,Service_Consumables!$H$5:$H$856,"Auto-deduct")</f>
        <v>0</v>
      </c>
      <c r="AV52" s="15" t="n">
        <f aca="false">SUMIFS(Service_Consumables!$L$5:$L$856,Service_Consumables!$A$5:$A$856,$A52,Service_Consumables!$E$5:$E$856,AV$5,Service_Consumables!$H$5:$H$856,"Auto-deduct")</f>
        <v>0</v>
      </c>
      <c r="AW52" s="15" t="n">
        <f aca="false">SUMIFS(Service_Consumables!$L$5:$L$856,Service_Consumables!$A$5:$A$856,$A52,Service_Consumables!$E$5:$E$856,AW$5,Service_Consumables!$H$5:$H$856,"Auto-deduct")</f>
        <v>0</v>
      </c>
      <c r="AX52" s="15" t="n">
        <f aca="false">SUMIFS(Service_Consumables!$L$5:$L$856,Service_Consumables!$A$5:$A$856,$A52,Service_Consumables!$E$5:$E$856,AX$5,Service_Consumables!$H$5:$H$856,"Auto-deduct")</f>
        <v>0</v>
      </c>
      <c r="AY52" s="15" t="n">
        <f aca="false">SUMIFS(Service_Consumables!$L$5:$L$856,Service_Consumables!$A$5:$A$856,$A52,Service_Consumables!$E$5:$E$856,AY$5,Service_Consumables!$H$5:$H$856,"Auto-deduct")</f>
        <v>0</v>
      </c>
      <c r="AZ52" s="15" t="n">
        <f aca="false">SUMIFS(Service_Consumables!$L$5:$L$856,Service_Consumables!$A$5:$A$856,$A52,Service_Consumables!$E$5:$E$856,AZ$5,Service_Consumables!$H$5:$H$856,"Auto-deduct")</f>
        <v>0</v>
      </c>
      <c r="BA52" s="15" t="n">
        <f aca="false">SUMIFS(Service_Consumables!$L$5:$L$856,Service_Consumables!$A$5:$A$856,$A52,Service_Consumables!$E$5:$E$856,BA$5,Service_Consumables!$H$5:$H$856,"Auto-deduct")</f>
        <v>0</v>
      </c>
      <c r="BB52" s="15" t="n">
        <f aca="false">SUMIFS(Service_Consumables!$L$5:$L$856,Service_Consumables!$A$5:$A$856,$A52,Service_Consumables!$E$5:$E$856,BB$5,Service_Consumables!$H$5:$H$856,"Auto-deduct")</f>
        <v>0</v>
      </c>
      <c r="BC52" s="15" t="n">
        <f aca="false">SUMIFS(Service_Consumables!$L$5:$L$856,Service_Consumables!$A$5:$A$856,$A52,Service_Consumables!$E$5:$E$856,BC$5,Service_Consumables!$H$5:$H$856,"Auto-deduct")</f>
        <v>0</v>
      </c>
      <c r="BD52" s="15" t="n">
        <f aca="false">SUMIFS(Service_Consumables!$L$5:$L$856,Service_Consumables!$A$5:$A$856,$A52,Service_Consumables!$E$5:$E$856,BD$5,Service_Consumables!$H$5:$H$856,"Auto-deduct")</f>
        <v>0</v>
      </c>
      <c r="BE52" s="15" t="n">
        <f aca="false">SUMIFS(Service_Consumables!$L$5:$L$856,Service_Consumables!$A$5:$A$856,$A52,Service_Consumables!$E$5:$E$856,BE$5,Service_Consumables!$H$5:$H$856,"Auto-deduct")</f>
        <v>0</v>
      </c>
      <c r="BF52" s="15" t="n">
        <f aca="false">SUMIFS(Service_Consumables!$L$5:$L$856,Service_Consumables!$A$5:$A$856,$A52,Service_Consumables!$E$5:$E$856,BF$5,Service_Consumables!$H$5:$H$856,"Auto-deduct")</f>
        <v>0</v>
      </c>
      <c r="BG52" s="15" t="n">
        <f aca="false">SUMIFS(Service_Consumables!$L$5:$L$856,Service_Consumables!$A$5:$A$856,$A52,Service_Consumables!$E$5:$E$856,BG$5,Service_Consumables!$H$5:$H$856,"Auto-deduct")</f>
        <v>0</v>
      </c>
      <c r="BH52" s="15" t="n">
        <f aca="false">SUMIFS(Service_Consumables!$L$5:$L$856,Service_Consumables!$A$5:$A$856,$A52,Service_Consumables!$E$5:$E$856,BH$5,Service_Consumables!$H$5:$H$856,"Auto-deduct")</f>
        <v>0</v>
      </c>
      <c r="BI52" s="15" t="n">
        <f aca="false">SUMIFS(Service_Consumables!$L$5:$L$856,Service_Consumables!$A$5:$A$856,$A52,Service_Consumables!$E$5:$E$856,BI$5,Service_Consumables!$H$5:$H$856,"Auto-deduct")</f>
        <v>0</v>
      </c>
    </row>
    <row r="53" customFormat="false" ht="15" hidden="false" customHeight="false" outlineLevel="0" collapsed="false">
      <c r="A53" s="14" t="n">
        <f aca="false">Services!A52</f>
        <v>48</v>
      </c>
      <c r="B53" s="14" t="str">
        <f aca="false">Services!B52</f>
        <v>Soft Gel Nail Extensions</v>
      </c>
      <c r="C53" s="14" t="str">
        <f aca="false">Services!C52</f>
        <v>Add-on: Artistic Nails</v>
      </c>
      <c r="D53" s="15" t="n">
        <f aca="false">SUMIFS(Service_Consumables!$L$5:$L$856,Service_Consumables!$A$5:$A$856,$A53,Service_Consumables!$E$5:$E$856,D$5,Service_Consumables!$H$5:$H$856,"Auto-deduct")</f>
        <v>0</v>
      </c>
      <c r="E53" s="15" t="n">
        <f aca="false">SUMIFS(Service_Consumables!$L$5:$L$856,Service_Consumables!$A$5:$A$856,$A53,Service_Consumables!$E$5:$E$856,E$5,Service_Consumables!$H$5:$H$856,"Auto-deduct")</f>
        <v>0</v>
      </c>
      <c r="F53" s="15" t="n">
        <f aca="false">SUMIFS(Service_Consumables!$L$5:$L$856,Service_Consumables!$A$5:$A$856,$A53,Service_Consumables!$E$5:$E$856,F$5,Service_Consumables!$H$5:$H$856,"Auto-deduct")</f>
        <v>0</v>
      </c>
      <c r="G53" s="15" t="n">
        <f aca="false">SUMIFS(Service_Consumables!$L$5:$L$856,Service_Consumables!$A$5:$A$856,$A53,Service_Consumables!$E$5:$E$856,G$5,Service_Consumables!$H$5:$H$856,"Auto-deduct")</f>
        <v>0</v>
      </c>
      <c r="H53" s="15" t="n">
        <f aca="false">SUMIFS(Service_Consumables!$L$5:$L$856,Service_Consumables!$A$5:$A$856,$A53,Service_Consumables!$E$5:$E$856,H$5,Service_Consumables!$H$5:$H$856,"Auto-deduct")</f>
        <v>0</v>
      </c>
      <c r="I53" s="15" t="n">
        <f aca="false">SUMIFS(Service_Consumables!$L$5:$L$856,Service_Consumables!$A$5:$A$856,$A53,Service_Consumables!$E$5:$E$856,I$5,Service_Consumables!$H$5:$H$856,"Auto-deduct")</f>
        <v>0</v>
      </c>
      <c r="J53" s="15" t="n">
        <f aca="false">SUMIFS(Service_Consumables!$L$5:$L$856,Service_Consumables!$A$5:$A$856,$A53,Service_Consumables!$E$5:$E$856,J$5,Service_Consumables!$H$5:$H$856,"Auto-deduct")</f>
        <v>0</v>
      </c>
      <c r="K53" s="15" t="n">
        <f aca="false">SUMIFS(Service_Consumables!$L$5:$L$856,Service_Consumables!$A$5:$A$856,$A53,Service_Consumables!$E$5:$E$856,K$5,Service_Consumables!$H$5:$H$856,"Auto-deduct")</f>
        <v>0</v>
      </c>
      <c r="L53" s="15" t="n">
        <f aca="false">SUMIFS(Service_Consumables!$L$5:$L$856,Service_Consumables!$A$5:$A$856,$A53,Service_Consumables!$E$5:$E$856,L$5,Service_Consumables!$H$5:$H$856,"Auto-deduct")</f>
        <v>0</v>
      </c>
      <c r="M53" s="15" t="n">
        <f aca="false">SUMIFS(Service_Consumables!$L$5:$L$856,Service_Consumables!$A$5:$A$856,$A53,Service_Consumables!$E$5:$E$856,M$5,Service_Consumables!$H$5:$H$856,"Auto-deduct")</f>
        <v>0</v>
      </c>
      <c r="N53" s="15" t="n">
        <f aca="false">SUMIFS(Service_Consumables!$L$5:$L$856,Service_Consumables!$A$5:$A$856,$A53,Service_Consumables!$E$5:$E$856,N$5,Service_Consumables!$H$5:$H$856,"Auto-deduct")</f>
        <v>0</v>
      </c>
      <c r="O53" s="15" t="n">
        <f aca="false">SUMIFS(Service_Consumables!$L$5:$L$856,Service_Consumables!$A$5:$A$856,$A53,Service_Consumables!$E$5:$E$856,O$5,Service_Consumables!$H$5:$H$856,"Auto-deduct")</f>
        <v>0</v>
      </c>
      <c r="P53" s="15" t="n">
        <f aca="false">SUMIFS(Service_Consumables!$L$5:$L$856,Service_Consumables!$A$5:$A$856,$A53,Service_Consumables!$E$5:$E$856,P$5,Service_Consumables!$H$5:$H$856,"Auto-deduct")</f>
        <v>0</v>
      </c>
      <c r="Q53" s="15" t="n">
        <f aca="false">SUMIFS(Service_Consumables!$L$5:$L$856,Service_Consumables!$A$5:$A$856,$A53,Service_Consumables!$E$5:$E$856,Q$5,Service_Consumables!$H$5:$H$856,"Auto-deduct")</f>
        <v>0</v>
      </c>
      <c r="R53" s="15" t="n">
        <f aca="false">SUMIFS(Service_Consumables!$L$5:$L$856,Service_Consumables!$A$5:$A$856,$A53,Service_Consumables!$E$5:$E$856,R$5,Service_Consumables!$H$5:$H$856,"Auto-deduct")</f>
        <v>0</v>
      </c>
      <c r="S53" s="15" t="n">
        <f aca="false">SUMIFS(Service_Consumables!$L$5:$L$856,Service_Consumables!$A$5:$A$856,$A53,Service_Consumables!$E$5:$E$856,S$5,Service_Consumables!$H$5:$H$856,"Auto-deduct")</f>
        <v>0</v>
      </c>
      <c r="T53" s="15" t="n">
        <f aca="false">SUMIFS(Service_Consumables!$L$5:$L$856,Service_Consumables!$A$5:$A$856,$A53,Service_Consumables!$E$5:$E$856,T$5,Service_Consumables!$H$5:$H$856,"Auto-deduct")</f>
        <v>0</v>
      </c>
      <c r="U53" s="15" t="n">
        <f aca="false">SUMIFS(Service_Consumables!$L$5:$L$856,Service_Consumables!$A$5:$A$856,$A53,Service_Consumables!$E$5:$E$856,U$5,Service_Consumables!$H$5:$H$856,"Auto-deduct")</f>
        <v>0</v>
      </c>
      <c r="V53" s="15" t="n">
        <f aca="false">SUMIFS(Service_Consumables!$L$5:$L$856,Service_Consumables!$A$5:$A$856,$A53,Service_Consumables!$E$5:$E$856,V$5,Service_Consumables!$H$5:$H$856,"Auto-deduct")</f>
        <v>0</v>
      </c>
      <c r="W53" s="15" t="n">
        <f aca="false">SUMIFS(Service_Consumables!$L$5:$L$856,Service_Consumables!$A$5:$A$856,$A53,Service_Consumables!$E$5:$E$856,W$5,Service_Consumables!$H$5:$H$856,"Auto-deduct")</f>
        <v>4</v>
      </c>
      <c r="X53" s="15" t="n">
        <f aca="false">SUMIFS(Service_Consumables!$L$5:$L$856,Service_Consumables!$A$5:$A$856,$A53,Service_Consumables!$E$5:$E$856,X$5,Service_Consumables!$H$5:$H$856,"Auto-deduct")</f>
        <v>0</v>
      </c>
      <c r="Y53" s="15" t="n">
        <f aca="false">SUMIFS(Service_Consumables!$L$5:$L$856,Service_Consumables!$A$5:$A$856,$A53,Service_Consumables!$E$5:$E$856,Y$5,Service_Consumables!$H$5:$H$856,"Auto-deduct")</f>
        <v>0</v>
      </c>
      <c r="Z53" s="15" t="n">
        <f aca="false">SUMIFS(Service_Consumables!$L$5:$L$856,Service_Consumables!$A$5:$A$856,$A53,Service_Consumables!$E$5:$E$856,Z$5,Service_Consumables!$H$5:$H$856,"Auto-deduct")</f>
        <v>0</v>
      </c>
      <c r="AA53" s="15" t="n">
        <f aca="false">SUMIFS(Service_Consumables!$L$5:$L$856,Service_Consumables!$A$5:$A$856,$A53,Service_Consumables!$E$5:$E$856,AA$5,Service_Consumables!$H$5:$H$856,"Auto-deduct")</f>
        <v>0</v>
      </c>
      <c r="AB53" s="15" t="n">
        <f aca="false">SUMIFS(Service_Consumables!$L$5:$L$856,Service_Consumables!$A$5:$A$856,$A53,Service_Consumables!$E$5:$E$856,AB$5,Service_Consumables!$H$5:$H$856,"Auto-deduct")</f>
        <v>0</v>
      </c>
      <c r="AC53" s="15" t="n">
        <f aca="false">SUMIFS(Service_Consumables!$L$5:$L$856,Service_Consumables!$A$5:$A$856,$A53,Service_Consumables!$E$5:$E$856,AC$5,Service_Consumables!$H$5:$H$856,"Auto-deduct")</f>
        <v>2</v>
      </c>
      <c r="AD53" s="15" t="n">
        <f aca="false">SUMIFS(Service_Consumables!$L$5:$L$856,Service_Consumables!$A$5:$A$856,$A53,Service_Consumables!$E$5:$E$856,AD$5,Service_Consumables!$H$5:$H$856,"Auto-deduct")</f>
        <v>0</v>
      </c>
      <c r="AE53" s="15" t="n">
        <f aca="false">SUMIFS(Service_Consumables!$L$5:$L$856,Service_Consumables!$A$5:$A$856,$A53,Service_Consumables!$E$5:$E$856,AE$5,Service_Consumables!$H$5:$H$856,"Auto-deduct")</f>
        <v>0</v>
      </c>
      <c r="AF53" s="15" t="n">
        <f aca="false">SUMIFS(Service_Consumables!$L$5:$L$856,Service_Consumables!$A$5:$A$856,$A53,Service_Consumables!$E$5:$E$856,AF$5,Service_Consumables!$H$5:$H$856,"Auto-deduct")</f>
        <v>0</v>
      </c>
      <c r="AG53" s="15" t="n">
        <f aca="false">SUMIFS(Service_Consumables!$L$5:$L$856,Service_Consumables!$A$5:$A$856,$A53,Service_Consumables!$E$5:$E$856,AG$5,Service_Consumables!$H$5:$H$856,"Auto-deduct")</f>
        <v>0</v>
      </c>
      <c r="AH53" s="15" t="n">
        <f aca="false">SUMIFS(Service_Consumables!$L$5:$L$856,Service_Consumables!$A$5:$A$856,$A53,Service_Consumables!$E$5:$E$856,AH$5,Service_Consumables!$H$5:$H$856,"Auto-deduct")</f>
        <v>0</v>
      </c>
      <c r="AI53" s="15" t="n">
        <f aca="false">SUMIFS(Service_Consumables!$L$5:$L$856,Service_Consumables!$A$5:$A$856,$A53,Service_Consumables!$E$5:$E$856,AI$5,Service_Consumables!$H$5:$H$856,"Auto-deduct")</f>
        <v>0</v>
      </c>
      <c r="AJ53" s="15" t="n">
        <f aca="false">SUMIFS(Service_Consumables!$L$5:$L$856,Service_Consumables!$A$5:$A$856,$A53,Service_Consumables!$E$5:$E$856,AJ$5,Service_Consumables!$H$5:$H$856,"Auto-deduct")</f>
        <v>0</v>
      </c>
      <c r="AK53" s="15" t="n">
        <f aca="false">SUMIFS(Service_Consumables!$L$5:$L$856,Service_Consumables!$A$5:$A$856,$A53,Service_Consumables!$E$5:$E$856,AK$5,Service_Consumables!$H$5:$H$856,"Auto-deduct")</f>
        <v>0</v>
      </c>
      <c r="AL53" s="15" t="n">
        <f aca="false">SUMIFS(Service_Consumables!$L$5:$L$856,Service_Consumables!$A$5:$A$856,$A53,Service_Consumables!$E$5:$E$856,AL$5,Service_Consumables!$H$5:$H$856,"Auto-deduct")</f>
        <v>0</v>
      </c>
      <c r="AM53" s="15" t="n">
        <f aca="false">SUMIFS(Service_Consumables!$L$5:$L$856,Service_Consumables!$A$5:$A$856,$A53,Service_Consumables!$E$5:$E$856,AM$5,Service_Consumables!$H$5:$H$856,"Auto-deduct")</f>
        <v>0</v>
      </c>
      <c r="AN53" s="15" t="n">
        <f aca="false">SUMIFS(Service_Consumables!$L$5:$L$856,Service_Consumables!$A$5:$A$856,$A53,Service_Consumables!$E$5:$E$856,AN$5,Service_Consumables!$H$5:$H$856,"Auto-deduct")</f>
        <v>0</v>
      </c>
      <c r="AO53" s="15" t="n">
        <f aca="false">SUMIFS(Service_Consumables!$L$5:$L$856,Service_Consumables!$A$5:$A$856,$A53,Service_Consumables!$E$5:$E$856,AO$5,Service_Consumables!$H$5:$H$856,"Auto-deduct")</f>
        <v>0</v>
      </c>
      <c r="AP53" s="15" t="n">
        <f aca="false">SUMIFS(Service_Consumables!$L$5:$L$856,Service_Consumables!$A$5:$A$856,$A53,Service_Consumables!$E$5:$E$856,AP$5,Service_Consumables!$H$5:$H$856,"Auto-deduct")</f>
        <v>0</v>
      </c>
      <c r="AQ53" s="15" t="n">
        <f aca="false">SUMIFS(Service_Consumables!$L$5:$L$856,Service_Consumables!$A$5:$A$856,$A53,Service_Consumables!$E$5:$E$856,AQ$5,Service_Consumables!$H$5:$H$856,"Auto-deduct")</f>
        <v>0</v>
      </c>
      <c r="AR53" s="15" t="n">
        <f aca="false">SUMIFS(Service_Consumables!$L$5:$L$856,Service_Consumables!$A$5:$A$856,$A53,Service_Consumables!$E$5:$E$856,AR$5,Service_Consumables!$H$5:$H$856,"Auto-deduct")</f>
        <v>0</v>
      </c>
      <c r="AS53" s="15" t="n">
        <f aca="false">SUMIFS(Service_Consumables!$L$5:$L$856,Service_Consumables!$A$5:$A$856,$A53,Service_Consumables!$E$5:$E$856,AS$5,Service_Consumables!$H$5:$H$856,"Auto-deduct")</f>
        <v>0</v>
      </c>
      <c r="AT53" s="15" t="n">
        <f aca="false">SUMIFS(Service_Consumables!$L$5:$L$856,Service_Consumables!$A$5:$A$856,$A53,Service_Consumables!$E$5:$E$856,AT$5,Service_Consumables!$H$5:$H$856,"Auto-deduct")</f>
        <v>0</v>
      </c>
      <c r="AU53" s="15" t="n">
        <f aca="false">SUMIFS(Service_Consumables!$L$5:$L$856,Service_Consumables!$A$5:$A$856,$A53,Service_Consumables!$E$5:$E$856,AU$5,Service_Consumables!$H$5:$H$856,"Auto-deduct")</f>
        <v>0</v>
      </c>
      <c r="AV53" s="15" t="n">
        <f aca="false">SUMIFS(Service_Consumables!$L$5:$L$856,Service_Consumables!$A$5:$A$856,$A53,Service_Consumables!$E$5:$E$856,AV$5,Service_Consumables!$H$5:$H$856,"Auto-deduct")</f>
        <v>0</v>
      </c>
      <c r="AW53" s="15" t="n">
        <f aca="false">SUMIFS(Service_Consumables!$L$5:$L$856,Service_Consumables!$A$5:$A$856,$A53,Service_Consumables!$E$5:$E$856,AW$5,Service_Consumables!$H$5:$H$856,"Auto-deduct")</f>
        <v>0</v>
      </c>
      <c r="AX53" s="15" t="n">
        <f aca="false">SUMIFS(Service_Consumables!$L$5:$L$856,Service_Consumables!$A$5:$A$856,$A53,Service_Consumables!$E$5:$E$856,AX$5,Service_Consumables!$H$5:$H$856,"Auto-deduct")</f>
        <v>0</v>
      </c>
      <c r="AY53" s="15" t="n">
        <f aca="false">SUMIFS(Service_Consumables!$L$5:$L$856,Service_Consumables!$A$5:$A$856,$A53,Service_Consumables!$E$5:$E$856,AY$5,Service_Consumables!$H$5:$H$856,"Auto-deduct")</f>
        <v>0</v>
      </c>
      <c r="AZ53" s="15" t="n">
        <f aca="false">SUMIFS(Service_Consumables!$L$5:$L$856,Service_Consumables!$A$5:$A$856,$A53,Service_Consumables!$E$5:$E$856,AZ$5,Service_Consumables!$H$5:$H$856,"Auto-deduct")</f>
        <v>0</v>
      </c>
      <c r="BA53" s="15" t="n">
        <f aca="false">SUMIFS(Service_Consumables!$L$5:$L$856,Service_Consumables!$A$5:$A$856,$A53,Service_Consumables!$E$5:$E$856,BA$5,Service_Consumables!$H$5:$H$856,"Auto-deduct")</f>
        <v>0</v>
      </c>
      <c r="BB53" s="15" t="n">
        <f aca="false">SUMIFS(Service_Consumables!$L$5:$L$856,Service_Consumables!$A$5:$A$856,$A53,Service_Consumables!$E$5:$E$856,BB$5,Service_Consumables!$H$5:$H$856,"Auto-deduct")</f>
        <v>0</v>
      </c>
      <c r="BC53" s="15" t="n">
        <f aca="false">SUMIFS(Service_Consumables!$L$5:$L$856,Service_Consumables!$A$5:$A$856,$A53,Service_Consumables!$E$5:$E$856,BC$5,Service_Consumables!$H$5:$H$856,"Auto-deduct")</f>
        <v>0</v>
      </c>
      <c r="BD53" s="15" t="n">
        <f aca="false">SUMIFS(Service_Consumables!$L$5:$L$856,Service_Consumables!$A$5:$A$856,$A53,Service_Consumables!$E$5:$E$856,BD$5,Service_Consumables!$H$5:$H$856,"Auto-deduct")</f>
        <v>0</v>
      </c>
      <c r="BE53" s="15" t="n">
        <f aca="false">SUMIFS(Service_Consumables!$L$5:$L$856,Service_Consumables!$A$5:$A$856,$A53,Service_Consumables!$E$5:$E$856,BE$5,Service_Consumables!$H$5:$H$856,"Auto-deduct")</f>
        <v>0</v>
      </c>
      <c r="BF53" s="15" t="n">
        <f aca="false">SUMIFS(Service_Consumables!$L$5:$L$856,Service_Consumables!$A$5:$A$856,$A53,Service_Consumables!$E$5:$E$856,BF$5,Service_Consumables!$H$5:$H$856,"Auto-deduct")</f>
        <v>0</v>
      </c>
      <c r="BG53" s="15" t="n">
        <f aca="false">SUMIFS(Service_Consumables!$L$5:$L$856,Service_Consumables!$A$5:$A$856,$A53,Service_Consumables!$E$5:$E$856,BG$5,Service_Consumables!$H$5:$H$856,"Auto-deduct")</f>
        <v>0</v>
      </c>
      <c r="BH53" s="15" t="n">
        <f aca="false">SUMIFS(Service_Consumables!$L$5:$L$856,Service_Consumables!$A$5:$A$856,$A53,Service_Consumables!$E$5:$E$856,BH$5,Service_Consumables!$H$5:$H$856,"Auto-deduct")</f>
        <v>0</v>
      </c>
      <c r="BI53" s="15" t="n">
        <f aca="false">SUMIFS(Service_Consumables!$L$5:$L$856,Service_Consumables!$A$5:$A$856,$A53,Service_Consumables!$E$5:$E$856,BI$5,Service_Consumables!$H$5:$H$856,"Auto-deduct")</f>
        <v>0</v>
      </c>
    </row>
    <row r="54" customFormat="false" ht="15" hidden="false" customHeight="false" outlineLevel="0" collapsed="false">
      <c r="A54" s="14" t="n">
        <f aca="false">Services!A53</f>
        <v>49</v>
      </c>
      <c r="B54" s="14" t="str">
        <f aca="false">Services!B53</f>
        <v>Soft Gel Nail Extensions</v>
      </c>
      <c r="C54" s="14" t="str">
        <f aca="false">Services!C53</f>
        <v>Add-on: Rhinestones &amp; Accessories</v>
      </c>
      <c r="D54" s="15" t="n">
        <f aca="false">SUMIFS(Service_Consumables!$L$5:$L$856,Service_Consumables!$A$5:$A$856,$A54,Service_Consumables!$E$5:$E$856,D$5,Service_Consumables!$H$5:$H$856,"Auto-deduct")</f>
        <v>0</v>
      </c>
      <c r="E54" s="15" t="n">
        <f aca="false">SUMIFS(Service_Consumables!$L$5:$L$856,Service_Consumables!$A$5:$A$856,$A54,Service_Consumables!$E$5:$E$856,E$5,Service_Consumables!$H$5:$H$856,"Auto-deduct")</f>
        <v>0</v>
      </c>
      <c r="F54" s="15" t="n">
        <f aca="false">SUMIFS(Service_Consumables!$L$5:$L$856,Service_Consumables!$A$5:$A$856,$A54,Service_Consumables!$E$5:$E$856,F$5,Service_Consumables!$H$5:$H$856,"Auto-deduct")</f>
        <v>0</v>
      </c>
      <c r="G54" s="15" t="n">
        <f aca="false">SUMIFS(Service_Consumables!$L$5:$L$856,Service_Consumables!$A$5:$A$856,$A54,Service_Consumables!$E$5:$E$856,G$5,Service_Consumables!$H$5:$H$856,"Auto-deduct")</f>
        <v>0</v>
      </c>
      <c r="H54" s="15" t="n">
        <f aca="false">SUMIFS(Service_Consumables!$L$5:$L$856,Service_Consumables!$A$5:$A$856,$A54,Service_Consumables!$E$5:$E$856,H$5,Service_Consumables!$H$5:$H$856,"Auto-deduct")</f>
        <v>0</v>
      </c>
      <c r="I54" s="15" t="n">
        <f aca="false">SUMIFS(Service_Consumables!$L$5:$L$856,Service_Consumables!$A$5:$A$856,$A54,Service_Consumables!$E$5:$E$856,I$5,Service_Consumables!$H$5:$H$856,"Auto-deduct")</f>
        <v>0</v>
      </c>
      <c r="J54" s="15" t="n">
        <f aca="false">SUMIFS(Service_Consumables!$L$5:$L$856,Service_Consumables!$A$5:$A$856,$A54,Service_Consumables!$E$5:$E$856,J$5,Service_Consumables!$H$5:$H$856,"Auto-deduct")</f>
        <v>0</v>
      </c>
      <c r="K54" s="15" t="n">
        <f aca="false">SUMIFS(Service_Consumables!$L$5:$L$856,Service_Consumables!$A$5:$A$856,$A54,Service_Consumables!$E$5:$E$856,K$5,Service_Consumables!$H$5:$H$856,"Auto-deduct")</f>
        <v>0</v>
      </c>
      <c r="L54" s="15" t="n">
        <f aca="false">SUMIFS(Service_Consumables!$L$5:$L$856,Service_Consumables!$A$5:$A$856,$A54,Service_Consumables!$E$5:$E$856,L$5,Service_Consumables!$H$5:$H$856,"Auto-deduct")</f>
        <v>0</v>
      </c>
      <c r="M54" s="15" t="n">
        <f aca="false">SUMIFS(Service_Consumables!$L$5:$L$856,Service_Consumables!$A$5:$A$856,$A54,Service_Consumables!$E$5:$E$856,M$5,Service_Consumables!$H$5:$H$856,"Auto-deduct")</f>
        <v>0</v>
      </c>
      <c r="N54" s="15" t="n">
        <f aca="false">SUMIFS(Service_Consumables!$L$5:$L$856,Service_Consumables!$A$5:$A$856,$A54,Service_Consumables!$E$5:$E$856,N$5,Service_Consumables!$H$5:$H$856,"Auto-deduct")</f>
        <v>0</v>
      </c>
      <c r="O54" s="15" t="n">
        <f aca="false">SUMIFS(Service_Consumables!$L$5:$L$856,Service_Consumables!$A$5:$A$856,$A54,Service_Consumables!$E$5:$E$856,O$5,Service_Consumables!$H$5:$H$856,"Auto-deduct")</f>
        <v>0</v>
      </c>
      <c r="P54" s="15" t="n">
        <f aca="false">SUMIFS(Service_Consumables!$L$5:$L$856,Service_Consumables!$A$5:$A$856,$A54,Service_Consumables!$E$5:$E$856,P$5,Service_Consumables!$H$5:$H$856,"Auto-deduct")</f>
        <v>0</v>
      </c>
      <c r="Q54" s="15" t="n">
        <f aca="false">SUMIFS(Service_Consumables!$L$5:$L$856,Service_Consumables!$A$5:$A$856,$A54,Service_Consumables!$E$5:$E$856,Q$5,Service_Consumables!$H$5:$H$856,"Auto-deduct")</f>
        <v>0</v>
      </c>
      <c r="R54" s="15" t="n">
        <f aca="false">SUMIFS(Service_Consumables!$L$5:$L$856,Service_Consumables!$A$5:$A$856,$A54,Service_Consumables!$E$5:$E$856,R$5,Service_Consumables!$H$5:$H$856,"Auto-deduct")</f>
        <v>0</v>
      </c>
      <c r="S54" s="15" t="n">
        <f aca="false">SUMIFS(Service_Consumables!$L$5:$L$856,Service_Consumables!$A$5:$A$856,$A54,Service_Consumables!$E$5:$E$856,S$5,Service_Consumables!$H$5:$H$856,"Auto-deduct")</f>
        <v>0</v>
      </c>
      <c r="T54" s="15" t="n">
        <f aca="false">SUMIFS(Service_Consumables!$L$5:$L$856,Service_Consumables!$A$5:$A$856,$A54,Service_Consumables!$E$5:$E$856,T$5,Service_Consumables!$H$5:$H$856,"Auto-deduct")</f>
        <v>0</v>
      </c>
      <c r="U54" s="15" t="n">
        <f aca="false">SUMIFS(Service_Consumables!$L$5:$L$856,Service_Consumables!$A$5:$A$856,$A54,Service_Consumables!$E$5:$E$856,U$5,Service_Consumables!$H$5:$H$856,"Auto-deduct")</f>
        <v>0</v>
      </c>
      <c r="V54" s="15" t="n">
        <f aca="false">SUMIFS(Service_Consumables!$L$5:$L$856,Service_Consumables!$A$5:$A$856,$A54,Service_Consumables!$E$5:$E$856,V$5,Service_Consumables!$H$5:$H$856,"Auto-deduct")</f>
        <v>0</v>
      </c>
      <c r="W54" s="15" t="n">
        <f aca="false">SUMIFS(Service_Consumables!$L$5:$L$856,Service_Consumables!$A$5:$A$856,$A54,Service_Consumables!$E$5:$E$856,W$5,Service_Consumables!$H$5:$H$856,"Auto-deduct")</f>
        <v>2</v>
      </c>
      <c r="X54" s="15" t="n">
        <f aca="false">SUMIFS(Service_Consumables!$L$5:$L$856,Service_Consumables!$A$5:$A$856,$A54,Service_Consumables!$E$5:$E$856,X$5,Service_Consumables!$H$5:$H$856,"Auto-deduct")</f>
        <v>0</v>
      </c>
      <c r="Y54" s="15" t="n">
        <f aca="false">SUMIFS(Service_Consumables!$L$5:$L$856,Service_Consumables!$A$5:$A$856,$A54,Service_Consumables!$E$5:$E$856,Y$5,Service_Consumables!$H$5:$H$856,"Auto-deduct")</f>
        <v>0</v>
      </c>
      <c r="Z54" s="15" t="n">
        <f aca="false">SUMIFS(Service_Consumables!$L$5:$L$856,Service_Consumables!$A$5:$A$856,$A54,Service_Consumables!$E$5:$E$856,Z$5,Service_Consumables!$H$5:$H$856,"Auto-deduct")</f>
        <v>0</v>
      </c>
      <c r="AA54" s="15" t="n">
        <f aca="false">SUMIFS(Service_Consumables!$L$5:$L$856,Service_Consumables!$A$5:$A$856,$A54,Service_Consumables!$E$5:$E$856,AA$5,Service_Consumables!$H$5:$H$856,"Auto-deduct")</f>
        <v>0</v>
      </c>
      <c r="AB54" s="15" t="n">
        <f aca="false">SUMIFS(Service_Consumables!$L$5:$L$856,Service_Consumables!$A$5:$A$856,$A54,Service_Consumables!$E$5:$E$856,AB$5,Service_Consumables!$H$5:$H$856,"Auto-deduct")</f>
        <v>0</v>
      </c>
      <c r="AC54" s="15" t="n">
        <f aca="false">SUMIFS(Service_Consumables!$L$5:$L$856,Service_Consumables!$A$5:$A$856,$A54,Service_Consumables!$E$5:$E$856,AC$5,Service_Consumables!$H$5:$H$856,"Auto-deduct")</f>
        <v>0</v>
      </c>
      <c r="AD54" s="15" t="n">
        <f aca="false">SUMIFS(Service_Consumables!$L$5:$L$856,Service_Consumables!$A$5:$A$856,$A54,Service_Consumables!$E$5:$E$856,AD$5,Service_Consumables!$H$5:$H$856,"Auto-deduct")</f>
        <v>0</v>
      </c>
      <c r="AE54" s="15" t="n">
        <f aca="false">SUMIFS(Service_Consumables!$L$5:$L$856,Service_Consumables!$A$5:$A$856,$A54,Service_Consumables!$E$5:$E$856,AE$5,Service_Consumables!$H$5:$H$856,"Auto-deduct")</f>
        <v>0</v>
      </c>
      <c r="AF54" s="15" t="n">
        <f aca="false">SUMIFS(Service_Consumables!$L$5:$L$856,Service_Consumables!$A$5:$A$856,$A54,Service_Consumables!$E$5:$E$856,AF$5,Service_Consumables!$H$5:$H$856,"Auto-deduct")</f>
        <v>0</v>
      </c>
      <c r="AG54" s="15" t="n">
        <f aca="false">SUMIFS(Service_Consumables!$L$5:$L$856,Service_Consumables!$A$5:$A$856,$A54,Service_Consumables!$E$5:$E$856,AG$5,Service_Consumables!$H$5:$H$856,"Auto-deduct")</f>
        <v>0</v>
      </c>
      <c r="AH54" s="15" t="n">
        <f aca="false">SUMIFS(Service_Consumables!$L$5:$L$856,Service_Consumables!$A$5:$A$856,$A54,Service_Consumables!$E$5:$E$856,AH$5,Service_Consumables!$H$5:$H$856,"Auto-deduct")</f>
        <v>0</v>
      </c>
      <c r="AI54" s="15" t="n">
        <f aca="false">SUMIFS(Service_Consumables!$L$5:$L$856,Service_Consumables!$A$5:$A$856,$A54,Service_Consumables!$E$5:$E$856,AI$5,Service_Consumables!$H$5:$H$856,"Auto-deduct")</f>
        <v>0</v>
      </c>
      <c r="AJ54" s="15" t="n">
        <f aca="false">SUMIFS(Service_Consumables!$L$5:$L$856,Service_Consumables!$A$5:$A$856,$A54,Service_Consumables!$E$5:$E$856,AJ$5,Service_Consumables!$H$5:$H$856,"Auto-deduct")</f>
        <v>0</v>
      </c>
      <c r="AK54" s="15" t="n">
        <f aca="false">SUMIFS(Service_Consumables!$L$5:$L$856,Service_Consumables!$A$5:$A$856,$A54,Service_Consumables!$E$5:$E$856,AK$5,Service_Consumables!$H$5:$H$856,"Auto-deduct")</f>
        <v>0</v>
      </c>
      <c r="AL54" s="15" t="n">
        <f aca="false">SUMIFS(Service_Consumables!$L$5:$L$856,Service_Consumables!$A$5:$A$856,$A54,Service_Consumables!$E$5:$E$856,AL$5,Service_Consumables!$H$5:$H$856,"Auto-deduct")</f>
        <v>0</v>
      </c>
      <c r="AM54" s="15" t="n">
        <f aca="false">SUMIFS(Service_Consumables!$L$5:$L$856,Service_Consumables!$A$5:$A$856,$A54,Service_Consumables!$E$5:$E$856,AM$5,Service_Consumables!$H$5:$H$856,"Auto-deduct")</f>
        <v>0</v>
      </c>
      <c r="AN54" s="15" t="n">
        <f aca="false">SUMIFS(Service_Consumables!$L$5:$L$856,Service_Consumables!$A$5:$A$856,$A54,Service_Consumables!$E$5:$E$856,AN$5,Service_Consumables!$H$5:$H$856,"Auto-deduct")</f>
        <v>0</v>
      </c>
      <c r="AO54" s="15" t="n">
        <f aca="false">SUMIFS(Service_Consumables!$L$5:$L$856,Service_Consumables!$A$5:$A$856,$A54,Service_Consumables!$E$5:$E$856,AO$5,Service_Consumables!$H$5:$H$856,"Auto-deduct")</f>
        <v>0</v>
      </c>
      <c r="AP54" s="15" t="n">
        <f aca="false">SUMIFS(Service_Consumables!$L$5:$L$856,Service_Consumables!$A$5:$A$856,$A54,Service_Consumables!$E$5:$E$856,AP$5,Service_Consumables!$H$5:$H$856,"Auto-deduct")</f>
        <v>0</v>
      </c>
      <c r="AQ54" s="15" t="n">
        <f aca="false">SUMIFS(Service_Consumables!$L$5:$L$856,Service_Consumables!$A$5:$A$856,$A54,Service_Consumables!$E$5:$E$856,AQ$5,Service_Consumables!$H$5:$H$856,"Auto-deduct")</f>
        <v>0</v>
      </c>
      <c r="AR54" s="15" t="n">
        <f aca="false">SUMIFS(Service_Consumables!$L$5:$L$856,Service_Consumables!$A$5:$A$856,$A54,Service_Consumables!$E$5:$E$856,AR$5,Service_Consumables!$H$5:$H$856,"Auto-deduct")</f>
        <v>0</v>
      </c>
      <c r="AS54" s="15" t="n">
        <f aca="false">SUMIFS(Service_Consumables!$L$5:$L$856,Service_Consumables!$A$5:$A$856,$A54,Service_Consumables!$E$5:$E$856,AS$5,Service_Consumables!$H$5:$H$856,"Auto-deduct")</f>
        <v>0</v>
      </c>
      <c r="AT54" s="15" t="n">
        <f aca="false">SUMIFS(Service_Consumables!$L$5:$L$856,Service_Consumables!$A$5:$A$856,$A54,Service_Consumables!$E$5:$E$856,AT$5,Service_Consumables!$H$5:$H$856,"Auto-deduct")</f>
        <v>0</v>
      </c>
      <c r="AU54" s="15" t="n">
        <f aca="false">SUMIFS(Service_Consumables!$L$5:$L$856,Service_Consumables!$A$5:$A$856,$A54,Service_Consumables!$E$5:$E$856,AU$5,Service_Consumables!$H$5:$H$856,"Auto-deduct")</f>
        <v>0</v>
      </c>
      <c r="AV54" s="15" t="n">
        <f aca="false">SUMIFS(Service_Consumables!$L$5:$L$856,Service_Consumables!$A$5:$A$856,$A54,Service_Consumables!$E$5:$E$856,AV$5,Service_Consumables!$H$5:$H$856,"Auto-deduct")</f>
        <v>0</v>
      </c>
      <c r="AW54" s="15" t="n">
        <f aca="false">SUMIFS(Service_Consumables!$L$5:$L$856,Service_Consumables!$A$5:$A$856,$A54,Service_Consumables!$E$5:$E$856,AW$5,Service_Consumables!$H$5:$H$856,"Auto-deduct")</f>
        <v>0</v>
      </c>
      <c r="AX54" s="15" t="n">
        <f aca="false">SUMIFS(Service_Consumables!$L$5:$L$856,Service_Consumables!$A$5:$A$856,$A54,Service_Consumables!$E$5:$E$856,AX$5,Service_Consumables!$H$5:$H$856,"Auto-deduct")</f>
        <v>0</v>
      </c>
      <c r="AY54" s="15" t="n">
        <f aca="false">SUMIFS(Service_Consumables!$L$5:$L$856,Service_Consumables!$A$5:$A$856,$A54,Service_Consumables!$E$5:$E$856,AY$5,Service_Consumables!$H$5:$H$856,"Auto-deduct")</f>
        <v>0</v>
      </c>
      <c r="AZ54" s="15" t="n">
        <f aca="false">SUMIFS(Service_Consumables!$L$5:$L$856,Service_Consumables!$A$5:$A$856,$A54,Service_Consumables!$E$5:$E$856,AZ$5,Service_Consumables!$H$5:$H$856,"Auto-deduct")</f>
        <v>0</v>
      </c>
      <c r="BA54" s="15" t="n">
        <f aca="false">SUMIFS(Service_Consumables!$L$5:$L$856,Service_Consumables!$A$5:$A$856,$A54,Service_Consumables!$E$5:$E$856,BA$5,Service_Consumables!$H$5:$H$856,"Auto-deduct")</f>
        <v>0</v>
      </c>
      <c r="BB54" s="15" t="n">
        <f aca="false">SUMIFS(Service_Consumables!$L$5:$L$856,Service_Consumables!$A$5:$A$856,$A54,Service_Consumables!$E$5:$E$856,BB$5,Service_Consumables!$H$5:$H$856,"Auto-deduct")</f>
        <v>0</v>
      </c>
      <c r="BC54" s="15" t="n">
        <f aca="false">SUMIFS(Service_Consumables!$L$5:$L$856,Service_Consumables!$A$5:$A$856,$A54,Service_Consumables!$E$5:$E$856,BC$5,Service_Consumables!$H$5:$H$856,"Auto-deduct")</f>
        <v>0</v>
      </c>
      <c r="BD54" s="15" t="n">
        <f aca="false">SUMIFS(Service_Consumables!$L$5:$L$856,Service_Consumables!$A$5:$A$856,$A54,Service_Consumables!$E$5:$E$856,BD$5,Service_Consumables!$H$5:$H$856,"Auto-deduct")</f>
        <v>0</v>
      </c>
      <c r="BE54" s="15" t="n">
        <f aca="false">SUMIFS(Service_Consumables!$L$5:$L$856,Service_Consumables!$A$5:$A$856,$A54,Service_Consumables!$E$5:$E$856,BE$5,Service_Consumables!$H$5:$H$856,"Auto-deduct")</f>
        <v>0</v>
      </c>
      <c r="BF54" s="15" t="n">
        <f aca="false">SUMIFS(Service_Consumables!$L$5:$L$856,Service_Consumables!$A$5:$A$856,$A54,Service_Consumables!$E$5:$E$856,BF$5,Service_Consumables!$H$5:$H$856,"Auto-deduct")</f>
        <v>0</v>
      </c>
      <c r="BG54" s="15" t="n">
        <f aca="false">SUMIFS(Service_Consumables!$L$5:$L$856,Service_Consumables!$A$5:$A$856,$A54,Service_Consumables!$E$5:$E$856,BG$5,Service_Consumables!$H$5:$H$856,"Auto-deduct")</f>
        <v>0</v>
      </c>
      <c r="BH54" s="15" t="n">
        <f aca="false">SUMIFS(Service_Consumables!$L$5:$L$856,Service_Consumables!$A$5:$A$856,$A54,Service_Consumables!$E$5:$E$856,BH$5,Service_Consumables!$H$5:$H$856,"Auto-deduct")</f>
        <v>0</v>
      </c>
      <c r="BI54" s="15" t="n">
        <f aca="false">SUMIFS(Service_Consumables!$L$5:$L$856,Service_Consumables!$A$5:$A$856,$A54,Service_Consumables!$E$5:$E$856,BI$5,Service_Consumables!$H$5:$H$856,"Auto-deduct")</f>
        <v>0</v>
      </c>
    </row>
    <row r="55" customFormat="false" ht="15" hidden="false" customHeight="false" outlineLevel="0" collapsed="false">
      <c r="A55" s="14" t="n">
        <f aca="false">Services!A54</f>
        <v>50</v>
      </c>
      <c r="B55" s="14" t="str">
        <f aca="false">Services!B54</f>
        <v>Soft Gel Nail Extensions</v>
      </c>
      <c r="C55" s="14" t="str">
        <f aca="false">Services!C54</f>
        <v>Add-on: Gel Polish Removal</v>
      </c>
      <c r="D55" s="15" t="n">
        <f aca="false">SUMIFS(Service_Consumables!$L$5:$L$856,Service_Consumables!$A$5:$A$856,$A55,Service_Consumables!$E$5:$E$856,D$5,Service_Consumables!$H$5:$H$856,"Auto-deduct")</f>
        <v>0</v>
      </c>
      <c r="E55" s="15" t="n">
        <f aca="false">SUMIFS(Service_Consumables!$L$5:$L$856,Service_Consumables!$A$5:$A$856,$A55,Service_Consumables!$E$5:$E$856,E$5,Service_Consumables!$H$5:$H$856,"Auto-deduct")</f>
        <v>0</v>
      </c>
      <c r="F55" s="15" t="n">
        <f aca="false">SUMIFS(Service_Consumables!$L$5:$L$856,Service_Consumables!$A$5:$A$856,$A55,Service_Consumables!$E$5:$E$856,F$5,Service_Consumables!$H$5:$H$856,"Auto-deduct")</f>
        <v>0</v>
      </c>
      <c r="G55" s="15" t="n">
        <f aca="false">SUMIFS(Service_Consumables!$L$5:$L$856,Service_Consumables!$A$5:$A$856,$A55,Service_Consumables!$E$5:$E$856,G$5,Service_Consumables!$H$5:$H$856,"Auto-deduct")</f>
        <v>0</v>
      </c>
      <c r="H55" s="15" t="n">
        <f aca="false">SUMIFS(Service_Consumables!$L$5:$L$856,Service_Consumables!$A$5:$A$856,$A55,Service_Consumables!$E$5:$E$856,H$5,Service_Consumables!$H$5:$H$856,"Auto-deduct")</f>
        <v>0</v>
      </c>
      <c r="I55" s="15" t="n">
        <f aca="false">SUMIFS(Service_Consumables!$L$5:$L$856,Service_Consumables!$A$5:$A$856,$A55,Service_Consumables!$E$5:$E$856,I$5,Service_Consumables!$H$5:$H$856,"Auto-deduct")</f>
        <v>0</v>
      </c>
      <c r="J55" s="15" t="n">
        <f aca="false">SUMIFS(Service_Consumables!$L$5:$L$856,Service_Consumables!$A$5:$A$856,$A55,Service_Consumables!$E$5:$E$856,J$5,Service_Consumables!$H$5:$H$856,"Auto-deduct")</f>
        <v>0</v>
      </c>
      <c r="K55" s="15" t="n">
        <f aca="false">SUMIFS(Service_Consumables!$L$5:$L$856,Service_Consumables!$A$5:$A$856,$A55,Service_Consumables!$E$5:$E$856,K$5,Service_Consumables!$H$5:$H$856,"Auto-deduct")</f>
        <v>0</v>
      </c>
      <c r="L55" s="15" t="n">
        <f aca="false">SUMIFS(Service_Consumables!$L$5:$L$856,Service_Consumables!$A$5:$A$856,$A55,Service_Consumables!$E$5:$E$856,L$5,Service_Consumables!$H$5:$H$856,"Auto-deduct")</f>
        <v>0</v>
      </c>
      <c r="M55" s="15" t="n">
        <f aca="false">SUMIFS(Service_Consumables!$L$5:$L$856,Service_Consumables!$A$5:$A$856,$A55,Service_Consumables!$E$5:$E$856,M$5,Service_Consumables!$H$5:$H$856,"Auto-deduct")</f>
        <v>0</v>
      </c>
      <c r="N55" s="15" t="n">
        <f aca="false">SUMIFS(Service_Consumables!$L$5:$L$856,Service_Consumables!$A$5:$A$856,$A55,Service_Consumables!$E$5:$E$856,N$5,Service_Consumables!$H$5:$H$856,"Auto-deduct")</f>
        <v>0</v>
      </c>
      <c r="O55" s="15" t="n">
        <f aca="false">SUMIFS(Service_Consumables!$L$5:$L$856,Service_Consumables!$A$5:$A$856,$A55,Service_Consumables!$E$5:$E$856,O$5,Service_Consumables!$H$5:$H$856,"Auto-deduct")</f>
        <v>0</v>
      </c>
      <c r="P55" s="15" t="n">
        <f aca="false">SUMIFS(Service_Consumables!$L$5:$L$856,Service_Consumables!$A$5:$A$856,$A55,Service_Consumables!$E$5:$E$856,P$5,Service_Consumables!$H$5:$H$856,"Auto-deduct")</f>
        <v>0</v>
      </c>
      <c r="Q55" s="15" t="n">
        <f aca="false">SUMIFS(Service_Consumables!$L$5:$L$856,Service_Consumables!$A$5:$A$856,$A55,Service_Consumables!$E$5:$E$856,Q$5,Service_Consumables!$H$5:$H$856,"Auto-deduct")</f>
        <v>0</v>
      </c>
      <c r="R55" s="15" t="n">
        <f aca="false">SUMIFS(Service_Consumables!$L$5:$L$856,Service_Consumables!$A$5:$A$856,$A55,Service_Consumables!$E$5:$E$856,R$5,Service_Consumables!$H$5:$H$856,"Auto-deduct")</f>
        <v>0</v>
      </c>
      <c r="S55" s="15" t="n">
        <f aca="false">SUMIFS(Service_Consumables!$L$5:$L$856,Service_Consumables!$A$5:$A$856,$A55,Service_Consumables!$E$5:$E$856,S$5,Service_Consumables!$H$5:$H$856,"Auto-deduct")</f>
        <v>0</v>
      </c>
      <c r="T55" s="15" t="n">
        <f aca="false">SUMIFS(Service_Consumables!$L$5:$L$856,Service_Consumables!$A$5:$A$856,$A55,Service_Consumables!$E$5:$E$856,T$5,Service_Consumables!$H$5:$H$856,"Auto-deduct")</f>
        <v>0</v>
      </c>
      <c r="U55" s="15" t="n">
        <f aca="false">SUMIFS(Service_Consumables!$L$5:$L$856,Service_Consumables!$A$5:$A$856,$A55,Service_Consumables!$E$5:$E$856,U$5,Service_Consumables!$H$5:$H$856,"Auto-deduct")</f>
        <v>0</v>
      </c>
      <c r="V55" s="15" t="n">
        <f aca="false">SUMIFS(Service_Consumables!$L$5:$L$856,Service_Consumables!$A$5:$A$856,$A55,Service_Consumables!$E$5:$E$856,V$5,Service_Consumables!$H$5:$H$856,"Auto-deduct")</f>
        <v>10</v>
      </c>
      <c r="W55" s="15" t="n">
        <f aca="false">SUMIFS(Service_Consumables!$L$5:$L$856,Service_Consumables!$A$5:$A$856,$A55,Service_Consumables!$E$5:$E$856,W$5,Service_Consumables!$H$5:$H$856,"Auto-deduct")</f>
        <v>2</v>
      </c>
      <c r="X55" s="15" t="n">
        <f aca="false">SUMIFS(Service_Consumables!$L$5:$L$856,Service_Consumables!$A$5:$A$856,$A55,Service_Consumables!$E$5:$E$856,X$5,Service_Consumables!$H$5:$H$856,"Auto-deduct")</f>
        <v>0</v>
      </c>
      <c r="Y55" s="15" t="n">
        <f aca="false">SUMIFS(Service_Consumables!$L$5:$L$856,Service_Consumables!$A$5:$A$856,$A55,Service_Consumables!$E$5:$E$856,Y$5,Service_Consumables!$H$5:$H$856,"Auto-deduct")</f>
        <v>0</v>
      </c>
      <c r="Z55" s="15" t="n">
        <f aca="false">SUMIFS(Service_Consumables!$L$5:$L$856,Service_Consumables!$A$5:$A$856,$A55,Service_Consumables!$E$5:$E$856,Z$5,Service_Consumables!$H$5:$H$856,"Auto-deduct")</f>
        <v>0</v>
      </c>
      <c r="AA55" s="15" t="n">
        <f aca="false">SUMIFS(Service_Consumables!$L$5:$L$856,Service_Consumables!$A$5:$A$856,$A55,Service_Consumables!$E$5:$E$856,AA$5,Service_Consumables!$H$5:$H$856,"Auto-deduct")</f>
        <v>0</v>
      </c>
      <c r="AB55" s="15" t="n">
        <f aca="false">SUMIFS(Service_Consumables!$L$5:$L$856,Service_Consumables!$A$5:$A$856,$A55,Service_Consumables!$E$5:$E$856,AB$5,Service_Consumables!$H$5:$H$856,"Auto-deduct")</f>
        <v>0</v>
      </c>
      <c r="AC55" s="15" t="n">
        <f aca="false">SUMIFS(Service_Consumables!$L$5:$L$856,Service_Consumables!$A$5:$A$856,$A55,Service_Consumables!$E$5:$E$856,AC$5,Service_Consumables!$H$5:$H$856,"Auto-deduct")</f>
        <v>4</v>
      </c>
      <c r="AD55" s="15" t="n">
        <f aca="false">SUMIFS(Service_Consumables!$L$5:$L$856,Service_Consumables!$A$5:$A$856,$A55,Service_Consumables!$E$5:$E$856,AD$5,Service_Consumables!$H$5:$H$856,"Auto-deduct")</f>
        <v>0</v>
      </c>
      <c r="AE55" s="15" t="n">
        <f aca="false">SUMIFS(Service_Consumables!$L$5:$L$856,Service_Consumables!$A$5:$A$856,$A55,Service_Consumables!$E$5:$E$856,AE$5,Service_Consumables!$H$5:$H$856,"Auto-deduct")</f>
        <v>0</v>
      </c>
      <c r="AF55" s="15" t="n">
        <f aca="false">SUMIFS(Service_Consumables!$L$5:$L$856,Service_Consumables!$A$5:$A$856,$A55,Service_Consumables!$E$5:$E$856,AF$5,Service_Consumables!$H$5:$H$856,"Auto-deduct")</f>
        <v>0</v>
      </c>
      <c r="AG55" s="15" t="n">
        <f aca="false">SUMIFS(Service_Consumables!$L$5:$L$856,Service_Consumables!$A$5:$A$856,$A55,Service_Consumables!$E$5:$E$856,AG$5,Service_Consumables!$H$5:$H$856,"Auto-deduct")</f>
        <v>0</v>
      </c>
      <c r="AH55" s="15" t="n">
        <f aca="false">SUMIFS(Service_Consumables!$L$5:$L$856,Service_Consumables!$A$5:$A$856,$A55,Service_Consumables!$E$5:$E$856,AH$5,Service_Consumables!$H$5:$H$856,"Auto-deduct")</f>
        <v>0</v>
      </c>
      <c r="AI55" s="15" t="n">
        <f aca="false">SUMIFS(Service_Consumables!$L$5:$L$856,Service_Consumables!$A$5:$A$856,$A55,Service_Consumables!$E$5:$E$856,AI$5,Service_Consumables!$H$5:$H$856,"Auto-deduct")</f>
        <v>0</v>
      </c>
      <c r="AJ55" s="15" t="n">
        <f aca="false">SUMIFS(Service_Consumables!$L$5:$L$856,Service_Consumables!$A$5:$A$856,$A55,Service_Consumables!$E$5:$E$856,AJ$5,Service_Consumables!$H$5:$H$856,"Auto-deduct")</f>
        <v>0</v>
      </c>
      <c r="AK55" s="15" t="n">
        <f aca="false">SUMIFS(Service_Consumables!$L$5:$L$856,Service_Consumables!$A$5:$A$856,$A55,Service_Consumables!$E$5:$E$856,AK$5,Service_Consumables!$H$5:$H$856,"Auto-deduct")</f>
        <v>0</v>
      </c>
      <c r="AL55" s="15" t="n">
        <f aca="false">SUMIFS(Service_Consumables!$L$5:$L$856,Service_Consumables!$A$5:$A$856,$A55,Service_Consumables!$E$5:$E$856,AL$5,Service_Consumables!$H$5:$H$856,"Auto-deduct")</f>
        <v>0</v>
      </c>
      <c r="AM55" s="15" t="n">
        <f aca="false">SUMIFS(Service_Consumables!$L$5:$L$856,Service_Consumables!$A$5:$A$856,$A55,Service_Consumables!$E$5:$E$856,AM$5,Service_Consumables!$H$5:$H$856,"Auto-deduct")</f>
        <v>0</v>
      </c>
      <c r="AN55" s="15" t="n">
        <f aca="false">SUMIFS(Service_Consumables!$L$5:$L$856,Service_Consumables!$A$5:$A$856,$A55,Service_Consumables!$E$5:$E$856,AN$5,Service_Consumables!$H$5:$H$856,"Auto-deduct")</f>
        <v>0</v>
      </c>
      <c r="AO55" s="15" t="n">
        <f aca="false">SUMIFS(Service_Consumables!$L$5:$L$856,Service_Consumables!$A$5:$A$856,$A55,Service_Consumables!$E$5:$E$856,AO$5,Service_Consumables!$H$5:$H$856,"Auto-deduct")</f>
        <v>0</v>
      </c>
      <c r="AP55" s="15" t="n">
        <f aca="false">SUMIFS(Service_Consumables!$L$5:$L$856,Service_Consumables!$A$5:$A$856,$A55,Service_Consumables!$E$5:$E$856,AP$5,Service_Consumables!$H$5:$H$856,"Auto-deduct")</f>
        <v>0</v>
      </c>
      <c r="AQ55" s="15" t="n">
        <f aca="false">SUMIFS(Service_Consumables!$L$5:$L$856,Service_Consumables!$A$5:$A$856,$A55,Service_Consumables!$E$5:$E$856,AQ$5,Service_Consumables!$H$5:$H$856,"Auto-deduct")</f>
        <v>0</v>
      </c>
      <c r="AR55" s="15" t="n">
        <f aca="false">SUMIFS(Service_Consumables!$L$5:$L$856,Service_Consumables!$A$5:$A$856,$A55,Service_Consumables!$E$5:$E$856,AR$5,Service_Consumables!$H$5:$H$856,"Auto-deduct")</f>
        <v>0</v>
      </c>
      <c r="AS55" s="15" t="n">
        <f aca="false">SUMIFS(Service_Consumables!$L$5:$L$856,Service_Consumables!$A$5:$A$856,$A55,Service_Consumables!$E$5:$E$856,AS$5,Service_Consumables!$H$5:$H$856,"Auto-deduct")</f>
        <v>0</v>
      </c>
      <c r="AT55" s="15" t="n">
        <f aca="false">SUMIFS(Service_Consumables!$L$5:$L$856,Service_Consumables!$A$5:$A$856,$A55,Service_Consumables!$E$5:$E$856,AT$5,Service_Consumables!$H$5:$H$856,"Auto-deduct")</f>
        <v>0</v>
      </c>
      <c r="AU55" s="15" t="n">
        <f aca="false">SUMIFS(Service_Consumables!$L$5:$L$856,Service_Consumables!$A$5:$A$856,$A55,Service_Consumables!$E$5:$E$856,AU$5,Service_Consumables!$H$5:$H$856,"Auto-deduct")</f>
        <v>0</v>
      </c>
      <c r="AV55" s="15" t="n">
        <f aca="false">SUMIFS(Service_Consumables!$L$5:$L$856,Service_Consumables!$A$5:$A$856,$A55,Service_Consumables!$E$5:$E$856,AV$5,Service_Consumables!$H$5:$H$856,"Auto-deduct")</f>
        <v>0</v>
      </c>
      <c r="AW55" s="15" t="n">
        <f aca="false">SUMIFS(Service_Consumables!$L$5:$L$856,Service_Consumables!$A$5:$A$856,$A55,Service_Consumables!$E$5:$E$856,AW$5,Service_Consumables!$H$5:$H$856,"Auto-deduct")</f>
        <v>0</v>
      </c>
      <c r="AX55" s="15" t="n">
        <f aca="false">SUMIFS(Service_Consumables!$L$5:$L$856,Service_Consumables!$A$5:$A$856,$A55,Service_Consumables!$E$5:$E$856,AX$5,Service_Consumables!$H$5:$H$856,"Auto-deduct")</f>
        <v>0</v>
      </c>
      <c r="AY55" s="15" t="n">
        <f aca="false">SUMIFS(Service_Consumables!$L$5:$L$856,Service_Consumables!$A$5:$A$856,$A55,Service_Consumables!$E$5:$E$856,AY$5,Service_Consumables!$H$5:$H$856,"Auto-deduct")</f>
        <v>0</v>
      </c>
      <c r="AZ55" s="15" t="n">
        <f aca="false">SUMIFS(Service_Consumables!$L$5:$L$856,Service_Consumables!$A$5:$A$856,$A55,Service_Consumables!$E$5:$E$856,AZ$5,Service_Consumables!$H$5:$H$856,"Auto-deduct")</f>
        <v>0</v>
      </c>
      <c r="BA55" s="15" t="n">
        <f aca="false">SUMIFS(Service_Consumables!$L$5:$L$856,Service_Consumables!$A$5:$A$856,$A55,Service_Consumables!$E$5:$E$856,BA$5,Service_Consumables!$H$5:$H$856,"Auto-deduct")</f>
        <v>0</v>
      </c>
      <c r="BB55" s="15" t="n">
        <f aca="false">SUMIFS(Service_Consumables!$L$5:$L$856,Service_Consumables!$A$5:$A$856,$A55,Service_Consumables!$E$5:$E$856,BB$5,Service_Consumables!$H$5:$H$856,"Auto-deduct")</f>
        <v>0</v>
      </c>
      <c r="BC55" s="15" t="n">
        <f aca="false">SUMIFS(Service_Consumables!$L$5:$L$856,Service_Consumables!$A$5:$A$856,$A55,Service_Consumables!$E$5:$E$856,BC$5,Service_Consumables!$H$5:$H$856,"Auto-deduct")</f>
        <v>0</v>
      </c>
      <c r="BD55" s="15" t="n">
        <f aca="false">SUMIFS(Service_Consumables!$L$5:$L$856,Service_Consumables!$A$5:$A$856,$A55,Service_Consumables!$E$5:$E$856,BD$5,Service_Consumables!$H$5:$H$856,"Auto-deduct")</f>
        <v>0</v>
      </c>
      <c r="BE55" s="15" t="n">
        <f aca="false">SUMIFS(Service_Consumables!$L$5:$L$856,Service_Consumables!$A$5:$A$856,$A55,Service_Consumables!$E$5:$E$856,BE$5,Service_Consumables!$H$5:$H$856,"Auto-deduct")</f>
        <v>0</v>
      </c>
      <c r="BF55" s="15" t="n">
        <f aca="false">SUMIFS(Service_Consumables!$L$5:$L$856,Service_Consumables!$A$5:$A$856,$A55,Service_Consumables!$E$5:$E$856,BF$5,Service_Consumables!$H$5:$H$856,"Auto-deduct")</f>
        <v>0</v>
      </c>
      <c r="BG55" s="15" t="n">
        <f aca="false">SUMIFS(Service_Consumables!$L$5:$L$856,Service_Consumables!$A$5:$A$856,$A55,Service_Consumables!$E$5:$E$856,BG$5,Service_Consumables!$H$5:$H$856,"Auto-deduct")</f>
        <v>0</v>
      </c>
      <c r="BH55" s="15" t="n">
        <f aca="false">SUMIFS(Service_Consumables!$L$5:$L$856,Service_Consumables!$A$5:$A$856,$A55,Service_Consumables!$E$5:$E$856,BH$5,Service_Consumables!$H$5:$H$856,"Auto-deduct")</f>
        <v>0</v>
      </c>
      <c r="BI55" s="15" t="n">
        <f aca="false">SUMIFS(Service_Consumables!$L$5:$L$856,Service_Consumables!$A$5:$A$856,$A55,Service_Consumables!$E$5:$E$856,BI$5,Service_Consumables!$H$5:$H$856,"Auto-deduct")</f>
        <v>0</v>
      </c>
    </row>
    <row r="56" customFormat="false" ht="15" hidden="false" customHeight="false" outlineLevel="0" collapsed="false">
      <c r="A56" s="14" t="n">
        <f aca="false">Services!A55</f>
        <v>51</v>
      </c>
      <c r="B56" s="14" t="str">
        <f aca="false">Services!B55</f>
        <v>Facials</v>
      </c>
      <c r="C56" s="14" t="str">
        <f aca="false">Services!C55</f>
        <v>Basic Facial</v>
      </c>
      <c r="D56" s="15" t="n">
        <f aca="false">SUMIFS(Service_Consumables!$L$5:$L$856,Service_Consumables!$A$5:$A$856,$A56,Service_Consumables!$E$5:$E$856,D$5,Service_Consumables!$H$5:$H$856,"Auto-deduct")</f>
        <v>0</v>
      </c>
      <c r="E56" s="15" t="n">
        <f aca="false">SUMIFS(Service_Consumables!$L$5:$L$856,Service_Consumables!$A$5:$A$856,$A56,Service_Consumables!$E$5:$E$856,E$5,Service_Consumables!$H$5:$H$856,"Auto-deduct")</f>
        <v>0</v>
      </c>
      <c r="F56" s="15" t="n">
        <f aca="false">SUMIFS(Service_Consumables!$L$5:$L$856,Service_Consumables!$A$5:$A$856,$A56,Service_Consumables!$E$5:$E$856,F$5,Service_Consumables!$H$5:$H$856,"Auto-deduct")</f>
        <v>0</v>
      </c>
      <c r="G56" s="15" t="n">
        <f aca="false">SUMIFS(Service_Consumables!$L$5:$L$856,Service_Consumables!$A$5:$A$856,$A56,Service_Consumables!$E$5:$E$856,G$5,Service_Consumables!$H$5:$H$856,"Auto-deduct")</f>
        <v>0</v>
      </c>
      <c r="H56" s="15" t="n">
        <f aca="false">SUMIFS(Service_Consumables!$L$5:$L$856,Service_Consumables!$A$5:$A$856,$A56,Service_Consumables!$E$5:$E$856,H$5,Service_Consumables!$H$5:$H$856,"Auto-deduct")</f>
        <v>0</v>
      </c>
      <c r="I56" s="15" t="n">
        <f aca="false">SUMIFS(Service_Consumables!$L$5:$L$856,Service_Consumables!$A$5:$A$856,$A56,Service_Consumables!$E$5:$E$856,I$5,Service_Consumables!$H$5:$H$856,"Auto-deduct")</f>
        <v>0</v>
      </c>
      <c r="J56" s="15" t="n">
        <f aca="false">SUMIFS(Service_Consumables!$L$5:$L$856,Service_Consumables!$A$5:$A$856,$A56,Service_Consumables!$E$5:$E$856,J$5,Service_Consumables!$H$5:$H$856,"Auto-deduct")</f>
        <v>0</v>
      </c>
      <c r="K56" s="15" t="n">
        <f aca="false">SUMIFS(Service_Consumables!$L$5:$L$856,Service_Consumables!$A$5:$A$856,$A56,Service_Consumables!$E$5:$E$856,K$5,Service_Consumables!$H$5:$H$856,"Auto-deduct")</f>
        <v>0</v>
      </c>
      <c r="L56" s="15" t="n">
        <f aca="false">SUMIFS(Service_Consumables!$L$5:$L$856,Service_Consumables!$A$5:$A$856,$A56,Service_Consumables!$E$5:$E$856,L$5,Service_Consumables!$H$5:$H$856,"Auto-deduct")</f>
        <v>0</v>
      </c>
      <c r="M56" s="15" t="n">
        <f aca="false">SUMIFS(Service_Consumables!$L$5:$L$856,Service_Consumables!$A$5:$A$856,$A56,Service_Consumables!$E$5:$E$856,M$5,Service_Consumables!$H$5:$H$856,"Auto-deduct")</f>
        <v>0</v>
      </c>
      <c r="N56" s="15" t="n">
        <f aca="false">SUMIFS(Service_Consumables!$L$5:$L$856,Service_Consumables!$A$5:$A$856,$A56,Service_Consumables!$E$5:$E$856,N$5,Service_Consumables!$H$5:$H$856,"Auto-deduct")</f>
        <v>0</v>
      </c>
      <c r="O56" s="15" t="n">
        <f aca="false">SUMIFS(Service_Consumables!$L$5:$L$856,Service_Consumables!$A$5:$A$856,$A56,Service_Consumables!$E$5:$E$856,O$5,Service_Consumables!$H$5:$H$856,"Auto-deduct")</f>
        <v>1</v>
      </c>
      <c r="P56" s="15" t="n">
        <f aca="false">SUMIFS(Service_Consumables!$L$5:$L$856,Service_Consumables!$A$5:$A$856,$A56,Service_Consumables!$E$5:$E$856,P$5,Service_Consumables!$H$5:$H$856,"Auto-deduct")</f>
        <v>1</v>
      </c>
      <c r="Q56" s="15" t="n">
        <f aca="false">SUMIFS(Service_Consumables!$L$5:$L$856,Service_Consumables!$A$5:$A$856,$A56,Service_Consumables!$E$5:$E$856,Q$5,Service_Consumables!$H$5:$H$856,"Auto-deduct")</f>
        <v>1</v>
      </c>
      <c r="R56" s="15" t="n">
        <f aca="false">SUMIFS(Service_Consumables!$L$5:$L$856,Service_Consumables!$A$5:$A$856,$A56,Service_Consumables!$E$5:$E$856,R$5,Service_Consumables!$H$5:$H$856,"Auto-deduct")</f>
        <v>0</v>
      </c>
      <c r="S56" s="15" t="n">
        <f aca="false">SUMIFS(Service_Consumables!$L$5:$L$856,Service_Consumables!$A$5:$A$856,$A56,Service_Consumables!$E$5:$E$856,S$5,Service_Consumables!$H$5:$H$856,"Auto-deduct")</f>
        <v>6</v>
      </c>
      <c r="T56" s="15" t="n">
        <f aca="false">SUMIFS(Service_Consumables!$L$5:$L$856,Service_Consumables!$A$5:$A$856,$A56,Service_Consumables!$E$5:$E$856,T$5,Service_Consumables!$H$5:$H$856,"Auto-deduct")</f>
        <v>0</v>
      </c>
      <c r="U56" s="15" t="n">
        <f aca="false">SUMIFS(Service_Consumables!$L$5:$L$856,Service_Consumables!$A$5:$A$856,$A56,Service_Consumables!$E$5:$E$856,U$5,Service_Consumables!$H$5:$H$856,"Auto-deduct")</f>
        <v>0</v>
      </c>
      <c r="V56" s="15" t="n">
        <f aca="false">SUMIFS(Service_Consumables!$L$5:$L$856,Service_Consumables!$A$5:$A$856,$A56,Service_Consumables!$E$5:$E$856,V$5,Service_Consumables!$H$5:$H$856,"Auto-deduct")</f>
        <v>5</v>
      </c>
      <c r="W56" s="15" t="n">
        <f aca="false">SUMIFS(Service_Consumables!$L$5:$L$856,Service_Consumables!$A$5:$A$856,$A56,Service_Consumables!$E$5:$E$856,W$5,Service_Consumables!$H$5:$H$856,"Auto-deduct")</f>
        <v>4</v>
      </c>
      <c r="X56" s="15" t="n">
        <f aca="false">SUMIFS(Service_Consumables!$L$5:$L$856,Service_Consumables!$A$5:$A$856,$A56,Service_Consumables!$E$5:$E$856,X$5,Service_Consumables!$H$5:$H$856,"Auto-deduct")</f>
        <v>1</v>
      </c>
      <c r="Y56" s="15" t="n">
        <f aca="false">SUMIFS(Service_Consumables!$L$5:$L$856,Service_Consumables!$A$5:$A$856,$A56,Service_Consumables!$E$5:$E$856,Y$5,Service_Consumables!$H$5:$H$856,"Auto-deduct")</f>
        <v>0</v>
      </c>
      <c r="Z56" s="15" t="n">
        <f aca="false">SUMIFS(Service_Consumables!$L$5:$L$856,Service_Consumables!$A$5:$A$856,$A56,Service_Consumables!$E$5:$E$856,Z$5,Service_Consumables!$H$5:$H$856,"Auto-deduct")</f>
        <v>0</v>
      </c>
      <c r="AA56" s="15" t="n">
        <f aca="false">SUMIFS(Service_Consumables!$L$5:$L$856,Service_Consumables!$A$5:$A$856,$A56,Service_Consumables!$E$5:$E$856,AA$5,Service_Consumables!$H$5:$H$856,"Auto-deduct")</f>
        <v>2</v>
      </c>
      <c r="AB56" s="15" t="n">
        <f aca="false">SUMIFS(Service_Consumables!$L$5:$L$856,Service_Consumables!$A$5:$A$856,$A56,Service_Consumables!$E$5:$E$856,AB$5,Service_Consumables!$H$5:$H$856,"Auto-deduct")</f>
        <v>0</v>
      </c>
      <c r="AC56" s="15" t="n">
        <f aca="false">SUMIFS(Service_Consumables!$L$5:$L$856,Service_Consumables!$A$5:$A$856,$A56,Service_Consumables!$E$5:$E$856,AC$5,Service_Consumables!$H$5:$H$856,"Auto-deduct")</f>
        <v>0</v>
      </c>
      <c r="AD56" s="15" t="n">
        <f aca="false">SUMIFS(Service_Consumables!$L$5:$L$856,Service_Consumables!$A$5:$A$856,$A56,Service_Consumables!$E$5:$E$856,AD$5,Service_Consumables!$H$5:$H$856,"Auto-deduct")</f>
        <v>10</v>
      </c>
      <c r="AE56" s="15" t="n">
        <f aca="false">SUMIFS(Service_Consumables!$L$5:$L$856,Service_Consumables!$A$5:$A$856,$A56,Service_Consumables!$E$5:$E$856,AE$5,Service_Consumables!$H$5:$H$856,"Auto-deduct")</f>
        <v>10</v>
      </c>
      <c r="AF56" s="15" t="n">
        <f aca="false">SUMIFS(Service_Consumables!$L$5:$L$856,Service_Consumables!$A$5:$A$856,$A56,Service_Consumables!$E$5:$E$856,AF$5,Service_Consumables!$H$5:$H$856,"Auto-deduct")</f>
        <v>0</v>
      </c>
      <c r="AG56" s="15" t="n">
        <f aca="false">SUMIFS(Service_Consumables!$L$5:$L$856,Service_Consumables!$A$5:$A$856,$A56,Service_Consumables!$E$5:$E$856,AG$5,Service_Consumables!$H$5:$H$856,"Auto-deduct")</f>
        <v>0</v>
      </c>
      <c r="AH56" s="15" t="n">
        <f aca="false">SUMIFS(Service_Consumables!$L$5:$L$856,Service_Consumables!$A$5:$A$856,$A56,Service_Consumables!$E$5:$E$856,AH$5,Service_Consumables!$H$5:$H$856,"Auto-deduct")</f>
        <v>0</v>
      </c>
      <c r="AI56" s="15" t="n">
        <f aca="false">SUMIFS(Service_Consumables!$L$5:$L$856,Service_Consumables!$A$5:$A$856,$A56,Service_Consumables!$E$5:$E$856,AI$5,Service_Consumables!$H$5:$H$856,"Auto-deduct")</f>
        <v>5</v>
      </c>
      <c r="AJ56" s="15" t="n">
        <f aca="false">SUMIFS(Service_Consumables!$L$5:$L$856,Service_Consumables!$A$5:$A$856,$A56,Service_Consumables!$E$5:$E$856,AJ$5,Service_Consumables!$H$5:$H$856,"Auto-deduct")</f>
        <v>5</v>
      </c>
      <c r="AK56" s="15" t="n">
        <f aca="false">SUMIFS(Service_Consumables!$L$5:$L$856,Service_Consumables!$A$5:$A$856,$A56,Service_Consumables!$E$5:$E$856,AK$5,Service_Consumables!$H$5:$H$856,"Auto-deduct")</f>
        <v>0</v>
      </c>
      <c r="AL56" s="15" t="n">
        <f aca="false">SUMIFS(Service_Consumables!$L$5:$L$856,Service_Consumables!$A$5:$A$856,$A56,Service_Consumables!$E$5:$E$856,AL$5,Service_Consumables!$H$5:$H$856,"Auto-deduct")</f>
        <v>0</v>
      </c>
      <c r="AM56" s="15" t="n">
        <f aca="false">SUMIFS(Service_Consumables!$L$5:$L$856,Service_Consumables!$A$5:$A$856,$A56,Service_Consumables!$E$5:$E$856,AM$5,Service_Consumables!$H$5:$H$856,"Auto-deduct")</f>
        <v>0</v>
      </c>
      <c r="AN56" s="15" t="n">
        <f aca="false">SUMIFS(Service_Consumables!$L$5:$L$856,Service_Consumables!$A$5:$A$856,$A56,Service_Consumables!$E$5:$E$856,AN$5,Service_Consumables!$H$5:$H$856,"Auto-deduct")</f>
        <v>30</v>
      </c>
      <c r="AO56" s="15" t="n">
        <f aca="false">SUMIFS(Service_Consumables!$L$5:$L$856,Service_Consumables!$A$5:$A$856,$A56,Service_Consumables!$E$5:$E$856,AO$5,Service_Consumables!$H$5:$H$856,"Auto-deduct")</f>
        <v>0</v>
      </c>
      <c r="AP56" s="15" t="n">
        <f aca="false">SUMIFS(Service_Consumables!$L$5:$L$856,Service_Consumables!$A$5:$A$856,$A56,Service_Consumables!$E$5:$E$856,AP$5,Service_Consumables!$H$5:$H$856,"Auto-deduct")</f>
        <v>0</v>
      </c>
      <c r="AQ56" s="15" t="n">
        <f aca="false">SUMIFS(Service_Consumables!$L$5:$L$856,Service_Consumables!$A$5:$A$856,$A56,Service_Consumables!$E$5:$E$856,AQ$5,Service_Consumables!$H$5:$H$856,"Auto-deduct")</f>
        <v>0</v>
      </c>
      <c r="AR56" s="15" t="n">
        <f aca="false">SUMIFS(Service_Consumables!$L$5:$L$856,Service_Consumables!$A$5:$A$856,$A56,Service_Consumables!$E$5:$E$856,AR$5,Service_Consumables!$H$5:$H$856,"Auto-deduct")</f>
        <v>0</v>
      </c>
      <c r="AS56" s="15" t="n">
        <f aca="false">SUMIFS(Service_Consumables!$L$5:$L$856,Service_Consumables!$A$5:$A$856,$A56,Service_Consumables!$E$5:$E$856,AS$5,Service_Consumables!$H$5:$H$856,"Auto-deduct")</f>
        <v>0</v>
      </c>
      <c r="AT56" s="15" t="n">
        <f aca="false">SUMIFS(Service_Consumables!$L$5:$L$856,Service_Consumables!$A$5:$A$856,$A56,Service_Consumables!$E$5:$E$856,AT$5,Service_Consumables!$H$5:$H$856,"Auto-deduct")</f>
        <v>0</v>
      </c>
      <c r="AU56" s="15" t="n">
        <f aca="false">SUMIFS(Service_Consumables!$L$5:$L$856,Service_Consumables!$A$5:$A$856,$A56,Service_Consumables!$E$5:$E$856,AU$5,Service_Consumables!$H$5:$H$856,"Auto-deduct")</f>
        <v>0</v>
      </c>
      <c r="AV56" s="15" t="n">
        <f aca="false">SUMIFS(Service_Consumables!$L$5:$L$856,Service_Consumables!$A$5:$A$856,$A56,Service_Consumables!$E$5:$E$856,AV$5,Service_Consumables!$H$5:$H$856,"Auto-deduct")</f>
        <v>0</v>
      </c>
      <c r="AW56" s="15" t="n">
        <f aca="false">SUMIFS(Service_Consumables!$L$5:$L$856,Service_Consumables!$A$5:$A$856,$A56,Service_Consumables!$E$5:$E$856,AW$5,Service_Consumables!$H$5:$H$856,"Auto-deduct")</f>
        <v>0</v>
      </c>
      <c r="AX56" s="15" t="n">
        <f aca="false">SUMIFS(Service_Consumables!$L$5:$L$856,Service_Consumables!$A$5:$A$856,$A56,Service_Consumables!$E$5:$E$856,AX$5,Service_Consumables!$H$5:$H$856,"Auto-deduct")</f>
        <v>0</v>
      </c>
      <c r="AY56" s="15" t="n">
        <f aca="false">SUMIFS(Service_Consumables!$L$5:$L$856,Service_Consumables!$A$5:$A$856,$A56,Service_Consumables!$E$5:$E$856,AY$5,Service_Consumables!$H$5:$H$856,"Auto-deduct")</f>
        <v>0</v>
      </c>
      <c r="AZ56" s="15" t="n">
        <f aca="false">SUMIFS(Service_Consumables!$L$5:$L$856,Service_Consumables!$A$5:$A$856,$A56,Service_Consumables!$E$5:$E$856,AZ$5,Service_Consumables!$H$5:$H$856,"Auto-deduct")</f>
        <v>0</v>
      </c>
      <c r="BA56" s="15" t="n">
        <f aca="false">SUMIFS(Service_Consumables!$L$5:$L$856,Service_Consumables!$A$5:$A$856,$A56,Service_Consumables!$E$5:$E$856,BA$5,Service_Consumables!$H$5:$H$856,"Auto-deduct")</f>
        <v>3</v>
      </c>
      <c r="BB56" s="15" t="n">
        <f aca="false">SUMIFS(Service_Consumables!$L$5:$L$856,Service_Consumables!$A$5:$A$856,$A56,Service_Consumables!$E$5:$E$856,BB$5,Service_Consumables!$H$5:$H$856,"Auto-deduct")</f>
        <v>0</v>
      </c>
      <c r="BC56" s="15" t="n">
        <f aca="false">SUMIFS(Service_Consumables!$L$5:$L$856,Service_Consumables!$A$5:$A$856,$A56,Service_Consumables!$E$5:$E$856,BC$5,Service_Consumables!$H$5:$H$856,"Auto-deduct")</f>
        <v>0</v>
      </c>
      <c r="BD56" s="15" t="n">
        <f aca="false">SUMIFS(Service_Consumables!$L$5:$L$856,Service_Consumables!$A$5:$A$856,$A56,Service_Consumables!$E$5:$E$856,BD$5,Service_Consumables!$H$5:$H$856,"Auto-deduct")</f>
        <v>0</v>
      </c>
      <c r="BE56" s="15" t="n">
        <f aca="false">SUMIFS(Service_Consumables!$L$5:$L$856,Service_Consumables!$A$5:$A$856,$A56,Service_Consumables!$E$5:$E$856,BE$5,Service_Consumables!$H$5:$H$856,"Auto-deduct")</f>
        <v>0</v>
      </c>
      <c r="BF56" s="15" t="n">
        <f aca="false">SUMIFS(Service_Consumables!$L$5:$L$856,Service_Consumables!$A$5:$A$856,$A56,Service_Consumables!$E$5:$E$856,BF$5,Service_Consumables!$H$5:$H$856,"Auto-deduct")</f>
        <v>0</v>
      </c>
      <c r="BG56" s="15" t="n">
        <f aca="false">SUMIFS(Service_Consumables!$L$5:$L$856,Service_Consumables!$A$5:$A$856,$A56,Service_Consumables!$E$5:$E$856,BG$5,Service_Consumables!$H$5:$H$856,"Auto-deduct")</f>
        <v>0</v>
      </c>
      <c r="BH56" s="15" t="n">
        <f aca="false">SUMIFS(Service_Consumables!$L$5:$L$856,Service_Consumables!$A$5:$A$856,$A56,Service_Consumables!$E$5:$E$856,BH$5,Service_Consumables!$H$5:$H$856,"Auto-deduct")</f>
        <v>0</v>
      </c>
      <c r="BI56" s="15" t="n">
        <f aca="false">SUMIFS(Service_Consumables!$L$5:$L$856,Service_Consumables!$A$5:$A$856,$A56,Service_Consumables!$E$5:$E$856,BI$5,Service_Consumables!$H$5:$H$856,"Auto-deduct")</f>
        <v>0</v>
      </c>
    </row>
    <row r="57" customFormat="false" ht="15" hidden="false" customHeight="false" outlineLevel="0" collapsed="false">
      <c r="A57" s="14" t="n">
        <f aca="false">Services!A56</f>
        <v>52</v>
      </c>
      <c r="B57" s="14" t="str">
        <f aca="false">Services!B56</f>
        <v>Facials</v>
      </c>
      <c r="C57" s="14" t="str">
        <f aca="false">Services!C56</f>
        <v>Diamond Peel</v>
      </c>
      <c r="D57" s="15" t="n">
        <f aca="false">SUMIFS(Service_Consumables!$L$5:$L$856,Service_Consumables!$A$5:$A$856,$A57,Service_Consumables!$E$5:$E$856,D$5,Service_Consumables!$H$5:$H$856,"Auto-deduct")</f>
        <v>0</v>
      </c>
      <c r="E57" s="15" t="n">
        <f aca="false">SUMIFS(Service_Consumables!$L$5:$L$856,Service_Consumables!$A$5:$A$856,$A57,Service_Consumables!$E$5:$E$856,E$5,Service_Consumables!$H$5:$H$856,"Auto-deduct")</f>
        <v>0</v>
      </c>
      <c r="F57" s="15" t="n">
        <f aca="false">SUMIFS(Service_Consumables!$L$5:$L$856,Service_Consumables!$A$5:$A$856,$A57,Service_Consumables!$E$5:$E$856,F$5,Service_Consumables!$H$5:$H$856,"Auto-deduct")</f>
        <v>0</v>
      </c>
      <c r="G57" s="15" t="n">
        <f aca="false">SUMIFS(Service_Consumables!$L$5:$L$856,Service_Consumables!$A$5:$A$856,$A57,Service_Consumables!$E$5:$E$856,G$5,Service_Consumables!$H$5:$H$856,"Auto-deduct")</f>
        <v>0</v>
      </c>
      <c r="H57" s="15" t="n">
        <f aca="false">SUMIFS(Service_Consumables!$L$5:$L$856,Service_Consumables!$A$5:$A$856,$A57,Service_Consumables!$E$5:$E$856,H$5,Service_Consumables!$H$5:$H$856,"Auto-deduct")</f>
        <v>0</v>
      </c>
      <c r="I57" s="15" t="n">
        <f aca="false">SUMIFS(Service_Consumables!$L$5:$L$856,Service_Consumables!$A$5:$A$856,$A57,Service_Consumables!$E$5:$E$856,I$5,Service_Consumables!$H$5:$H$856,"Auto-deduct")</f>
        <v>0</v>
      </c>
      <c r="J57" s="15" t="n">
        <f aca="false">SUMIFS(Service_Consumables!$L$5:$L$856,Service_Consumables!$A$5:$A$856,$A57,Service_Consumables!$E$5:$E$856,J$5,Service_Consumables!$H$5:$H$856,"Auto-deduct")</f>
        <v>0</v>
      </c>
      <c r="K57" s="15" t="n">
        <f aca="false">SUMIFS(Service_Consumables!$L$5:$L$856,Service_Consumables!$A$5:$A$856,$A57,Service_Consumables!$E$5:$E$856,K$5,Service_Consumables!$H$5:$H$856,"Auto-deduct")</f>
        <v>0</v>
      </c>
      <c r="L57" s="15" t="n">
        <f aca="false">SUMIFS(Service_Consumables!$L$5:$L$856,Service_Consumables!$A$5:$A$856,$A57,Service_Consumables!$E$5:$E$856,L$5,Service_Consumables!$H$5:$H$856,"Auto-deduct")</f>
        <v>0</v>
      </c>
      <c r="M57" s="15" t="n">
        <f aca="false">SUMIFS(Service_Consumables!$L$5:$L$856,Service_Consumables!$A$5:$A$856,$A57,Service_Consumables!$E$5:$E$856,M$5,Service_Consumables!$H$5:$H$856,"Auto-deduct")</f>
        <v>0</v>
      </c>
      <c r="N57" s="15" t="n">
        <f aca="false">SUMIFS(Service_Consumables!$L$5:$L$856,Service_Consumables!$A$5:$A$856,$A57,Service_Consumables!$E$5:$E$856,N$5,Service_Consumables!$H$5:$H$856,"Auto-deduct")</f>
        <v>0</v>
      </c>
      <c r="O57" s="15" t="n">
        <f aca="false">SUMIFS(Service_Consumables!$L$5:$L$856,Service_Consumables!$A$5:$A$856,$A57,Service_Consumables!$E$5:$E$856,O$5,Service_Consumables!$H$5:$H$856,"Auto-deduct")</f>
        <v>1</v>
      </c>
      <c r="P57" s="15" t="n">
        <f aca="false">SUMIFS(Service_Consumables!$L$5:$L$856,Service_Consumables!$A$5:$A$856,$A57,Service_Consumables!$E$5:$E$856,P$5,Service_Consumables!$H$5:$H$856,"Auto-deduct")</f>
        <v>1</v>
      </c>
      <c r="Q57" s="15" t="n">
        <f aca="false">SUMIFS(Service_Consumables!$L$5:$L$856,Service_Consumables!$A$5:$A$856,$A57,Service_Consumables!$E$5:$E$856,Q$5,Service_Consumables!$H$5:$H$856,"Auto-deduct")</f>
        <v>1</v>
      </c>
      <c r="R57" s="15" t="n">
        <f aca="false">SUMIFS(Service_Consumables!$L$5:$L$856,Service_Consumables!$A$5:$A$856,$A57,Service_Consumables!$E$5:$E$856,R$5,Service_Consumables!$H$5:$H$856,"Auto-deduct")</f>
        <v>0</v>
      </c>
      <c r="S57" s="15" t="n">
        <f aca="false">SUMIFS(Service_Consumables!$L$5:$L$856,Service_Consumables!$A$5:$A$856,$A57,Service_Consumables!$E$5:$E$856,S$5,Service_Consumables!$H$5:$H$856,"Auto-deduct")</f>
        <v>6</v>
      </c>
      <c r="T57" s="15" t="n">
        <f aca="false">SUMIFS(Service_Consumables!$L$5:$L$856,Service_Consumables!$A$5:$A$856,$A57,Service_Consumables!$E$5:$E$856,T$5,Service_Consumables!$H$5:$H$856,"Auto-deduct")</f>
        <v>0</v>
      </c>
      <c r="U57" s="15" t="n">
        <f aca="false">SUMIFS(Service_Consumables!$L$5:$L$856,Service_Consumables!$A$5:$A$856,$A57,Service_Consumables!$E$5:$E$856,U$5,Service_Consumables!$H$5:$H$856,"Auto-deduct")</f>
        <v>0</v>
      </c>
      <c r="V57" s="15" t="n">
        <f aca="false">SUMIFS(Service_Consumables!$L$5:$L$856,Service_Consumables!$A$5:$A$856,$A57,Service_Consumables!$E$5:$E$856,V$5,Service_Consumables!$H$5:$H$856,"Auto-deduct")</f>
        <v>5</v>
      </c>
      <c r="W57" s="15" t="n">
        <f aca="false">SUMIFS(Service_Consumables!$L$5:$L$856,Service_Consumables!$A$5:$A$856,$A57,Service_Consumables!$E$5:$E$856,W$5,Service_Consumables!$H$5:$H$856,"Auto-deduct")</f>
        <v>0</v>
      </c>
      <c r="X57" s="15" t="n">
        <f aca="false">SUMIFS(Service_Consumables!$L$5:$L$856,Service_Consumables!$A$5:$A$856,$A57,Service_Consumables!$E$5:$E$856,X$5,Service_Consumables!$H$5:$H$856,"Auto-deduct")</f>
        <v>1</v>
      </c>
      <c r="Y57" s="15" t="n">
        <f aca="false">SUMIFS(Service_Consumables!$L$5:$L$856,Service_Consumables!$A$5:$A$856,$A57,Service_Consumables!$E$5:$E$856,Y$5,Service_Consumables!$H$5:$H$856,"Auto-deduct")</f>
        <v>0</v>
      </c>
      <c r="Z57" s="15" t="n">
        <f aca="false">SUMIFS(Service_Consumables!$L$5:$L$856,Service_Consumables!$A$5:$A$856,$A57,Service_Consumables!$E$5:$E$856,Z$5,Service_Consumables!$H$5:$H$856,"Auto-deduct")</f>
        <v>0</v>
      </c>
      <c r="AA57" s="15" t="n">
        <f aca="false">SUMIFS(Service_Consumables!$L$5:$L$856,Service_Consumables!$A$5:$A$856,$A57,Service_Consumables!$E$5:$E$856,AA$5,Service_Consumables!$H$5:$H$856,"Auto-deduct")</f>
        <v>0</v>
      </c>
      <c r="AB57" s="15" t="n">
        <f aca="false">SUMIFS(Service_Consumables!$L$5:$L$856,Service_Consumables!$A$5:$A$856,$A57,Service_Consumables!$E$5:$E$856,AB$5,Service_Consumables!$H$5:$H$856,"Auto-deduct")</f>
        <v>0</v>
      </c>
      <c r="AC57" s="15" t="n">
        <f aca="false">SUMIFS(Service_Consumables!$L$5:$L$856,Service_Consumables!$A$5:$A$856,$A57,Service_Consumables!$E$5:$E$856,AC$5,Service_Consumables!$H$5:$H$856,"Auto-deduct")</f>
        <v>3</v>
      </c>
      <c r="AD57" s="15" t="n">
        <f aca="false">SUMIFS(Service_Consumables!$L$5:$L$856,Service_Consumables!$A$5:$A$856,$A57,Service_Consumables!$E$5:$E$856,AD$5,Service_Consumables!$H$5:$H$856,"Auto-deduct")</f>
        <v>5</v>
      </c>
      <c r="AE57" s="15" t="n">
        <f aca="false">SUMIFS(Service_Consumables!$L$5:$L$856,Service_Consumables!$A$5:$A$856,$A57,Service_Consumables!$E$5:$E$856,AE$5,Service_Consumables!$H$5:$H$856,"Auto-deduct")</f>
        <v>10</v>
      </c>
      <c r="AF57" s="15" t="n">
        <f aca="false">SUMIFS(Service_Consumables!$L$5:$L$856,Service_Consumables!$A$5:$A$856,$A57,Service_Consumables!$E$5:$E$856,AF$5,Service_Consumables!$H$5:$H$856,"Auto-deduct")</f>
        <v>0</v>
      </c>
      <c r="AG57" s="15" t="n">
        <f aca="false">SUMIFS(Service_Consumables!$L$5:$L$856,Service_Consumables!$A$5:$A$856,$A57,Service_Consumables!$E$5:$E$856,AG$5,Service_Consumables!$H$5:$H$856,"Auto-deduct")</f>
        <v>0</v>
      </c>
      <c r="AH57" s="15" t="n">
        <f aca="false">SUMIFS(Service_Consumables!$L$5:$L$856,Service_Consumables!$A$5:$A$856,$A57,Service_Consumables!$E$5:$E$856,AH$5,Service_Consumables!$H$5:$H$856,"Auto-deduct")</f>
        <v>0</v>
      </c>
      <c r="AI57" s="15" t="n">
        <f aca="false">SUMIFS(Service_Consumables!$L$5:$L$856,Service_Consumables!$A$5:$A$856,$A57,Service_Consumables!$E$5:$E$856,AI$5,Service_Consumables!$H$5:$H$856,"Auto-deduct")</f>
        <v>5</v>
      </c>
      <c r="AJ57" s="15" t="n">
        <f aca="false">SUMIFS(Service_Consumables!$L$5:$L$856,Service_Consumables!$A$5:$A$856,$A57,Service_Consumables!$E$5:$E$856,AJ$5,Service_Consumables!$H$5:$H$856,"Auto-deduct")</f>
        <v>0</v>
      </c>
      <c r="AK57" s="15" t="n">
        <f aca="false">SUMIFS(Service_Consumables!$L$5:$L$856,Service_Consumables!$A$5:$A$856,$A57,Service_Consumables!$E$5:$E$856,AK$5,Service_Consumables!$H$5:$H$856,"Auto-deduct")</f>
        <v>0</v>
      </c>
      <c r="AL57" s="15" t="n">
        <f aca="false">SUMIFS(Service_Consumables!$L$5:$L$856,Service_Consumables!$A$5:$A$856,$A57,Service_Consumables!$E$5:$E$856,AL$5,Service_Consumables!$H$5:$H$856,"Auto-deduct")</f>
        <v>0</v>
      </c>
      <c r="AM57" s="15" t="n">
        <f aca="false">SUMIFS(Service_Consumables!$L$5:$L$856,Service_Consumables!$A$5:$A$856,$A57,Service_Consumables!$E$5:$E$856,AM$5,Service_Consumables!$H$5:$H$856,"Auto-deduct")</f>
        <v>0</v>
      </c>
      <c r="AN57" s="15" t="n">
        <f aca="false">SUMIFS(Service_Consumables!$L$5:$L$856,Service_Consumables!$A$5:$A$856,$A57,Service_Consumables!$E$5:$E$856,AN$5,Service_Consumables!$H$5:$H$856,"Auto-deduct")</f>
        <v>30</v>
      </c>
      <c r="AO57" s="15" t="n">
        <f aca="false">SUMIFS(Service_Consumables!$L$5:$L$856,Service_Consumables!$A$5:$A$856,$A57,Service_Consumables!$E$5:$E$856,AO$5,Service_Consumables!$H$5:$H$856,"Auto-deduct")</f>
        <v>0</v>
      </c>
      <c r="AP57" s="15" t="n">
        <f aca="false">SUMIFS(Service_Consumables!$L$5:$L$856,Service_Consumables!$A$5:$A$856,$A57,Service_Consumables!$E$5:$E$856,AP$5,Service_Consumables!$H$5:$H$856,"Auto-deduct")</f>
        <v>0</v>
      </c>
      <c r="AQ57" s="15" t="n">
        <f aca="false">SUMIFS(Service_Consumables!$L$5:$L$856,Service_Consumables!$A$5:$A$856,$A57,Service_Consumables!$E$5:$E$856,AQ$5,Service_Consumables!$H$5:$H$856,"Auto-deduct")</f>
        <v>0</v>
      </c>
      <c r="AR57" s="15" t="n">
        <f aca="false">SUMIFS(Service_Consumables!$L$5:$L$856,Service_Consumables!$A$5:$A$856,$A57,Service_Consumables!$E$5:$E$856,AR$5,Service_Consumables!$H$5:$H$856,"Auto-deduct")</f>
        <v>0</v>
      </c>
      <c r="AS57" s="15" t="n">
        <f aca="false">SUMIFS(Service_Consumables!$L$5:$L$856,Service_Consumables!$A$5:$A$856,$A57,Service_Consumables!$E$5:$E$856,AS$5,Service_Consumables!$H$5:$H$856,"Auto-deduct")</f>
        <v>0</v>
      </c>
      <c r="AT57" s="15" t="n">
        <f aca="false">SUMIFS(Service_Consumables!$L$5:$L$856,Service_Consumables!$A$5:$A$856,$A57,Service_Consumables!$E$5:$E$856,AT$5,Service_Consumables!$H$5:$H$856,"Auto-deduct")</f>
        <v>0</v>
      </c>
      <c r="AU57" s="15" t="n">
        <f aca="false">SUMIFS(Service_Consumables!$L$5:$L$856,Service_Consumables!$A$5:$A$856,$A57,Service_Consumables!$E$5:$E$856,AU$5,Service_Consumables!$H$5:$H$856,"Auto-deduct")</f>
        <v>0</v>
      </c>
      <c r="AV57" s="15" t="n">
        <f aca="false">SUMIFS(Service_Consumables!$L$5:$L$856,Service_Consumables!$A$5:$A$856,$A57,Service_Consumables!$E$5:$E$856,AV$5,Service_Consumables!$H$5:$H$856,"Auto-deduct")</f>
        <v>0</v>
      </c>
      <c r="AW57" s="15" t="n">
        <f aca="false">SUMIFS(Service_Consumables!$L$5:$L$856,Service_Consumables!$A$5:$A$856,$A57,Service_Consumables!$E$5:$E$856,AW$5,Service_Consumables!$H$5:$H$856,"Auto-deduct")</f>
        <v>0</v>
      </c>
      <c r="AX57" s="15" t="n">
        <f aca="false">SUMIFS(Service_Consumables!$L$5:$L$856,Service_Consumables!$A$5:$A$856,$A57,Service_Consumables!$E$5:$E$856,AX$5,Service_Consumables!$H$5:$H$856,"Auto-deduct")</f>
        <v>0</v>
      </c>
      <c r="AY57" s="15" t="n">
        <f aca="false">SUMIFS(Service_Consumables!$L$5:$L$856,Service_Consumables!$A$5:$A$856,$A57,Service_Consumables!$E$5:$E$856,AY$5,Service_Consumables!$H$5:$H$856,"Auto-deduct")</f>
        <v>0</v>
      </c>
      <c r="AZ57" s="15" t="n">
        <f aca="false">SUMIFS(Service_Consumables!$L$5:$L$856,Service_Consumables!$A$5:$A$856,$A57,Service_Consumables!$E$5:$E$856,AZ$5,Service_Consumables!$H$5:$H$856,"Auto-deduct")</f>
        <v>0</v>
      </c>
      <c r="BA57" s="15" t="n">
        <f aca="false">SUMIFS(Service_Consumables!$L$5:$L$856,Service_Consumables!$A$5:$A$856,$A57,Service_Consumables!$E$5:$E$856,BA$5,Service_Consumables!$H$5:$H$856,"Auto-deduct")</f>
        <v>3</v>
      </c>
      <c r="BB57" s="15" t="n">
        <f aca="false">SUMIFS(Service_Consumables!$L$5:$L$856,Service_Consumables!$A$5:$A$856,$A57,Service_Consumables!$E$5:$E$856,BB$5,Service_Consumables!$H$5:$H$856,"Auto-deduct")</f>
        <v>0</v>
      </c>
      <c r="BC57" s="15" t="n">
        <f aca="false">SUMIFS(Service_Consumables!$L$5:$L$856,Service_Consumables!$A$5:$A$856,$A57,Service_Consumables!$E$5:$E$856,BC$5,Service_Consumables!$H$5:$H$856,"Auto-deduct")</f>
        <v>0</v>
      </c>
      <c r="BD57" s="15" t="n">
        <f aca="false">SUMIFS(Service_Consumables!$L$5:$L$856,Service_Consumables!$A$5:$A$856,$A57,Service_Consumables!$E$5:$E$856,BD$5,Service_Consumables!$H$5:$H$856,"Auto-deduct")</f>
        <v>0</v>
      </c>
      <c r="BE57" s="15" t="n">
        <f aca="false">SUMIFS(Service_Consumables!$L$5:$L$856,Service_Consumables!$A$5:$A$856,$A57,Service_Consumables!$E$5:$E$856,BE$5,Service_Consumables!$H$5:$H$856,"Auto-deduct")</f>
        <v>0</v>
      </c>
      <c r="BF57" s="15" t="n">
        <f aca="false">SUMIFS(Service_Consumables!$L$5:$L$856,Service_Consumables!$A$5:$A$856,$A57,Service_Consumables!$E$5:$E$856,BF$5,Service_Consumables!$H$5:$H$856,"Auto-deduct")</f>
        <v>0</v>
      </c>
      <c r="BG57" s="15" t="n">
        <f aca="false">SUMIFS(Service_Consumables!$L$5:$L$856,Service_Consumables!$A$5:$A$856,$A57,Service_Consumables!$E$5:$E$856,BG$5,Service_Consumables!$H$5:$H$856,"Auto-deduct")</f>
        <v>0</v>
      </c>
      <c r="BH57" s="15" t="n">
        <f aca="false">SUMIFS(Service_Consumables!$L$5:$L$856,Service_Consumables!$A$5:$A$856,$A57,Service_Consumables!$E$5:$E$856,BH$5,Service_Consumables!$H$5:$H$856,"Auto-deduct")</f>
        <v>0</v>
      </c>
      <c r="BI57" s="15" t="n">
        <f aca="false">SUMIFS(Service_Consumables!$L$5:$L$856,Service_Consumables!$A$5:$A$856,$A57,Service_Consumables!$E$5:$E$856,BI$5,Service_Consumables!$H$5:$H$856,"Auto-deduct")</f>
        <v>0</v>
      </c>
    </row>
    <row r="58" customFormat="false" ht="15" hidden="false" customHeight="false" outlineLevel="0" collapsed="false">
      <c r="A58" s="14" t="n">
        <f aca="false">Services!A57</f>
        <v>53</v>
      </c>
      <c r="B58" s="14" t="str">
        <f aca="false">Services!B57</f>
        <v>Facials</v>
      </c>
      <c r="C58" s="14" t="str">
        <f aca="false">Services!C57</f>
        <v>3-in-1 Facial Oxy</v>
      </c>
      <c r="D58" s="15" t="n">
        <f aca="false">SUMIFS(Service_Consumables!$L$5:$L$856,Service_Consumables!$A$5:$A$856,$A58,Service_Consumables!$E$5:$E$856,D$5,Service_Consumables!$H$5:$H$856,"Auto-deduct")</f>
        <v>0</v>
      </c>
      <c r="E58" s="15" t="n">
        <f aca="false">SUMIFS(Service_Consumables!$L$5:$L$856,Service_Consumables!$A$5:$A$856,$A58,Service_Consumables!$E$5:$E$856,E$5,Service_Consumables!$H$5:$H$856,"Auto-deduct")</f>
        <v>0</v>
      </c>
      <c r="F58" s="15" t="n">
        <f aca="false">SUMIFS(Service_Consumables!$L$5:$L$856,Service_Consumables!$A$5:$A$856,$A58,Service_Consumables!$E$5:$E$856,F$5,Service_Consumables!$H$5:$H$856,"Auto-deduct")</f>
        <v>0</v>
      </c>
      <c r="G58" s="15" t="n">
        <f aca="false">SUMIFS(Service_Consumables!$L$5:$L$856,Service_Consumables!$A$5:$A$856,$A58,Service_Consumables!$E$5:$E$856,G$5,Service_Consumables!$H$5:$H$856,"Auto-deduct")</f>
        <v>0</v>
      </c>
      <c r="H58" s="15" t="n">
        <f aca="false">SUMIFS(Service_Consumables!$L$5:$L$856,Service_Consumables!$A$5:$A$856,$A58,Service_Consumables!$E$5:$E$856,H$5,Service_Consumables!$H$5:$H$856,"Auto-deduct")</f>
        <v>0</v>
      </c>
      <c r="I58" s="15" t="n">
        <f aca="false">SUMIFS(Service_Consumables!$L$5:$L$856,Service_Consumables!$A$5:$A$856,$A58,Service_Consumables!$E$5:$E$856,I$5,Service_Consumables!$H$5:$H$856,"Auto-deduct")</f>
        <v>0</v>
      </c>
      <c r="J58" s="15" t="n">
        <f aca="false">SUMIFS(Service_Consumables!$L$5:$L$856,Service_Consumables!$A$5:$A$856,$A58,Service_Consumables!$E$5:$E$856,J$5,Service_Consumables!$H$5:$H$856,"Auto-deduct")</f>
        <v>0</v>
      </c>
      <c r="K58" s="15" t="n">
        <f aca="false">SUMIFS(Service_Consumables!$L$5:$L$856,Service_Consumables!$A$5:$A$856,$A58,Service_Consumables!$E$5:$E$856,K$5,Service_Consumables!$H$5:$H$856,"Auto-deduct")</f>
        <v>0</v>
      </c>
      <c r="L58" s="15" t="n">
        <f aca="false">SUMIFS(Service_Consumables!$L$5:$L$856,Service_Consumables!$A$5:$A$856,$A58,Service_Consumables!$E$5:$E$856,L$5,Service_Consumables!$H$5:$H$856,"Auto-deduct")</f>
        <v>0</v>
      </c>
      <c r="M58" s="15" t="n">
        <f aca="false">SUMIFS(Service_Consumables!$L$5:$L$856,Service_Consumables!$A$5:$A$856,$A58,Service_Consumables!$E$5:$E$856,M$5,Service_Consumables!$H$5:$H$856,"Auto-deduct")</f>
        <v>0</v>
      </c>
      <c r="N58" s="15" t="n">
        <f aca="false">SUMIFS(Service_Consumables!$L$5:$L$856,Service_Consumables!$A$5:$A$856,$A58,Service_Consumables!$E$5:$E$856,N$5,Service_Consumables!$H$5:$H$856,"Auto-deduct")</f>
        <v>0</v>
      </c>
      <c r="O58" s="15" t="n">
        <f aca="false">SUMIFS(Service_Consumables!$L$5:$L$856,Service_Consumables!$A$5:$A$856,$A58,Service_Consumables!$E$5:$E$856,O$5,Service_Consumables!$H$5:$H$856,"Auto-deduct")</f>
        <v>1</v>
      </c>
      <c r="P58" s="15" t="n">
        <f aca="false">SUMIFS(Service_Consumables!$L$5:$L$856,Service_Consumables!$A$5:$A$856,$A58,Service_Consumables!$E$5:$E$856,P$5,Service_Consumables!$H$5:$H$856,"Auto-deduct")</f>
        <v>1</v>
      </c>
      <c r="Q58" s="15" t="n">
        <f aca="false">SUMIFS(Service_Consumables!$L$5:$L$856,Service_Consumables!$A$5:$A$856,$A58,Service_Consumables!$E$5:$E$856,Q$5,Service_Consumables!$H$5:$H$856,"Auto-deduct")</f>
        <v>1</v>
      </c>
      <c r="R58" s="15" t="n">
        <f aca="false">SUMIFS(Service_Consumables!$L$5:$L$856,Service_Consumables!$A$5:$A$856,$A58,Service_Consumables!$E$5:$E$856,R$5,Service_Consumables!$H$5:$H$856,"Auto-deduct")</f>
        <v>0</v>
      </c>
      <c r="S58" s="15" t="n">
        <f aca="false">SUMIFS(Service_Consumables!$L$5:$L$856,Service_Consumables!$A$5:$A$856,$A58,Service_Consumables!$E$5:$E$856,S$5,Service_Consumables!$H$5:$H$856,"Auto-deduct")</f>
        <v>6</v>
      </c>
      <c r="T58" s="15" t="n">
        <f aca="false">SUMIFS(Service_Consumables!$L$5:$L$856,Service_Consumables!$A$5:$A$856,$A58,Service_Consumables!$E$5:$E$856,T$5,Service_Consumables!$H$5:$H$856,"Auto-deduct")</f>
        <v>0</v>
      </c>
      <c r="U58" s="15" t="n">
        <f aca="false">SUMIFS(Service_Consumables!$L$5:$L$856,Service_Consumables!$A$5:$A$856,$A58,Service_Consumables!$E$5:$E$856,U$5,Service_Consumables!$H$5:$H$856,"Auto-deduct")</f>
        <v>0</v>
      </c>
      <c r="V58" s="15" t="n">
        <f aca="false">SUMIFS(Service_Consumables!$L$5:$L$856,Service_Consumables!$A$5:$A$856,$A58,Service_Consumables!$E$5:$E$856,V$5,Service_Consumables!$H$5:$H$856,"Auto-deduct")</f>
        <v>5</v>
      </c>
      <c r="W58" s="15" t="n">
        <f aca="false">SUMIFS(Service_Consumables!$L$5:$L$856,Service_Consumables!$A$5:$A$856,$A58,Service_Consumables!$E$5:$E$856,W$5,Service_Consumables!$H$5:$H$856,"Auto-deduct")</f>
        <v>4</v>
      </c>
      <c r="X58" s="15" t="n">
        <f aca="false">SUMIFS(Service_Consumables!$L$5:$L$856,Service_Consumables!$A$5:$A$856,$A58,Service_Consumables!$E$5:$E$856,X$5,Service_Consumables!$H$5:$H$856,"Auto-deduct")</f>
        <v>1</v>
      </c>
      <c r="Y58" s="15" t="n">
        <f aca="false">SUMIFS(Service_Consumables!$L$5:$L$856,Service_Consumables!$A$5:$A$856,$A58,Service_Consumables!$E$5:$E$856,Y$5,Service_Consumables!$H$5:$H$856,"Auto-deduct")</f>
        <v>0</v>
      </c>
      <c r="Z58" s="15" t="n">
        <f aca="false">SUMIFS(Service_Consumables!$L$5:$L$856,Service_Consumables!$A$5:$A$856,$A58,Service_Consumables!$E$5:$E$856,Z$5,Service_Consumables!$H$5:$H$856,"Auto-deduct")</f>
        <v>0</v>
      </c>
      <c r="AA58" s="15" t="n">
        <f aca="false">SUMIFS(Service_Consumables!$L$5:$L$856,Service_Consumables!$A$5:$A$856,$A58,Service_Consumables!$E$5:$E$856,AA$5,Service_Consumables!$H$5:$H$856,"Auto-deduct")</f>
        <v>0</v>
      </c>
      <c r="AB58" s="15" t="n">
        <f aca="false">SUMIFS(Service_Consumables!$L$5:$L$856,Service_Consumables!$A$5:$A$856,$A58,Service_Consumables!$E$5:$E$856,AB$5,Service_Consumables!$H$5:$H$856,"Auto-deduct")</f>
        <v>0</v>
      </c>
      <c r="AC58" s="15" t="n">
        <f aca="false">SUMIFS(Service_Consumables!$L$5:$L$856,Service_Consumables!$A$5:$A$856,$A58,Service_Consumables!$E$5:$E$856,AC$5,Service_Consumables!$H$5:$H$856,"Auto-deduct")</f>
        <v>0</v>
      </c>
      <c r="AD58" s="15" t="n">
        <f aca="false">SUMIFS(Service_Consumables!$L$5:$L$856,Service_Consumables!$A$5:$A$856,$A58,Service_Consumables!$E$5:$E$856,AD$5,Service_Consumables!$H$5:$H$856,"Auto-deduct")</f>
        <v>5</v>
      </c>
      <c r="AE58" s="15" t="n">
        <f aca="false">SUMIFS(Service_Consumables!$L$5:$L$856,Service_Consumables!$A$5:$A$856,$A58,Service_Consumables!$E$5:$E$856,AE$5,Service_Consumables!$H$5:$H$856,"Auto-deduct")</f>
        <v>10</v>
      </c>
      <c r="AF58" s="15" t="n">
        <f aca="false">SUMIFS(Service_Consumables!$L$5:$L$856,Service_Consumables!$A$5:$A$856,$A58,Service_Consumables!$E$5:$E$856,AF$5,Service_Consumables!$H$5:$H$856,"Auto-deduct")</f>
        <v>0</v>
      </c>
      <c r="AG58" s="15" t="n">
        <f aca="false">SUMIFS(Service_Consumables!$L$5:$L$856,Service_Consumables!$A$5:$A$856,$A58,Service_Consumables!$E$5:$E$856,AG$5,Service_Consumables!$H$5:$H$856,"Auto-deduct")</f>
        <v>0</v>
      </c>
      <c r="AH58" s="15" t="n">
        <f aca="false">SUMIFS(Service_Consumables!$L$5:$L$856,Service_Consumables!$A$5:$A$856,$A58,Service_Consumables!$E$5:$E$856,AH$5,Service_Consumables!$H$5:$H$856,"Auto-deduct")</f>
        <v>0</v>
      </c>
      <c r="AI58" s="15" t="n">
        <f aca="false">SUMIFS(Service_Consumables!$L$5:$L$856,Service_Consumables!$A$5:$A$856,$A58,Service_Consumables!$E$5:$E$856,AI$5,Service_Consumables!$H$5:$H$856,"Auto-deduct")</f>
        <v>5</v>
      </c>
      <c r="AJ58" s="15" t="n">
        <f aca="false">SUMIFS(Service_Consumables!$L$5:$L$856,Service_Consumables!$A$5:$A$856,$A58,Service_Consumables!$E$5:$E$856,AJ$5,Service_Consumables!$H$5:$H$856,"Auto-deduct")</f>
        <v>0</v>
      </c>
      <c r="AK58" s="15" t="n">
        <f aca="false">SUMIFS(Service_Consumables!$L$5:$L$856,Service_Consumables!$A$5:$A$856,$A58,Service_Consumables!$E$5:$E$856,AK$5,Service_Consumables!$H$5:$H$856,"Auto-deduct")</f>
        <v>0</v>
      </c>
      <c r="AL58" s="15" t="n">
        <f aca="false">SUMIFS(Service_Consumables!$L$5:$L$856,Service_Consumables!$A$5:$A$856,$A58,Service_Consumables!$E$5:$E$856,AL$5,Service_Consumables!$H$5:$H$856,"Auto-deduct")</f>
        <v>0</v>
      </c>
      <c r="AM58" s="15" t="n">
        <f aca="false">SUMIFS(Service_Consumables!$L$5:$L$856,Service_Consumables!$A$5:$A$856,$A58,Service_Consumables!$E$5:$E$856,AM$5,Service_Consumables!$H$5:$H$856,"Auto-deduct")</f>
        <v>0</v>
      </c>
      <c r="AN58" s="15" t="n">
        <f aca="false">SUMIFS(Service_Consumables!$L$5:$L$856,Service_Consumables!$A$5:$A$856,$A58,Service_Consumables!$E$5:$E$856,AN$5,Service_Consumables!$H$5:$H$856,"Auto-deduct")</f>
        <v>30</v>
      </c>
      <c r="AO58" s="15" t="n">
        <f aca="false">SUMIFS(Service_Consumables!$L$5:$L$856,Service_Consumables!$A$5:$A$856,$A58,Service_Consumables!$E$5:$E$856,AO$5,Service_Consumables!$H$5:$H$856,"Auto-deduct")</f>
        <v>0</v>
      </c>
      <c r="AP58" s="15" t="n">
        <f aca="false">SUMIFS(Service_Consumables!$L$5:$L$856,Service_Consumables!$A$5:$A$856,$A58,Service_Consumables!$E$5:$E$856,AP$5,Service_Consumables!$H$5:$H$856,"Auto-deduct")</f>
        <v>0</v>
      </c>
      <c r="AQ58" s="15" t="n">
        <f aca="false">SUMIFS(Service_Consumables!$L$5:$L$856,Service_Consumables!$A$5:$A$856,$A58,Service_Consumables!$E$5:$E$856,AQ$5,Service_Consumables!$H$5:$H$856,"Auto-deduct")</f>
        <v>10</v>
      </c>
      <c r="AR58" s="15" t="n">
        <f aca="false">SUMIFS(Service_Consumables!$L$5:$L$856,Service_Consumables!$A$5:$A$856,$A58,Service_Consumables!$E$5:$E$856,AR$5,Service_Consumables!$H$5:$H$856,"Auto-deduct")</f>
        <v>1</v>
      </c>
      <c r="AS58" s="15" t="n">
        <f aca="false">SUMIFS(Service_Consumables!$L$5:$L$856,Service_Consumables!$A$5:$A$856,$A58,Service_Consumables!$E$5:$E$856,AS$5,Service_Consumables!$H$5:$H$856,"Auto-deduct")</f>
        <v>0</v>
      </c>
      <c r="AT58" s="15" t="n">
        <f aca="false">SUMIFS(Service_Consumables!$L$5:$L$856,Service_Consumables!$A$5:$A$856,$A58,Service_Consumables!$E$5:$E$856,AT$5,Service_Consumables!$H$5:$H$856,"Auto-deduct")</f>
        <v>1</v>
      </c>
      <c r="AU58" s="15" t="n">
        <f aca="false">SUMIFS(Service_Consumables!$L$5:$L$856,Service_Consumables!$A$5:$A$856,$A58,Service_Consumables!$E$5:$E$856,AU$5,Service_Consumables!$H$5:$H$856,"Auto-deduct")</f>
        <v>0</v>
      </c>
      <c r="AV58" s="15" t="n">
        <f aca="false">SUMIFS(Service_Consumables!$L$5:$L$856,Service_Consumables!$A$5:$A$856,$A58,Service_Consumables!$E$5:$E$856,AV$5,Service_Consumables!$H$5:$H$856,"Auto-deduct")</f>
        <v>0</v>
      </c>
      <c r="AW58" s="15" t="n">
        <f aca="false">SUMIFS(Service_Consumables!$L$5:$L$856,Service_Consumables!$A$5:$A$856,$A58,Service_Consumables!$E$5:$E$856,AW$5,Service_Consumables!$H$5:$H$856,"Auto-deduct")</f>
        <v>0</v>
      </c>
      <c r="AX58" s="15" t="n">
        <f aca="false">SUMIFS(Service_Consumables!$L$5:$L$856,Service_Consumables!$A$5:$A$856,$A58,Service_Consumables!$E$5:$E$856,AX$5,Service_Consumables!$H$5:$H$856,"Auto-deduct")</f>
        <v>0</v>
      </c>
      <c r="AY58" s="15" t="n">
        <f aca="false">SUMIFS(Service_Consumables!$L$5:$L$856,Service_Consumables!$A$5:$A$856,$A58,Service_Consumables!$E$5:$E$856,AY$5,Service_Consumables!$H$5:$H$856,"Auto-deduct")</f>
        <v>0</v>
      </c>
      <c r="AZ58" s="15" t="n">
        <f aca="false">SUMIFS(Service_Consumables!$L$5:$L$856,Service_Consumables!$A$5:$A$856,$A58,Service_Consumables!$E$5:$E$856,AZ$5,Service_Consumables!$H$5:$H$856,"Auto-deduct")</f>
        <v>0</v>
      </c>
      <c r="BA58" s="15" t="n">
        <f aca="false">SUMIFS(Service_Consumables!$L$5:$L$856,Service_Consumables!$A$5:$A$856,$A58,Service_Consumables!$E$5:$E$856,BA$5,Service_Consumables!$H$5:$H$856,"Auto-deduct")</f>
        <v>3</v>
      </c>
      <c r="BB58" s="15" t="n">
        <f aca="false">SUMIFS(Service_Consumables!$L$5:$L$856,Service_Consumables!$A$5:$A$856,$A58,Service_Consumables!$E$5:$E$856,BB$5,Service_Consumables!$H$5:$H$856,"Auto-deduct")</f>
        <v>0</v>
      </c>
      <c r="BC58" s="15" t="n">
        <f aca="false">SUMIFS(Service_Consumables!$L$5:$L$856,Service_Consumables!$A$5:$A$856,$A58,Service_Consumables!$E$5:$E$856,BC$5,Service_Consumables!$H$5:$H$856,"Auto-deduct")</f>
        <v>0</v>
      </c>
      <c r="BD58" s="15" t="n">
        <f aca="false">SUMIFS(Service_Consumables!$L$5:$L$856,Service_Consumables!$A$5:$A$856,$A58,Service_Consumables!$E$5:$E$856,BD$5,Service_Consumables!$H$5:$H$856,"Auto-deduct")</f>
        <v>0</v>
      </c>
      <c r="BE58" s="15" t="n">
        <f aca="false">SUMIFS(Service_Consumables!$L$5:$L$856,Service_Consumables!$A$5:$A$856,$A58,Service_Consumables!$E$5:$E$856,BE$5,Service_Consumables!$H$5:$H$856,"Auto-deduct")</f>
        <v>0</v>
      </c>
      <c r="BF58" s="15" t="n">
        <f aca="false">SUMIFS(Service_Consumables!$L$5:$L$856,Service_Consumables!$A$5:$A$856,$A58,Service_Consumables!$E$5:$E$856,BF$5,Service_Consumables!$H$5:$H$856,"Auto-deduct")</f>
        <v>0</v>
      </c>
      <c r="BG58" s="15" t="n">
        <f aca="false">SUMIFS(Service_Consumables!$L$5:$L$856,Service_Consumables!$A$5:$A$856,$A58,Service_Consumables!$E$5:$E$856,BG$5,Service_Consumables!$H$5:$H$856,"Auto-deduct")</f>
        <v>0</v>
      </c>
      <c r="BH58" s="15" t="n">
        <f aca="false">SUMIFS(Service_Consumables!$L$5:$L$856,Service_Consumables!$A$5:$A$856,$A58,Service_Consumables!$E$5:$E$856,BH$5,Service_Consumables!$H$5:$H$856,"Auto-deduct")</f>
        <v>0</v>
      </c>
      <c r="BI58" s="15" t="n">
        <f aca="false">SUMIFS(Service_Consumables!$L$5:$L$856,Service_Consumables!$A$5:$A$856,$A58,Service_Consumables!$E$5:$E$856,BI$5,Service_Consumables!$H$5:$H$856,"Auto-deduct")</f>
        <v>0</v>
      </c>
    </row>
    <row r="59" customFormat="false" ht="15" hidden="false" customHeight="false" outlineLevel="0" collapsed="false">
      <c r="A59" s="14" t="n">
        <f aca="false">Services!A58</f>
        <v>54</v>
      </c>
      <c r="B59" s="14" t="str">
        <f aca="false">Services!B58</f>
        <v>Facials</v>
      </c>
      <c r="C59" s="14" t="str">
        <f aca="false">Services!C58</f>
        <v>Face V-Lifting</v>
      </c>
      <c r="D59" s="15" t="n">
        <f aca="false">SUMIFS(Service_Consumables!$L$5:$L$856,Service_Consumables!$A$5:$A$856,$A59,Service_Consumables!$E$5:$E$856,D$5,Service_Consumables!$H$5:$H$856,"Auto-deduct")</f>
        <v>0</v>
      </c>
      <c r="E59" s="15" t="n">
        <f aca="false">SUMIFS(Service_Consumables!$L$5:$L$856,Service_Consumables!$A$5:$A$856,$A59,Service_Consumables!$E$5:$E$856,E$5,Service_Consumables!$H$5:$H$856,"Auto-deduct")</f>
        <v>0</v>
      </c>
      <c r="F59" s="15" t="n">
        <f aca="false">SUMIFS(Service_Consumables!$L$5:$L$856,Service_Consumables!$A$5:$A$856,$A59,Service_Consumables!$E$5:$E$856,F$5,Service_Consumables!$H$5:$H$856,"Auto-deduct")</f>
        <v>0</v>
      </c>
      <c r="G59" s="15" t="n">
        <f aca="false">SUMIFS(Service_Consumables!$L$5:$L$856,Service_Consumables!$A$5:$A$856,$A59,Service_Consumables!$E$5:$E$856,G$5,Service_Consumables!$H$5:$H$856,"Auto-deduct")</f>
        <v>0</v>
      </c>
      <c r="H59" s="15" t="n">
        <f aca="false">SUMIFS(Service_Consumables!$L$5:$L$856,Service_Consumables!$A$5:$A$856,$A59,Service_Consumables!$E$5:$E$856,H$5,Service_Consumables!$H$5:$H$856,"Auto-deduct")</f>
        <v>0</v>
      </c>
      <c r="I59" s="15" t="n">
        <f aca="false">SUMIFS(Service_Consumables!$L$5:$L$856,Service_Consumables!$A$5:$A$856,$A59,Service_Consumables!$E$5:$E$856,I$5,Service_Consumables!$H$5:$H$856,"Auto-deduct")</f>
        <v>0</v>
      </c>
      <c r="J59" s="15" t="n">
        <f aca="false">SUMIFS(Service_Consumables!$L$5:$L$856,Service_Consumables!$A$5:$A$856,$A59,Service_Consumables!$E$5:$E$856,J$5,Service_Consumables!$H$5:$H$856,"Auto-deduct")</f>
        <v>0</v>
      </c>
      <c r="K59" s="15" t="n">
        <f aca="false">SUMIFS(Service_Consumables!$L$5:$L$856,Service_Consumables!$A$5:$A$856,$A59,Service_Consumables!$E$5:$E$856,K$5,Service_Consumables!$H$5:$H$856,"Auto-deduct")</f>
        <v>0</v>
      </c>
      <c r="L59" s="15" t="n">
        <f aca="false">SUMIFS(Service_Consumables!$L$5:$L$856,Service_Consumables!$A$5:$A$856,$A59,Service_Consumables!$E$5:$E$856,L$5,Service_Consumables!$H$5:$H$856,"Auto-deduct")</f>
        <v>0</v>
      </c>
      <c r="M59" s="15" t="n">
        <f aca="false">SUMIFS(Service_Consumables!$L$5:$L$856,Service_Consumables!$A$5:$A$856,$A59,Service_Consumables!$E$5:$E$856,M$5,Service_Consumables!$H$5:$H$856,"Auto-deduct")</f>
        <v>0</v>
      </c>
      <c r="N59" s="15" t="n">
        <f aca="false">SUMIFS(Service_Consumables!$L$5:$L$856,Service_Consumables!$A$5:$A$856,$A59,Service_Consumables!$E$5:$E$856,N$5,Service_Consumables!$H$5:$H$856,"Auto-deduct")</f>
        <v>0</v>
      </c>
      <c r="O59" s="15" t="n">
        <f aca="false">SUMIFS(Service_Consumables!$L$5:$L$856,Service_Consumables!$A$5:$A$856,$A59,Service_Consumables!$E$5:$E$856,O$5,Service_Consumables!$H$5:$H$856,"Auto-deduct")</f>
        <v>1</v>
      </c>
      <c r="P59" s="15" t="n">
        <f aca="false">SUMIFS(Service_Consumables!$L$5:$L$856,Service_Consumables!$A$5:$A$856,$A59,Service_Consumables!$E$5:$E$856,P$5,Service_Consumables!$H$5:$H$856,"Auto-deduct")</f>
        <v>1</v>
      </c>
      <c r="Q59" s="15" t="n">
        <f aca="false">SUMIFS(Service_Consumables!$L$5:$L$856,Service_Consumables!$A$5:$A$856,$A59,Service_Consumables!$E$5:$E$856,Q$5,Service_Consumables!$H$5:$H$856,"Auto-deduct")</f>
        <v>1</v>
      </c>
      <c r="R59" s="15" t="n">
        <f aca="false">SUMIFS(Service_Consumables!$L$5:$L$856,Service_Consumables!$A$5:$A$856,$A59,Service_Consumables!$E$5:$E$856,R$5,Service_Consumables!$H$5:$H$856,"Auto-deduct")</f>
        <v>0</v>
      </c>
      <c r="S59" s="15" t="n">
        <f aca="false">SUMIFS(Service_Consumables!$L$5:$L$856,Service_Consumables!$A$5:$A$856,$A59,Service_Consumables!$E$5:$E$856,S$5,Service_Consumables!$H$5:$H$856,"Auto-deduct")</f>
        <v>6</v>
      </c>
      <c r="T59" s="15" t="n">
        <f aca="false">SUMIFS(Service_Consumables!$L$5:$L$856,Service_Consumables!$A$5:$A$856,$A59,Service_Consumables!$E$5:$E$856,T$5,Service_Consumables!$H$5:$H$856,"Auto-deduct")</f>
        <v>0</v>
      </c>
      <c r="U59" s="15" t="n">
        <f aca="false">SUMIFS(Service_Consumables!$L$5:$L$856,Service_Consumables!$A$5:$A$856,$A59,Service_Consumables!$E$5:$E$856,U$5,Service_Consumables!$H$5:$H$856,"Auto-deduct")</f>
        <v>6</v>
      </c>
      <c r="V59" s="15" t="n">
        <f aca="false">SUMIFS(Service_Consumables!$L$5:$L$856,Service_Consumables!$A$5:$A$856,$A59,Service_Consumables!$E$5:$E$856,V$5,Service_Consumables!$H$5:$H$856,"Auto-deduct")</f>
        <v>5</v>
      </c>
      <c r="W59" s="15" t="n">
        <f aca="false">SUMIFS(Service_Consumables!$L$5:$L$856,Service_Consumables!$A$5:$A$856,$A59,Service_Consumables!$E$5:$E$856,W$5,Service_Consumables!$H$5:$H$856,"Auto-deduct")</f>
        <v>0</v>
      </c>
      <c r="X59" s="15" t="n">
        <f aca="false">SUMIFS(Service_Consumables!$L$5:$L$856,Service_Consumables!$A$5:$A$856,$A59,Service_Consumables!$E$5:$E$856,X$5,Service_Consumables!$H$5:$H$856,"Auto-deduct")</f>
        <v>1</v>
      </c>
      <c r="Y59" s="15" t="n">
        <f aca="false">SUMIFS(Service_Consumables!$L$5:$L$856,Service_Consumables!$A$5:$A$856,$A59,Service_Consumables!$E$5:$E$856,Y$5,Service_Consumables!$H$5:$H$856,"Auto-deduct")</f>
        <v>0</v>
      </c>
      <c r="Z59" s="15" t="n">
        <f aca="false">SUMIFS(Service_Consumables!$L$5:$L$856,Service_Consumables!$A$5:$A$856,$A59,Service_Consumables!$E$5:$E$856,Z$5,Service_Consumables!$H$5:$H$856,"Auto-deduct")</f>
        <v>0</v>
      </c>
      <c r="AA59" s="15" t="n">
        <f aca="false">SUMIFS(Service_Consumables!$L$5:$L$856,Service_Consumables!$A$5:$A$856,$A59,Service_Consumables!$E$5:$E$856,AA$5,Service_Consumables!$H$5:$H$856,"Auto-deduct")</f>
        <v>0</v>
      </c>
      <c r="AB59" s="15" t="n">
        <f aca="false">SUMIFS(Service_Consumables!$L$5:$L$856,Service_Consumables!$A$5:$A$856,$A59,Service_Consumables!$E$5:$E$856,AB$5,Service_Consumables!$H$5:$H$856,"Auto-deduct")</f>
        <v>0</v>
      </c>
      <c r="AC59" s="15" t="n">
        <f aca="false">SUMIFS(Service_Consumables!$L$5:$L$856,Service_Consumables!$A$5:$A$856,$A59,Service_Consumables!$E$5:$E$856,AC$5,Service_Consumables!$H$5:$H$856,"Auto-deduct")</f>
        <v>0</v>
      </c>
      <c r="AD59" s="15" t="n">
        <f aca="false">SUMIFS(Service_Consumables!$L$5:$L$856,Service_Consumables!$A$5:$A$856,$A59,Service_Consumables!$E$5:$E$856,AD$5,Service_Consumables!$H$5:$H$856,"Auto-deduct")</f>
        <v>5</v>
      </c>
      <c r="AE59" s="15" t="n">
        <f aca="false">SUMIFS(Service_Consumables!$L$5:$L$856,Service_Consumables!$A$5:$A$856,$A59,Service_Consumables!$E$5:$E$856,AE$5,Service_Consumables!$H$5:$H$856,"Auto-deduct")</f>
        <v>10</v>
      </c>
      <c r="AF59" s="15" t="n">
        <f aca="false">SUMIFS(Service_Consumables!$L$5:$L$856,Service_Consumables!$A$5:$A$856,$A59,Service_Consumables!$E$5:$E$856,AF$5,Service_Consumables!$H$5:$H$856,"Auto-deduct")</f>
        <v>0</v>
      </c>
      <c r="AG59" s="15" t="n">
        <f aca="false">SUMIFS(Service_Consumables!$L$5:$L$856,Service_Consumables!$A$5:$A$856,$A59,Service_Consumables!$E$5:$E$856,AG$5,Service_Consumables!$H$5:$H$856,"Auto-deduct")</f>
        <v>0</v>
      </c>
      <c r="AH59" s="15" t="n">
        <f aca="false">SUMIFS(Service_Consumables!$L$5:$L$856,Service_Consumables!$A$5:$A$856,$A59,Service_Consumables!$E$5:$E$856,AH$5,Service_Consumables!$H$5:$H$856,"Auto-deduct")</f>
        <v>0</v>
      </c>
      <c r="AI59" s="15" t="n">
        <f aca="false">SUMIFS(Service_Consumables!$L$5:$L$856,Service_Consumables!$A$5:$A$856,$A59,Service_Consumables!$E$5:$E$856,AI$5,Service_Consumables!$H$5:$H$856,"Auto-deduct")</f>
        <v>5</v>
      </c>
      <c r="AJ59" s="15" t="n">
        <f aca="false">SUMIFS(Service_Consumables!$L$5:$L$856,Service_Consumables!$A$5:$A$856,$A59,Service_Consumables!$E$5:$E$856,AJ$5,Service_Consumables!$H$5:$H$856,"Auto-deduct")</f>
        <v>0</v>
      </c>
      <c r="AK59" s="15" t="n">
        <f aca="false">SUMIFS(Service_Consumables!$L$5:$L$856,Service_Consumables!$A$5:$A$856,$A59,Service_Consumables!$E$5:$E$856,AK$5,Service_Consumables!$H$5:$H$856,"Auto-deduct")</f>
        <v>0</v>
      </c>
      <c r="AL59" s="15" t="n">
        <f aca="false">SUMIFS(Service_Consumables!$L$5:$L$856,Service_Consumables!$A$5:$A$856,$A59,Service_Consumables!$E$5:$E$856,AL$5,Service_Consumables!$H$5:$H$856,"Auto-deduct")</f>
        <v>0</v>
      </c>
      <c r="AM59" s="15" t="n">
        <f aca="false">SUMIFS(Service_Consumables!$L$5:$L$856,Service_Consumables!$A$5:$A$856,$A59,Service_Consumables!$E$5:$E$856,AM$5,Service_Consumables!$H$5:$H$856,"Auto-deduct")</f>
        <v>30</v>
      </c>
      <c r="AN59" s="15" t="n">
        <f aca="false">SUMIFS(Service_Consumables!$L$5:$L$856,Service_Consumables!$A$5:$A$856,$A59,Service_Consumables!$E$5:$E$856,AN$5,Service_Consumables!$H$5:$H$856,"Auto-deduct")</f>
        <v>0</v>
      </c>
      <c r="AO59" s="15" t="n">
        <f aca="false">SUMIFS(Service_Consumables!$L$5:$L$856,Service_Consumables!$A$5:$A$856,$A59,Service_Consumables!$E$5:$E$856,AO$5,Service_Consumables!$H$5:$H$856,"Auto-deduct")</f>
        <v>0</v>
      </c>
      <c r="AP59" s="15" t="n">
        <f aca="false">SUMIFS(Service_Consumables!$L$5:$L$856,Service_Consumables!$A$5:$A$856,$A59,Service_Consumables!$E$5:$E$856,AP$5,Service_Consumables!$H$5:$H$856,"Auto-deduct")</f>
        <v>8</v>
      </c>
      <c r="AQ59" s="15" t="n">
        <f aca="false">SUMIFS(Service_Consumables!$L$5:$L$856,Service_Consumables!$A$5:$A$856,$A59,Service_Consumables!$E$5:$E$856,AQ$5,Service_Consumables!$H$5:$H$856,"Auto-deduct")</f>
        <v>10</v>
      </c>
      <c r="AR59" s="15" t="n">
        <f aca="false">SUMIFS(Service_Consumables!$L$5:$L$856,Service_Consumables!$A$5:$A$856,$A59,Service_Consumables!$E$5:$E$856,AR$5,Service_Consumables!$H$5:$H$856,"Auto-deduct")</f>
        <v>0</v>
      </c>
      <c r="AS59" s="15" t="n">
        <f aca="false">SUMIFS(Service_Consumables!$L$5:$L$856,Service_Consumables!$A$5:$A$856,$A59,Service_Consumables!$E$5:$E$856,AS$5,Service_Consumables!$H$5:$H$856,"Auto-deduct")</f>
        <v>0</v>
      </c>
      <c r="AT59" s="15" t="n">
        <f aca="false">SUMIFS(Service_Consumables!$L$5:$L$856,Service_Consumables!$A$5:$A$856,$A59,Service_Consumables!$E$5:$E$856,AT$5,Service_Consumables!$H$5:$H$856,"Auto-deduct")</f>
        <v>0</v>
      </c>
      <c r="AU59" s="15" t="n">
        <f aca="false">SUMIFS(Service_Consumables!$L$5:$L$856,Service_Consumables!$A$5:$A$856,$A59,Service_Consumables!$E$5:$E$856,AU$5,Service_Consumables!$H$5:$H$856,"Auto-deduct")</f>
        <v>0</v>
      </c>
      <c r="AV59" s="15" t="n">
        <f aca="false">SUMIFS(Service_Consumables!$L$5:$L$856,Service_Consumables!$A$5:$A$856,$A59,Service_Consumables!$E$5:$E$856,AV$5,Service_Consumables!$H$5:$H$856,"Auto-deduct")</f>
        <v>0</v>
      </c>
      <c r="AW59" s="15" t="n">
        <f aca="false">SUMIFS(Service_Consumables!$L$5:$L$856,Service_Consumables!$A$5:$A$856,$A59,Service_Consumables!$E$5:$E$856,AW$5,Service_Consumables!$H$5:$H$856,"Auto-deduct")</f>
        <v>0</v>
      </c>
      <c r="AX59" s="15" t="n">
        <f aca="false">SUMIFS(Service_Consumables!$L$5:$L$856,Service_Consumables!$A$5:$A$856,$A59,Service_Consumables!$E$5:$E$856,AX$5,Service_Consumables!$H$5:$H$856,"Auto-deduct")</f>
        <v>0</v>
      </c>
      <c r="AY59" s="15" t="n">
        <f aca="false">SUMIFS(Service_Consumables!$L$5:$L$856,Service_Consumables!$A$5:$A$856,$A59,Service_Consumables!$E$5:$E$856,AY$5,Service_Consumables!$H$5:$H$856,"Auto-deduct")</f>
        <v>0</v>
      </c>
      <c r="AZ59" s="15" t="n">
        <f aca="false">SUMIFS(Service_Consumables!$L$5:$L$856,Service_Consumables!$A$5:$A$856,$A59,Service_Consumables!$E$5:$E$856,AZ$5,Service_Consumables!$H$5:$H$856,"Auto-deduct")</f>
        <v>0</v>
      </c>
      <c r="BA59" s="15" t="n">
        <f aca="false">SUMIFS(Service_Consumables!$L$5:$L$856,Service_Consumables!$A$5:$A$856,$A59,Service_Consumables!$E$5:$E$856,BA$5,Service_Consumables!$H$5:$H$856,"Auto-deduct")</f>
        <v>3</v>
      </c>
      <c r="BB59" s="15" t="n">
        <f aca="false">SUMIFS(Service_Consumables!$L$5:$L$856,Service_Consumables!$A$5:$A$856,$A59,Service_Consumables!$E$5:$E$856,BB$5,Service_Consumables!$H$5:$H$856,"Auto-deduct")</f>
        <v>0</v>
      </c>
      <c r="BC59" s="15" t="n">
        <f aca="false">SUMIFS(Service_Consumables!$L$5:$L$856,Service_Consumables!$A$5:$A$856,$A59,Service_Consumables!$E$5:$E$856,BC$5,Service_Consumables!$H$5:$H$856,"Auto-deduct")</f>
        <v>0</v>
      </c>
      <c r="BD59" s="15" t="n">
        <f aca="false">SUMIFS(Service_Consumables!$L$5:$L$856,Service_Consumables!$A$5:$A$856,$A59,Service_Consumables!$E$5:$E$856,BD$5,Service_Consumables!$H$5:$H$856,"Auto-deduct")</f>
        <v>0</v>
      </c>
      <c r="BE59" s="15" t="n">
        <f aca="false">SUMIFS(Service_Consumables!$L$5:$L$856,Service_Consumables!$A$5:$A$856,$A59,Service_Consumables!$E$5:$E$856,BE$5,Service_Consumables!$H$5:$H$856,"Auto-deduct")</f>
        <v>0</v>
      </c>
      <c r="BF59" s="15" t="n">
        <f aca="false">SUMIFS(Service_Consumables!$L$5:$L$856,Service_Consumables!$A$5:$A$856,$A59,Service_Consumables!$E$5:$E$856,BF$5,Service_Consumables!$H$5:$H$856,"Auto-deduct")</f>
        <v>0</v>
      </c>
      <c r="BG59" s="15" t="n">
        <f aca="false">SUMIFS(Service_Consumables!$L$5:$L$856,Service_Consumables!$A$5:$A$856,$A59,Service_Consumables!$E$5:$E$856,BG$5,Service_Consumables!$H$5:$H$856,"Auto-deduct")</f>
        <v>0</v>
      </c>
      <c r="BH59" s="15" t="n">
        <f aca="false">SUMIFS(Service_Consumables!$L$5:$L$856,Service_Consumables!$A$5:$A$856,$A59,Service_Consumables!$E$5:$E$856,BH$5,Service_Consumables!$H$5:$H$856,"Auto-deduct")</f>
        <v>0</v>
      </c>
      <c r="BI59" s="15" t="n">
        <f aca="false">SUMIFS(Service_Consumables!$L$5:$L$856,Service_Consumables!$A$5:$A$856,$A59,Service_Consumables!$E$5:$E$856,BI$5,Service_Consumables!$H$5:$H$856,"Auto-deduct")</f>
        <v>0</v>
      </c>
    </row>
    <row r="60" customFormat="false" ht="15" hidden="false" customHeight="false" outlineLevel="0" collapsed="false">
      <c r="A60" s="14" t="n">
        <f aca="false">Services!A59</f>
        <v>55</v>
      </c>
      <c r="B60" s="14" t="str">
        <f aca="false">Services!B59</f>
        <v>Facials</v>
      </c>
      <c r="C60" s="14" t="str">
        <f aca="false">Services!C59</f>
        <v>RM Signature Facial (RMSF)</v>
      </c>
      <c r="D60" s="15" t="n">
        <f aca="false">SUMIFS(Service_Consumables!$L$5:$L$856,Service_Consumables!$A$5:$A$856,$A60,Service_Consumables!$E$5:$E$856,D$5,Service_Consumables!$H$5:$H$856,"Auto-deduct")</f>
        <v>0</v>
      </c>
      <c r="E60" s="15" t="n">
        <f aca="false">SUMIFS(Service_Consumables!$L$5:$L$856,Service_Consumables!$A$5:$A$856,$A60,Service_Consumables!$E$5:$E$856,E$5,Service_Consumables!$H$5:$H$856,"Auto-deduct")</f>
        <v>0</v>
      </c>
      <c r="F60" s="15" t="n">
        <f aca="false">SUMIFS(Service_Consumables!$L$5:$L$856,Service_Consumables!$A$5:$A$856,$A60,Service_Consumables!$E$5:$E$856,F$5,Service_Consumables!$H$5:$H$856,"Auto-deduct")</f>
        <v>0</v>
      </c>
      <c r="G60" s="15" t="n">
        <f aca="false">SUMIFS(Service_Consumables!$L$5:$L$856,Service_Consumables!$A$5:$A$856,$A60,Service_Consumables!$E$5:$E$856,G$5,Service_Consumables!$H$5:$H$856,"Auto-deduct")</f>
        <v>0</v>
      </c>
      <c r="H60" s="15" t="n">
        <f aca="false">SUMIFS(Service_Consumables!$L$5:$L$856,Service_Consumables!$A$5:$A$856,$A60,Service_Consumables!$E$5:$E$856,H$5,Service_Consumables!$H$5:$H$856,"Auto-deduct")</f>
        <v>0</v>
      </c>
      <c r="I60" s="15" t="n">
        <f aca="false">SUMIFS(Service_Consumables!$L$5:$L$856,Service_Consumables!$A$5:$A$856,$A60,Service_Consumables!$E$5:$E$856,I$5,Service_Consumables!$H$5:$H$856,"Auto-deduct")</f>
        <v>0</v>
      </c>
      <c r="J60" s="15" t="n">
        <f aca="false">SUMIFS(Service_Consumables!$L$5:$L$856,Service_Consumables!$A$5:$A$856,$A60,Service_Consumables!$E$5:$E$856,J$5,Service_Consumables!$H$5:$H$856,"Auto-deduct")</f>
        <v>0</v>
      </c>
      <c r="K60" s="15" t="n">
        <f aca="false">SUMIFS(Service_Consumables!$L$5:$L$856,Service_Consumables!$A$5:$A$856,$A60,Service_Consumables!$E$5:$E$856,K$5,Service_Consumables!$H$5:$H$856,"Auto-deduct")</f>
        <v>0</v>
      </c>
      <c r="L60" s="15" t="n">
        <f aca="false">SUMIFS(Service_Consumables!$L$5:$L$856,Service_Consumables!$A$5:$A$856,$A60,Service_Consumables!$E$5:$E$856,L$5,Service_Consumables!$H$5:$H$856,"Auto-deduct")</f>
        <v>0</v>
      </c>
      <c r="M60" s="15" t="n">
        <f aca="false">SUMIFS(Service_Consumables!$L$5:$L$856,Service_Consumables!$A$5:$A$856,$A60,Service_Consumables!$E$5:$E$856,M$5,Service_Consumables!$H$5:$H$856,"Auto-deduct")</f>
        <v>0</v>
      </c>
      <c r="N60" s="15" t="n">
        <f aca="false">SUMIFS(Service_Consumables!$L$5:$L$856,Service_Consumables!$A$5:$A$856,$A60,Service_Consumables!$E$5:$E$856,N$5,Service_Consumables!$H$5:$H$856,"Auto-deduct")</f>
        <v>0</v>
      </c>
      <c r="O60" s="15" t="n">
        <f aca="false">SUMIFS(Service_Consumables!$L$5:$L$856,Service_Consumables!$A$5:$A$856,$A60,Service_Consumables!$E$5:$E$856,O$5,Service_Consumables!$H$5:$H$856,"Auto-deduct")</f>
        <v>1</v>
      </c>
      <c r="P60" s="15" t="n">
        <f aca="false">SUMIFS(Service_Consumables!$L$5:$L$856,Service_Consumables!$A$5:$A$856,$A60,Service_Consumables!$E$5:$E$856,P$5,Service_Consumables!$H$5:$H$856,"Auto-deduct")</f>
        <v>1</v>
      </c>
      <c r="Q60" s="15" t="n">
        <f aca="false">SUMIFS(Service_Consumables!$L$5:$L$856,Service_Consumables!$A$5:$A$856,$A60,Service_Consumables!$E$5:$E$856,Q$5,Service_Consumables!$H$5:$H$856,"Auto-deduct")</f>
        <v>1</v>
      </c>
      <c r="R60" s="15" t="n">
        <f aca="false">SUMIFS(Service_Consumables!$L$5:$L$856,Service_Consumables!$A$5:$A$856,$A60,Service_Consumables!$E$5:$E$856,R$5,Service_Consumables!$H$5:$H$856,"Auto-deduct")</f>
        <v>0</v>
      </c>
      <c r="S60" s="15" t="n">
        <f aca="false">SUMIFS(Service_Consumables!$L$5:$L$856,Service_Consumables!$A$5:$A$856,$A60,Service_Consumables!$E$5:$E$856,S$5,Service_Consumables!$H$5:$H$856,"Auto-deduct")</f>
        <v>6</v>
      </c>
      <c r="T60" s="15" t="n">
        <f aca="false">SUMIFS(Service_Consumables!$L$5:$L$856,Service_Consumables!$A$5:$A$856,$A60,Service_Consumables!$E$5:$E$856,T$5,Service_Consumables!$H$5:$H$856,"Auto-deduct")</f>
        <v>0</v>
      </c>
      <c r="U60" s="15" t="n">
        <f aca="false">SUMIFS(Service_Consumables!$L$5:$L$856,Service_Consumables!$A$5:$A$856,$A60,Service_Consumables!$E$5:$E$856,U$5,Service_Consumables!$H$5:$H$856,"Auto-deduct")</f>
        <v>0</v>
      </c>
      <c r="V60" s="15" t="n">
        <f aca="false">SUMIFS(Service_Consumables!$L$5:$L$856,Service_Consumables!$A$5:$A$856,$A60,Service_Consumables!$E$5:$E$856,V$5,Service_Consumables!$H$5:$H$856,"Auto-deduct")</f>
        <v>5</v>
      </c>
      <c r="W60" s="15" t="n">
        <f aca="false">SUMIFS(Service_Consumables!$L$5:$L$856,Service_Consumables!$A$5:$A$856,$A60,Service_Consumables!$E$5:$E$856,W$5,Service_Consumables!$H$5:$H$856,"Auto-deduct")</f>
        <v>4</v>
      </c>
      <c r="X60" s="15" t="n">
        <f aca="false">SUMIFS(Service_Consumables!$L$5:$L$856,Service_Consumables!$A$5:$A$856,$A60,Service_Consumables!$E$5:$E$856,X$5,Service_Consumables!$H$5:$H$856,"Auto-deduct")</f>
        <v>1</v>
      </c>
      <c r="Y60" s="15" t="n">
        <f aca="false">SUMIFS(Service_Consumables!$L$5:$L$856,Service_Consumables!$A$5:$A$856,$A60,Service_Consumables!$E$5:$E$856,Y$5,Service_Consumables!$H$5:$H$856,"Auto-deduct")</f>
        <v>0</v>
      </c>
      <c r="Z60" s="15" t="n">
        <f aca="false">SUMIFS(Service_Consumables!$L$5:$L$856,Service_Consumables!$A$5:$A$856,$A60,Service_Consumables!$E$5:$E$856,Z$5,Service_Consumables!$H$5:$H$856,"Auto-deduct")</f>
        <v>0</v>
      </c>
      <c r="AA60" s="15" t="n">
        <f aca="false">SUMIFS(Service_Consumables!$L$5:$L$856,Service_Consumables!$A$5:$A$856,$A60,Service_Consumables!$E$5:$E$856,AA$5,Service_Consumables!$H$5:$H$856,"Auto-deduct")</f>
        <v>2</v>
      </c>
      <c r="AB60" s="15" t="n">
        <f aca="false">SUMIFS(Service_Consumables!$L$5:$L$856,Service_Consumables!$A$5:$A$856,$A60,Service_Consumables!$E$5:$E$856,AB$5,Service_Consumables!$H$5:$H$856,"Auto-deduct")</f>
        <v>0</v>
      </c>
      <c r="AC60" s="15" t="n">
        <f aca="false">SUMIFS(Service_Consumables!$L$5:$L$856,Service_Consumables!$A$5:$A$856,$A60,Service_Consumables!$E$5:$E$856,AC$5,Service_Consumables!$H$5:$H$856,"Auto-deduct")</f>
        <v>0</v>
      </c>
      <c r="AD60" s="15" t="n">
        <f aca="false">SUMIFS(Service_Consumables!$L$5:$L$856,Service_Consumables!$A$5:$A$856,$A60,Service_Consumables!$E$5:$E$856,AD$5,Service_Consumables!$H$5:$H$856,"Auto-deduct")</f>
        <v>10</v>
      </c>
      <c r="AE60" s="15" t="n">
        <f aca="false">SUMIFS(Service_Consumables!$L$5:$L$856,Service_Consumables!$A$5:$A$856,$A60,Service_Consumables!$E$5:$E$856,AE$5,Service_Consumables!$H$5:$H$856,"Auto-deduct")</f>
        <v>10</v>
      </c>
      <c r="AF60" s="15" t="n">
        <f aca="false">SUMIFS(Service_Consumables!$L$5:$L$856,Service_Consumables!$A$5:$A$856,$A60,Service_Consumables!$E$5:$E$856,AF$5,Service_Consumables!$H$5:$H$856,"Auto-deduct")</f>
        <v>0</v>
      </c>
      <c r="AG60" s="15" t="n">
        <f aca="false">SUMIFS(Service_Consumables!$L$5:$L$856,Service_Consumables!$A$5:$A$856,$A60,Service_Consumables!$E$5:$E$856,AG$5,Service_Consumables!$H$5:$H$856,"Auto-deduct")</f>
        <v>0</v>
      </c>
      <c r="AH60" s="15" t="n">
        <f aca="false">SUMIFS(Service_Consumables!$L$5:$L$856,Service_Consumables!$A$5:$A$856,$A60,Service_Consumables!$E$5:$E$856,AH$5,Service_Consumables!$H$5:$H$856,"Auto-deduct")</f>
        <v>0</v>
      </c>
      <c r="AI60" s="15" t="n">
        <f aca="false">SUMIFS(Service_Consumables!$L$5:$L$856,Service_Consumables!$A$5:$A$856,$A60,Service_Consumables!$E$5:$E$856,AI$5,Service_Consumables!$H$5:$H$856,"Auto-deduct")</f>
        <v>5</v>
      </c>
      <c r="AJ60" s="15" t="n">
        <f aca="false">SUMIFS(Service_Consumables!$L$5:$L$856,Service_Consumables!$A$5:$A$856,$A60,Service_Consumables!$E$5:$E$856,AJ$5,Service_Consumables!$H$5:$H$856,"Auto-deduct")</f>
        <v>5</v>
      </c>
      <c r="AK60" s="15" t="n">
        <f aca="false">SUMIFS(Service_Consumables!$L$5:$L$856,Service_Consumables!$A$5:$A$856,$A60,Service_Consumables!$E$5:$E$856,AK$5,Service_Consumables!$H$5:$H$856,"Auto-deduct")</f>
        <v>0</v>
      </c>
      <c r="AL60" s="15" t="n">
        <f aca="false">SUMIFS(Service_Consumables!$L$5:$L$856,Service_Consumables!$A$5:$A$856,$A60,Service_Consumables!$E$5:$E$856,AL$5,Service_Consumables!$H$5:$H$856,"Auto-deduct")</f>
        <v>30</v>
      </c>
      <c r="AM60" s="15" t="n">
        <f aca="false">SUMIFS(Service_Consumables!$L$5:$L$856,Service_Consumables!$A$5:$A$856,$A60,Service_Consumables!$E$5:$E$856,AM$5,Service_Consumables!$H$5:$H$856,"Auto-deduct")</f>
        <v>0</v>
      </c>
      <c r="AN60" s="15" t="n">
        <f aca="false">SUMIFS(Service_Consumables!$L$5:$L$856,Service_Consumables!$A$5:$A$856,$A60,Service_Consumables!$E$5:$E$856,AN$5,Service_Consumables!$H$5:$H$856,"Auto-deduct")</f>
        <v>0</v>
      </c>
      <c r="AO60" s="15" t="n">
        <f aca="false">SUMIFS(Service_Consumables!$L$5:$L$856,Service_Consumables!$A$5:$A$856,$A60,Service_Consumables!$E$5:$E$856,AO$5,Service_Consumables!$H$5:$H$856,"Auto-deduct")</f>
        <v>0</v>
      </c>
      <c r="AP60" s="15" t="n">
        <f aca="false">SUMIFS(Service_Consumables!$L$5:$L$856,Service_Consumables!$A$5:$A$856,$A60,Service_Consumables!$E$5:$E$856,AP$5,Service_Consumables!$H$5:$H$856,"Auto-deduct")</f>
        <v>0</v>
      </c>
      <c r="AQ60" s="15" t="n">
        <f aca="false">SUMIFS(Service_Consumables!$L$5:$L$856,Service_Consumables!$A$5:$A$856,$A60,Service_Consumables!$E$5:$E$856,AQ$5,Service_Consumables!$H$5:$H$856,"Auto-deduct")</f>
        <v>0</v>
      </c>
      <c r="AR60" s="15" t="n">
        <f aca="false">SUMIFS(Service_Consumables!$L$5:$L$856,Service_Consumables!$A$5:$A$856,$A60,Service_Consumables!$E$5:$E$856,AR$5,Service_Consumables!$H$5:$H$856,"Auto-deduct")</f>
        <v>0</v>
      </c>
      <c r="AS60" s="15" t="n">
        <f aca="false">SUMIFS(Service_Consumables!$L$5:$L$856,Service_Consumables!$A$5:$A$856,$A60,Service_Consumables!$E$5:$E$856,AS$5,Service_Consumables!$H$5:$H$856,"Auto-deduct")</f>
        <v>1</v>
      </c>
      <c r="AT60" s="15" t="n">
        <f aca="false">SUMIFS(Service_Consumables!$L$5:$L$856,Service_Consumables!$A$5:$A$856,$A60,Service_Consumables!$E$5:$E$856,AT$5,Service_Consumables!$H$5:$H$856,"Auto-deduct")</f>
        <v>0</v>
      </c>
      <c r="AU60" s="15" t="n">
        <f aca="false">SUMIFS(Service_Consumables!$L$5:$L$856,Service_Consumables!$A$5:$A$856,$A60,Service_Consumables!$E$5:$E$856,AU$5,Service_Consumables!$H$5:$H$856,"Auto-deduct")</f>
        <v>0</v>
      </c>
      <c r="AV60" s="15" t="n">
        <f aca="false">SUMIFS(Service_Consumables!$L$5:$L$856,Service_Consumables!$A$5:$A$856,$A60,Service_Consumables!$E$5:$E$856,AV$5,Service_Consumables!$H$5:$H$856,"Auto-deduct")</f>
        <v>0</v>
      </c>
      <c r="AW60" s="15" t="n">
        <f aca="false">SUMIFS(Service_Consumables!$L$5:$L$856,Service_Consumables!$A$5:$A$856,$A60,Service_Consumables!$E$5:$E$856,AW$5,Service_Consumables!$H$5:$H$856,"Auto-deduct")</f>
        <v>0</v>
      </c>
      <c r="AX60" s="15" t="n">
        <f aca="false">SUMIFS(Service_Consumables!$L$5:$L$856,Service_Consumables!$A$5:$A$856,$A60,Service_Consumables!$E$5:$E$856,AX$5,Service_Consumables!$H$5:$H$856,"Auto-deduct")</f>
        <v>0</v>
      </c>
      <c r="AY60" s="15" t="n">
        <f aca="false">SUMIFS(Service_Consumables!$L$5:$L$856,Service_Consumables!$A$5:$A$856,$A60,Service_Consumables!$E$5:$E$856,AY$5,Service_Consumables!$H$5:$H$856,"Auto-deduct")</f>
        <v>0</v>
      </c>
      <c r="AZ60" s="15" t="n">
        <f aca="false">SUMIFS(Service_Consumables!$L$5:$L$856,Service_Consumables!$A$5:$A$856,$A60,Service_Consumables!$E$5:$E$856,AZ$5,Service_Consumables!$H$5:$H$856,"Auto-deduct")</f>
        <v>0</v>
      </c>
      <c r="BA60" s="15" t="n">
        <f aca="false">SUMIFS(Service_Consumables!$L$5:$L$856,Service_Consumables!$A$5:$A$856,$A60,Service_Consumables!$E$5:$E$856,BA$5,Service_Consumables!$H$5:$H$856,"Auto-deduct")</f>
        <v>3</v>
      </c>
      <c r="BB60" s="15" t="n">
        <f aca="false">SUMIFS(Service_Consumables!$L$5:$L$856,Service_Consumables!$A$5:$A$856,$A60,Service_Consumables!$E$5:$E$856,BB$5,Service_Consumables!$H$5:$H$856,"Auto-deduct")</f>
        <v>0</v>
      </c>
      <c r="BC60" s="15" t="n">
        <f aca="false">SUMIFS(Service_Consumables!$L$5:$L$856,Service_Consumables!$A$5:$A$856,$A60,Service_Consumables!$E$5:$E$856,BC$5,Service_Consumables!$H$5:$H$856,"Auto-deduct")</f>
        <v>0</v>
      </c>
      <c r="BD60" s="15" t="n">
        <f aca="false">SUMIFS(Service_Consumables!$L$5:$L$856,Service_Consumables!$A$5:$A$856,$A60,Service_Consumables!$E$5:$E$856,BD$5,Service_Consumables!$H$5:$H$856,"Auto-deduct")</f>
        <v>0</v>
      </c>
      <c r="BE60" s="15" t="n">
        <f aca="false">SUMIFS(Service_Consumables!$L$5:$L$856,Service_Consumables!$A$5:$A$856,$A60,Service_Consumables!$E$5:$E$856,BE$5,Service_Consumables!$H$5:$H$856,"Auto-deduct")</f>
        <v>0</v>
      </c>
      <c r="BF60" s="15" t="n">
        <f aca="false">SUMIFS(Service_Consumables!$L$5:$L$856,Service_Consumables!$A$5:$A$856,$A60,Service_Consumables!$E$5:$E$856,BF$5,Service_Consumables!$H$5:$H$856,"Auto-deduct")</f>
        <v>0</v>
      </c>
      <c r="BG60" s="15" t="n">
        <f aca="false">SUMIFS(Service_Consumables!$L$5:$L$856,Service_Consumables!$A$5:$A$856,$A60,Service_Consumables!$E$5:$E$856,BG$5,Service_Consumables!$H$5:$H$856,"Auto-deduct")</f>
        <v>0</v>
      </c>
      <c r="BH60" s="15" t="n">
        <f aca="false">SUMIFS(Service_Consumables!$L$5:$L$856,Service_Consumables!$A$5:$A$856,$A60,Service_Consumables!$E$5:$E$856,BH$5,Service_Consumables!$H$5:$H$856,"Auto-deduct")</f>
        <v>0</v>
      </c>
      <c r="BI60" s="15" t="n">
        <f aca="false">SUMIFS(Service_Consumables!$L$5:$L$856,Service_Consumables!$A$5:$A$856,$A60,Service_Consumables!$E$5:$E$856,BI$5,Service_Consumables!$H$5:$H$856,"Auto-deduct")</f>
        <v>0</v>
      </c>
    </row>
    <row r="61" customFormat="false" ht="15" hidden="false" customHeight="false" outlineLevel="0" collapsed="false">
      <c r="A61" s="14" t="n">
        <f aca="false">Services!A60</f>
        <v>56</v>
      </c>
      <c r="B61" s="14" t="str">
        <f aca="false">Services!B60</f>
        <v>Facials</v>
      </c>
      <c r="C61" s="14" t="str">
        <f aca="false">Services!C60</f>
        <v>Acne Vulgaris Facial (AVF)</v>
      </c>
      <c r="D61" s="15" t="n">
        <f aca="false">SUMIFS(Service_Consumables!$L$5:$L$856,Service_Consumables!$A$5:$A$856,$A61,Service_Consumables!$E$5:$E$856,D$5,Service_Consumables!$H$5:$H$856,"Auto-deduct")</f>
        <v>0</v>
      </c>
      <c r="E61" s="15" t="n">
        <f aca="false">SUMIFS(Service_Consumables!$L$5:$L$856,Service_Consumables!$A$5:$A$856,$A61,Service_Consumables!$E$5:$E$856,E$5,Service_Consumables!$H$5:$H$856,"Auto-deduct")</f>
        <v>0</v>
      </c>
      <c r="F61" s="15" t="n">
        <f aca="false">SUMIFS(Service_Consumables!$L$5:$L$856,Service_Consumables!$A$5:$A$856,$A61,Service_Consumables!$E$5:$E$856,F$5,Service_Consumables!$H$5:$H$856,"Auto-deduct")</f>
        <v>0</v>
      </c>
      <c r="G61" s="15" t="n">
        <f aca="false">SUMIFS(Service_Consumables!$L$5:$L$856,Service_Consumables!$A$5:$A$856,$A61,Service_Consumables!$E$5:$E$856,G$5,Service_Consumables!$H$5:$H$856,"Auto-deduct")</f>
        <v>0</v>
      </c>
      <c r="H61" s="15" t="n">
        <f aca="false">SUMIFS(Service_Consumables!$L$5:$L$856,Service_Consumables!$A$5:$A$856,$A61,Service_Consumables!$E$5:$E$856,H$5,Service_Consumables!$H$5:$H$856,"Auto-deduct")</f>
        <v>0</v>
      </c>
      <c r="I61" s="15" t="n">
        <f aca="false">SUMIFS(Service_Consumables!$L$5:$L$856,Service_Consumables!$A$5:$A$856,$A61,Service_Consumables!$E$5:$E$856,I$5,Service_Consumables!$H$5:$H$856,"Auto-deduct")</f>
        <v>0</v>
      </c>
      <c r="J61" s="15" t="n">
        <f aca="false">SUMIFS(Service_Consumables!$L$5:$L$856,Service_Consumables!$A$5:$A$856,$A61,Service_Consumables!$E$5:$E$856,J$5,Service_Consumables!$H$5:$H$856,"Auto-deduct")</f>
        <v>0</v>
      </c>
      <c r="K61" s="15" t="n">
        <f aca="false">SUMIFS(Service_Consumables!$L$5:$L$856,Service_Consumables!$A$5:$A$856,$A61,Service_Consumables!$E$5:$E$856,K$5,Service_Consumables!$H$5:$H$856,"Auto-deduct")</f>
        <v>0</v>
      </c>
      <c r="L61" s="15" t="n">
        <f aca="false">SUMIFS(Service_Consumables!$L$5:$L$856,Service_Consumables!$A$5:$A$856,$A61,Service_Consumables!$E$5:$E$856,L$5,Service_Consumables!$H$5:$H$856,"Auto-deduct")</f>
        <v>0</v>
      </c>
      <c r="M61" s="15" t="n">
        <f aca="false">SUMIFS(Service_Consumables!$L$5:$L$856,Service_Consumables!$A$5:$A$856,$A61,Service_Consumables!$E$5:$E$856,M$5,Service_Consumables!$H$5:$H$856,"Auto-deduct")</f>
        <v>0</v>
      </c>
      <c r="N61" s="15" t="n">
        <f aca="false">SUMIFS(Service_Consumables!$L$5:$L$856,Service_Consumables!$A$5:$A$856,$A61,Service_Consumables!$E$5:$E$856,N$5,Service_Consumables!$H$5:$H$856,"Auto-deduct")</f>
        <v>0</v>
      </c>
      <c r="O61" s="15" t="n">
        <f aca="false">SUMIFS(Service_Consumables!$L$5:$L$856,Service_Consumables!$A$5:$A$856,$A61,Service_Consumables!$E$5:$E$856,O$5,Service_Consumables!$H$5:$H$856,"Auto-deduct")</f>
        <v>1</v>
      </c>
      <c r="P61" s="15" t="n">
        <f aca="false">SUMIFS(Service_Consumables!$L$5:$L$856,Service_Consumables!$A$5:$A$856,$A61,Service_Consumables!$E$5:$E$856,P$5,Service_Consumables!$H$5:$H$856,"Auto-deduct")</f>
        <v>1</v>
      </c>
      <c r="Q61" s="15" t="n">
        <f aca="false">SUMIFS(Service_Consumables!$L$5:$L$856,Service_Consumables!$A$5:$A$856,$A61,Service_Consumables!$E$5:$E$856,Q$5,Service_Consumables!$H$5:$H$856,"Auto-deduct")</f>
        <v>1</v>
      </c>
      <c r="R61" s="15" t="n">
        <f aca="false">SUMIFS(Service_Consumables!$L$5:$L$856,Service_Consumables!$A$5:$A$856,$A61,Service_Consumables!$E$5:$E$856,R$5,Service_Consumables!$H$5:$H$856,"Auto-deduct")</f>
        <v>0</v>
      </c>
      <c r="S61" s="15" t="n">
        <f aca="false">SUMIFS(Service_Consumables!$L$5:$L$856,Service_Consumables!$A$5:$A$856,$A61,Service_Consumables!$E$5:$E$856,S$5,Service_Consumables!$H$5:$H$856,"Auto-deduct")</f>
        <v>6</v>
      </c>
      <c r="T61" s="15" t="n">
        <f aca="false">SUMIFS(Service_Consumables!$L$5:$L$856,Service_Consumables!$A$5:$A$856,$A61,Service_Consumables!$E$5:$E$856,T$5,Service_Consumables!$H$5:$H$856,"Auto-deduct")</f>
        <v>0</v>
      </c>
      <c r="U61" s="15" t="n">
        <f aca="false">SUMIFS(Service_Consumables!$L$5:$L$856,Service_Consumables!$A$5:$A$856,$A61,Service_Consumables!$E$5:$E$856,U$5,Service_Consumables!$H$5:$H$856,"Auto-deduct")</f>
        <v>0</v>
      </c>
      <c r="V61" s="15" t="n">
        <f aca="false">SUMIFS(Service_Consumables!$L$5:$L$856,Service_Consumables!$A$5:$A$856,$A61,Service_Consumables!$E$5:$E$856,V$5,Service_Consumables!$H$5:$H$856,"Auto-deduct")</f>
        <v>5</v>
      </c>
      <c r="W61" s="15" t="n">
        <f aca="false">SUMIFS(Service_Consumables!$L$5:$L$856,Service_Consumables!$A$5:$A$856,$A61,Service_Consumables!$E$5:$E$856,W$5,Service_Consumables!$H$5:$H$856,"Auto-deduct")</f>
        <v>4</v>
      </c>
      <c r="X61" s="15" t="n">
        <f aca="false">SUMIFS(Service_Consumables!$L$5:$L$856,Service_Consumables!$A$5:$A$856,$A61,Service_Consumables!$E$5:$E$856,X$5,Service_Consumables!$H$5:$H$856,"Auto-deduct")</f>
        <v>2</v>
      </c>
      <c r="Y61" s="15" t="n">
        <f aca="false">SUMIFS(Service_Consumables!$L$5:$L$856,Service_Consumables!$A$5:$A$856,$A61,Service_Consumables!$E$5:$E$856,Y$5,Service_Consumables!$H$5:$H$856,"Auto-deduct")</f>
        <v>0</v>
      </c>
      <c r="Z61" s="15" t="n">
        <f aca="false">SUMIFS(Service_Consumables!$L$5:$L$856,Service_Consumables!$A$5:$A$856,$A61,Service_Consumables!$E$5:$E$856,Z$5,Service_Consumables!$H$5:$H$856,"Auto-deduct")</f>
        <v>0</v>
      </c>
      <c r="AA61" s="15" t="n">
        <f aca="false">SUMIFS(Service_Consumables!$L$5:$L$856,Service_Consumables!$A$5:$A$856,$A61,Service_Consumables!$E$5:$E$856,AA$5,Service_Consumables!$H$5:$H$856,"Auto-deduct")</f>
        <v>2</v>
      </c>
      <c r="AB61" s="15" t="n">
        <f aca="false">SUMIFS(Service_Consumables!$L$5:$L$856,Service_Consumables!$A$5:$A$856,$A61,Service_Consumables!$E$5:$E$856,AB$5,Service_Consumables!$H$5:$H$856,"Auto-deduct")</f>
        <v>2</v>
      </c>
      <c r="AC61" s="15" t="n">
        <f aca="false">SUMIFS(Service_Consumables!$L$5:$L$856,Service_Consumables!$A$5:$A$856,$A61,Service_Consumables!$E$5:$E$856,AC$5,Service_Consumables!$H$5:$H$856,"Auto-deduct")</f>
        <v>0</v>
      </c>
      <c r="AD61" s="15" t="n">
        <f aca="false">SUMIFS(Service_Consumables!$L$5:$L$856,Service_Consumables!$A$5:$A$856,$A61,Service_Consumables!$E$5:$E$856,AD$5,Service_Consumables!$H$5:$H$856,"Auto-deduct")</f>
        <v>10</v>
      </c>
      <c r="AE61" s="15" t="n">
        <f aca="false">SUMIFS(Service_Consumables!$L$5:$L$856,Service_Consumables!$A$5:$A$856,$A61,Service_Consumables!$E$5:$E$856,AE$5,Service_Consumables!$H$5:$H$856,"Auto-deduct")</f>
        <v>10</v>
      </c>
      <c r="AF61" s="15" t="n">
        <f aca="false">SUMIFS(Service_Consumables!$L$5:$L$856,Service_Consumables!$A$5:$A$856,$A61,Service_Consumables!$E$5:$E$856,AF$5,Service_Consumables!$H$5:$H$856,"Auto-deduct")</f>
        <v>5</v>
      </c>
      <c r="AG61" s="15" t="n">
        <f aca="false">SUMIFS(Service_Consumables!$L$5:$L$856,Service_Consumables!$A$5:$A$856,$A61,Service_Consumables!$E$5:$E$856,AG$5,Service_Consumables!$H$5:$H$856,"Auto-deduct")</f>
        <v>10</v>
      </c>
      <c r="AH61" s="15" t="n">
        <f aca="false">SUMIFS(Service_Consumables!$L$5:$L$856,Service_Consumables!$A$5:$A$856,$A61,Service_Consumables!$E$5:$E$856,AH$5,Service_Consumables!$H$5:$H$856,"Auto-deduct")</f>
        <v>5</v>
      </c>
      <c r="AI61" s="15" t="n">
        <f aca="false">SUMIFS(Service_Consumables!$L$5:$L$856,Service_Consumables!$A$5:$A$856,$A61,Service_Consumables!$E$5:$E$856,AI$5,Service_Consumables!$H$5:$H$856,"Auto-deduct")</f>
        <v>5</v>
      </c>
      <c r="AJ61" s="15" t="n">
        <f aca="false">SUMIFS(Service_Consumables!$L$5:$L$856,Service_Consumables!$A$5:$A$856,$A61,Service_Consumables!$E$5:$E$856,AJ$5,Service_Consumables!$H$5:$H$856,"Auto-deduct")</f>
        <v>0</v>
      </c>
      <c r="AK61" s="15" t="n">
        <f aca="false">SUMIFS(Service_Consumables!$L$5:$L$856,Service_Consumables!$A$5:$A$856,$A61,Service_Consumables!$E$5:$E$856,AK$5,Service_Consumables!$H$5:$H$856,"Auto-deduct")</f>
        <v>0</v>
      </c>
      <c r="AL61" s="15" t="n">
        <f aca="false">SUMIFS(Service_Consumables!$L$5:$L$856,Service_Consumables!$A$5:$A$856,$A61,Service_Consumables!$E$5:$E$856,AL$5,Service_Consumables!$H$5:$H$856,"Auto-deduct")</f>
        <v>0</v>
      </c>
      <c r="AM61" s="15" t="n">
        <f aca="false">SUMIFS(Service_Consumables!$L$5:$L$856,Service_Consumables!$A$5:$A$856,$A61,Service_Consumables!$E$5:$E$856,AM$5,Service_Consumables!$H$5:$H$856,"Auto-deduct")</f>
        <v>0</v>
      </c>
      <c r="AN61" s="15" t="n">
        <f aca="false">SUMIFS(Service_Consumables!$L$5:$L$856,Service_Consumables!$A$5:$A$856,$A61,Service_Consumables!$E$5:$E$856,AN$5,Service_Consumables!$H$5:$H$856,"Auto-deduct")</f>
        <v>30</v>
      </c>
      <c r="AO61" s="15" t="n">
        <f aca="false">SUMIFS(Service_Consumables!$L$5:$L$856,Service_Consumables!$A$5:$A$856,$A61,Service_Consumables!$E$5:$E$856,AO$5,Service_Consumables!$H$5:$H$856,"Auto-deduct")</f>
        <v>0</v>
      </c>
      <c r="AP61" s="15" t="n">
        <f aca="false">SUMIFS(Service_Consumables!$L$5:$L$856,Service_Consumables!$A$5:$A$856,$A61,Service_Consumables!$E$5:$E$856,AP$5,Service_Consumables!$H$5:$H$856,"Auto-deduct")</f>
        <v>0</v>
      </c>
      <c r="AQ61" s="15" t="n">
        <f aca="false">SUMIFS(Service_Consumables!$L$5:$L$856,Service_Consumables!$A$5:$A$856,$A61,Service_Consumables!$E$5:$E$856,AQ$5,Service_Consumables!$H$5:$H$856,"Auto-deduct")</f>
        <v>0</v>
      </c>
      <c r="AR61" s="15" t="n">
        <f aca="false">SUMIFS(Service_Consumables!$L$5:$L$856,Service_Consumables!$A$5:$A$856,$A61,Service_Consumables!$E$5:$E$856,AR$5,Service_Consumables!$H$5:$H$856,"Auto-deduct")</f>
        <v>0</v>
      </c>
      <c r="AS61" s="15" t="n">
        <f aca="false">SUMIFS(Service_Consumables!$L$5:$L$856,Service_Consumables!$A$5:$A$856,$A61,Service_Consumables!$E$5:$E$856,AS$5,Service_Consumables!$H$5:$H$856,"Auto-deduct")</f>
        <v>0</v>
      </c>
      <c r="AT61" s="15" t="n">
        <f aca="false">SUMIFS(Service_Consumables!$L$5:$L$856,Service_Consumables!$A$5:$A$856,$A61,Service_Consumables!$E$5:$E$856,AT$5,Service_Consumables!$H$5:$H$856,"Auto-deduct")</f>
        <v>0</v>
      </c>
      <c r="AU61" s="15" t="n">
        <f aca="false">SUMIFS(Service_Consumables!$L$5:$L$856,Service_Consumables!$A$5:$A$856,$A61,Service_Consumables!$E$5:$E$856,AU$5,Service_Consumables!$H$5:$H$856,"Auto-deduct")</f>
        <v>0</v>
      </c>
      <c r="AV61" s="15" t="n">
        <f aca="false">SUMIFS(Service_Consumables!$L$5:$L$856,Service_Consumables!$A$5:$A$856,$A61,Service_Consumables!$E$5:$E$856,AV$5,Service_Consumables!$H$5:$H$856,"Auto-deduct")</f>
        <v>0</v>
      </c>
      <c r="AW61" s="15" t="n">
        <f aca="false">SUMIFS(Service_Consumables!$L$5:$L$856,Service_Consumables!$A$5:$A$856,$A61,Service_Consumables!$E$5:$E$856,AW$5,Service_Consumables!$H$5:$H$856,"Auto-deduct")</f>
        <v>0</v>
      </c>
      <c r="AX61" s="15" t="n">
        <f aca="false">SUMIFS(Service_Consumables!$L$5:$L$856,Service_Consumables!$A$5:$A$856,$A61,Service_Consumables!$E$5:$E$856,AX$5,Service_Consumables!$H$5:$H$856,"Auto-deduct")</f>
        <v>0</v>
      </c>
      <c r="AY61" s="15" t="n">
        <f aca="false">SUMIFS(Service_Consumables!$L$5:$L$856,Service_Consumables!$A$5:$A$856,$A61,Service_Consumables!$E$5:$E$856,AY$5,Service_Consumables!$H$5:$H$856,"Auto-deduct")</f>
        <v>0</v>
      </c>
      <c r="AZ61" s="15" t="n">
        <f aca="false">SUMIFS(Service_Consumables!$L$5:$L$856,Service_Consumables!$A$5:$A$856,$A61,Service_Consumables!$E$5:$E$856,AZ$5,Service_Consumables!$H$5:$H$856,"Auto-deduct")</f>
        <v>0</v>
      </c>
      <c r="BA61" s="15" t="n">
        <f aca="false">SUMIFS(Service_Consumables!$L$5:$L$856,Service_Consumables!$A$5:$A$856,$A61,Service_Consumables!$E$5:$E$856,BA$5,Service_Consumables!$H$5:$H$856,"Auto-deduct")</f>
        <v>3</v>
      </c>
      <c r="BB61" s="15" t="n">
        <f aca="false">SUMIFS(Service_Consumables!$L$5:$L$856,Service_Consumables!$A$5:$A$856,$A61,Service_Consumables!$E$5:$E$856,BB$5,Service_Consumables!$H$5:$H$856,"Auto-deduct")</f>
        <v>0</v>
      </c>
      <c r="BC61" s="15" t="n">
        <f aca="false">SUMIFS(Service_Consumables!$L$5:$L$856,Service_Consumables!$A$5:$A$856,$A61,Service_Consumables!$E$5:$E$856,BC$5,Service_Consumables!$H$5:$H$856,"Auto-deduct")</f>
        <v>0</v>
      </c>
      <c r="BD61" s="15" t="n">
        <f aca="false">SUMIFS(Service_Consumables!$L$5:$L$856,Service_Consumables!$A$5:$A$856,$A61,Service_Consumables!$E$5:$E$856,BD$5,Service_Consumables!$H$5:$H$856,"Auto-deduct")</f>
        <v>0</v>
      </c>
      <c r="BE61" s="15" t="n">
        <f aca="false">SUMIFS(Service_Consumables!$L$5:$L$856,Service_Consumables!$A$5:$A$856,$A61,Service_Consumables!$E$5:$E$856,BE$5,Service_Consumables!$H$5:$H$856,"Auto-deduct")</f>
        <v>0</v>
      </c>
      <c r="BF61" s="15" t="n">
        <f aca="false">SUMIFS(Service_Consumables!$L$5:$L$856,Service_Consumables!$A$5:$A$856,$A61,Service_Consumables!$E$5:$E$856,BF$5,Service_Consumables!$H$5:$H$856,"Auto-deduct")</f>
        <v>0</v>
      </c>
      <c r="BG61" s="15" t="n">
        <f aca="false">SUMIFS(Service_Consumables!$L$5:$L$856,Service_Consumables!$A$5:$A$856,$A61,Service_Consumables!$E$5:$E$856,BG$5,Service_Consumables!$H$5:$H$856,"Auto-deduct")</f>
        <v>0</v>
      </c>
      <c r="BH61" s="15" t="n">
        <f aca="false">SUMIFS(Service_Consumables!$L$5:$L$856,Service_Consumables!$A$5:$A$856,$A61,Service_Consumables!$E$5:$E$856,BH$5,Service_Consumables!$H$5:$H$856,"Auto-deduct")</f>
        <v>0</v>
      </c>
      <c r="BI61" s="15" t="n">
        <f aca="false">SUMIFS(Service_Consumables!$L$5:$L$856,Service_Consumables!$A$5:$A$856,$A61,Service_Consumables!$E$5:$E$856,BI$5,Service_Consumables!$H$5:$H$856,"Auto-deduct")</f>
        <v>0</v>
      </c>
    </row>
    <row r="62" customFormat="false" ht="15" hidden="false" customHeight="false" outlineLevel="0" collapsed="false">
      <c r="A62" s="14" t="n">
        <f aca="false">Services!A61</f>
        <v>57</v>
      </c>
      <c r="B62" s="14" t="str">
        <f aca="false">Services!B61</f>
        <v>Facials</v>
      </c>
      <c r="C62" s="14" t="str">
        <f aca="false">Services!C61</f>
        <v>Acne Treatment Program (ATP)</v>
      </c>
      <c r="D62" s="15" t="n">
        <f aca="false">SUMIFS(Service_Consumables!$L$5:$L$856,Service_Consumables!$A$5:$A$856,$A62,Service_Consumables!$E$5:$E$856,D$5,Service_Consumables!$H$5:$H$856,"Auto-deduct")</f>
        <v>0</v>
      </c>
      <c r="E62" s="15" t="n">
        <f aca="false">SUMIFS(Service_Consumables!$L$5:$L$856,Service_Consumables!$A$5:$A$856,$A62,Service_Consumables!$E$5:$E$856,E$5,Service_Consumables!$H$5:$H$856,"Auto-deduct")</f>
        <v>0</v>
      </c>
      <c r="F62" s="15" t="n">
        <f aca="false">SUMIFS(Service_Consumables!$L$5:$L$856,Service_Consumables!$A$5:$A$856,$A62,Service_Consumables!$E$5:$E$856,F$5,Service_Consumables!$H$5:$H$856,"Auto-deduct")</f>
        <v>0</v>
      </c>
      <c r="G62" s="15" t="n">
        <f aca="false">SUMIFS(Service_Consumables!$L$5:$L$856,Service_Consumables!$A$5:$A$856,$A62,Service_Consumables!$E$5:$E$856,G$5,Service_Consumables!$H$5:$H$856,"Auto-deduct")</f>
        <v>0</v>
      </c>
      <c r="H62" s="15" t="n">
        <f aca="false">SUMIFS(Service_Consumables!$L$5:$L$856,Service_Consumables!$A$5:$A$856,$A62,Service_Consumables!$E$5:$E$856,H$5,Service_Consumables!$H$5:$H$856,"Auto-deduct")</f>
        <v>0</v>
      </c>
      <c r="I62" s="15" t="n">
        <f aca="false">SUMIFS(Service_Consumables!$L$5:$L$856,Service_Consumables!$A$5:$A$856,$A62,Service_Consumables!$E$5:$E$856,I$5,Service_Consumables!$H$5:$H$856,"Auto-deduct")</f>
        <v>0</v>
      </c>
      <c r="J62" s="15" t="n">
        <f aca="false">SUMIFS(Service_Consumables!$L$5:$L$856,Service_Consumables!$A$5:$A$856,$A62,Service_Consumables!$E$5:$E$856,J$5,Service_Consumables!$H$5:$H$856,"Auto-deduct")</f>
        <v>0</v>
      </c>
      <c r="K62" s="15" t="n">
        <f aca="false">SUMIFS(Service_Consumables!$L$5:$L$856,Service_Consumables!$A$5:$A$856,$A62,Service_Consumables!$E$5:$E$856,K$5,Service_Consumables!$H$5:$H$856,"Auto-deduct")</f>
        <v>0</v>
      </c>
      <c r="L62" s="15" t="n">
        <f aca="false">SUMIFS(Service_Consumables!$L$5:$L$856,Service_Consumables!$A$5:$A$856,$A62,Service_Consumables!$E$5:$E$856,L$5,Service_Consumables!$H$5:$H$856,"Auto-deduct")</f>
        <v>0</v>
      </c>
      <c r="M62" s="15" t="n">
        <f aca="false">SUMIFS(Service_Consumables!$L$5:$L$856,Service_Consumables!$A$5:$A$856,$A62,Service_Consumables!$E$5:$E$856,M$5,Service_Consumables!$H$5:$H$856,"Auto-deduct")</f>
        <v>0</v>
      </c>
      <c r="N62" s="15" t="n">
        <f aca="false">SUMIFS(Service_Consumables!$L$5:$L$856,Service_Consumables!$A$5:$A$856,$A62,Service_Consumables!$E$5:$E$856,N$5,Service_Consumables!$H$5:$H$856,"Auto-deduct")</f>
        <v>0</v>
      </c>
      <c r="O62" s="15" t="n">
        <f aca="false">SUMIFS(Service_Consumables!$L$5:$L$856,Service_Consumables!$A$5:$A$856,$A62,Service_Consumables!$E$5:$E$856,O$5,Service_Consumables!$H$5:$H$856,"Auto-deduct")</f>
        <v>1</v>
      </c>
      <c r="P62" s="15" t="n">
        <f aca="false">SUMIFS(Service_Consumables!$L$5:$L$856,Service_Consumables!$A$5:$A$856,$A62,Service_Consumables!$E$5:$E$856,P$5,Service_Consumables!$H$5:$H$856,"Auto-deduct")</f>
        <v>1</v>
      </c>
      <c r="Q62" s="15" t="n">
        <f aca="false">SUMIFS(Service_Consumables!$L$5:$L$856,Service_Consumables!$A$5:$A$856,$A62,Service_Consumables!$E$5:$E$856,Q$5,Service_Consumables!$H$5:$H$856,"Auto-deduct")</f>
        <v>1</v>
      </c>
      <c r="R62" s="15" t="n">
        <f aca="false">SUMIFS(Service_Consumables!$L$5:$L$856,Service_Consumables!$A$5:$A$856,$A62,Service_Consumables!$E$5:$E$856,R$5,Service_Consumables!$H$5:$H$856,"Auto-deduct")</f>
        <v>0</v>
      </c>
      <c r="S62" s="15" t="n">
        <f aca="false">SUMIFS(Service_Consumables!$L$5:$L$856,Service_Consumables!$A$5:$A$856,$A62,Service_Consumables!$E$5:$E$856,S$5,Service_Consumables!$H$5:$H$856,"Auto-deduct")</f>
        <v>6</v>
      </c>
      <c r="T62" s="15" t="n">
        <f aca="false">SUMIFS(Service_Consumables!$L$5:$L$856,Service_Consumables!$A$5:$A$856,$A62,Service_Consumables!$E$5:$E$856,T$5,Service_Consumables!$H$5:$H$856,"Auto-deduct")</f>
        <v>0</v>
      </c>
      <c r="U62" s="15" t="n">
        <f aca="false">SUMIFS(Service_Consumables!$L$5:$L$856,Service_Consumables!$A$5:$A$856,$A62,Service_Consumables!$E$5:$E$856,U$5,Service_Consumables!$H$5:$H$856,"Auto-deduct")</f>
        <v>0</v>
      </c>
      <c r="V62" s="15" t="n">
        <f aca="false">SUMIFS(Service_Consumables!$L$5:$L$856,Service_Consumables!$A$5:$A$856,$A62,Service_Consumables!$E$5:$E$856,V$5,Service_Consumables!$H$5:$H$856,"Auto-deduct")</f>
        <v>5</v>
      </c>
      <c r="W62" s="15" t="n">
        <f aca="false">SUMIFS(Service_Consumables!$L$5:$L$856,Service_Consumables!$A$5:$A$856,$A62,Service_Consumables!$E$5:$E$856,W$5,Service_Consumables!$H$5:$H$856,"Auto-deduct")</f>
        <v>4</v>
      </c>
      <c r="X62" s="15" t="n">
        <f aca="false">SUMIFS(Service_Consumables!$L$5:$L$856,Service_Consumables!$A$5:$A$856,$A62,Service_Consumables!$E$5:$E$856,X$5,Service_Consumables!$H$5:$H$856,"Auto-deduct")</f>
        <v>2</v>
      </c>
      <c r="Y62" s="15" t="n">
        <f aca="false">SUMIFS(Service_Consumables!$L$5:$L$856,Service_Consumables!$A$5:$A$856,$A62,Service_Consumables!$E$5:$E$856,Y$5,Service_Consumables!$H$5:$H$856,"Auto-deduct")</f>
        <v>0</v>
      </c>
      <c r="Z62" s="15" t="n">
        <f aca="false">SUMIFS(Service_Consumables!$L$5:$L$856,Service_Consumables!$A$5:$A$856,$A62,Service_Consumables!$E$5:$E$856,Z$5,Service_Consumables!$H$5:$H$856,"Auto-deduct")</f>
        <v>0</v>
      </c>
      <c r="AA62" s="15" t="n">
        <f aca="false">SUMIFS(Service_Consumables!$L$5:$L$856,Service_Consumables!$A$5:$A$856,$A62,Service_Consumables!$E$5:$E$856,AA$5,Service_Consumables!$H$5:$H$856,"Auto-deduct")</f>
        <v>2</v>
      </c>
      <c r="AB62" s="15" t="n">
        <f aca="false">SUMIFS(Service_Consumables!$L$5:$L$856,Service_Consumables!$A$5:$A$856,$A62,Service_Consumables!$E$5:$E$856,AB$5,Service_Consumables!$H$5:$H$856,"Auto-deduct")</f>
        <v>2</v>
      </c>
      <c r="AC62" s="15" t="n">
        <f aca="false">SUMIFS(Service_Consumables!$L$5:$L$856,Service_Consumables!$A$5:$A$856,$A62,Service_Consumables!$E$5:$E$856,AC$5,Service_Consumables!$H$5:$H$856,"Auto-deduct")</f>
        <v>0</v>
      </c>
      <c r="AD62" s="15" t="n">
        <f aca="false">SUMIFS(Service_Consumables!$L$5:$L$856,Service_Consumables!$A$5:$A$856,$A62,Service_Consumables!$E$5:$E$856,AD$5,Service_Consumables!$H$5:$H$856,"Auto-deduct")</f>
        <v>10</v>
      </c>
      <c r="AE62" s="15" t="n">
        <f aca="false">SUMIFS(Service_Consumables!$L$5:$L$856,Service_Consumables!$A$5:$A$856,$A62,Service_Consumables!$E$5:$E$856,AE$5,Service_Consumables!$H$5:$H$856,"Auto-deduct")</f>
        <v>10</v>
      </c>
      <c r="AF62" s="15" t="n">
        <f aca="false">SUMIFS(Service_Consumables!$L$5:$L$856,Service_Consumables!$A$5:$A$856,$A62,Service_Consumables!$E$5:$E$856,AF$5,Service_Consumables!$H$5:$H$856,"Auto-deduct")</f>
        <v>5</v>
      </c>
      <c r="AG62" s="15" t="n">
        <f aca="false">SUMIFS(Service_Consumables!$L$5:$L$856,Service_Consumables!$A$5:$A$856,$A62,Service_Consumables!$E$5:$E$856,AG$5,Service_Consumables!$H$5:$H$856,"Auto-deduct")</f>
        <v>10</v>
      </c>
      <c r="AH62" s="15" t="n">
        <f aca="false">SUMIFS(Service_Consumables!$L$5:$L$856,Service_Consumables!$A$5:$A$856,$A62,Service_Consumables!$E$5:$E$856,AH$5,Service_Consumables!$H$5:$H$856,"Auto-deduct")</f>
        <v>5</v>
      </c>
      <c r="AI62" s="15" t="n">
        <f aca="false">SUMIFS(Service_Consumables!$L$5:$L$856,Service_Consumables!$A$5:$A$856,$A62,Service_Consumables!$E$5:$E$856,AI$5,Service_Consumables!$H$5:$H$856,"Auto-deduct")</f>
        <v>5</v>
      </c>
      <c r="AJ62" s="15" t="n">
        <f aca="false">SUMIFS(Service_Consumables!$L$5:$L$856,Service_Consumables!$A$5:$A$856,$A62,Service_Consumables!$E$5:$E$856,AJ$5,Service_Consumables!$H$5:$H$856,"Auto-deduct")</f>
        <v>0</v>
      </c>
      <c r="AK62" s="15" t="n">
        <f aca="false">SUMIFS(Service_Consumables!$L$5:$L$856,Service_Consumables!$A$5:$A$856,$A62,Service_Consumables!$E$5:$E$856,AK$5,Service_Consumables!$H$5:$H$856,"Auto-deduct")</f>
        <v>0</v>
      </c>
      <c r="AL62" s="15" t="n">
        <f aca="false">SUMIFS(Service_Consumables!$L$5:$L$856,Service_Consumables!$A$5:$A$856,$A62,Service_Consumables!$E$5:$E$856,AL$5,Service_Consumables!$H$5:$H$856,"Auto-deduct")</f>
        <v>0</v>
      </c>
      <c r="AM62" s="15" t="n">
        <f aca="false">SUMIFS(Service_Consumables!$L$5:$L$856,Service_Consumables!$A$5:$A$856,$A62,Service_Consumables!$E$5:$E$856,AM$5,Service_Consumables!$H$5:$H$856,"Auto-deduct")</f>
        <v>0</v>
      </c>
      <c r="AN62" s="15" t="n">
        <f aca="false">SUMIFS(Service_Consumables!$L$5:$L$856,Service_Consumables!$A$5:$A$856,$A62,Service_Consumables!$E$5:$E$856,AN$5,Service_Consumables!$H$5:$H$856,"Auto-deduct")</f>
        <v>30</v>
      </c>
      <c r="AO62" s="15" t="n">
        <f aca="false">SUMIFS(Service_Consumables!$L$5:$L$856,Service_Consumables!$A$5:$A$856,$A62,Service_Consumables!$E$5:$E$856,AO$5,Service_Consumables!$H$5:$H$856,"Auto-deduct")</f>
        <v>0</v>
      </c>
      <c r="AP62" s="15" t="n">
        <f aca="false">SUMIFS(Service_Consumables!$L$5:$L$856,Service_Consumables!$A$5:$A$856,$A62,Service_Consumables!$E$5:$E$856,AP$5,Service_Consumables!$H$5:$H$856,"Auto-deduct")</f>
        <v>0</v>
      </c>
      <c r="AQ62" s="15" t="n">
        <f aca="false">SUMIFS(Service_Consumables!$L$5:$L$856,Service_Consumables!$A$5:$A$856,$A62,Service_Consumables!$E$5:$E$856,AQ$5,Service_Consumables!$H$5:$H$856,"Auto-deduct")</f>
        <v>0</v>
      </c>
      <c r="AR62" s="15" t="n">
        <f aca="false">SUMIFS(Service_Consumables!$L$5:$L$856,Service_Consumables!$A$5:$A$856,$A62,Service_Consumables!$E$5:$E$856,AR$5,Service_Consumables!$H$5:$H$856,"Auto-deduct")</f>
        <v>0</v>
      </c>
      <c r="AS62" s="15" t="n">
        <f aca="false">SUMIFS(Service_Consumables!$L$5:$L$856,Service_Consumables!$A$5:$A$856,$A62,Service_Consumables!$E$5:$E$856,AS$5,Service_Consumables!$H$5:$H$856,"Auto-deduct")</f>
        <v>0</v>
      </c>
      <c r="AT62" s="15" t="n">
        <f aca="false">SUMIFS(Service_Consumables!$L$5:$L$856,Service_Consumables!$A$5:$A$856,$A62,Service_Consumables!$E$5:$E$856,AT$5,Service_Consumables!$H$5:$H$856,"Auto-deduct")</f>
        <v>0</v>
      </c>
      <c r="AU62" s="15" t="n">
        <f aca="false">SUMIFS(Service_Consumables!$L$5:$L$856,Service_Consumables!$A$5:$A$856,$A62,Service_Consumables!$E$5:$E$856,AU$5,Service_Consumables!$H$5:$H$856,"Auto-deduct")</f>
        <v>0</v>
      </c>
      <c r="AV62" s="15" t="n">
        <f aca="false">SUMIFS(Service_Consumables!$L$5:$L$856,Service_Consumables!$A$5:$A$856,$A62,Service_Consumables!$E$5:$E$856,AV$5,Service_Consumables!$H$5:$H$856,"Auto-deduct")</f>
        <v>0</v>
      </c>
      <c r="AW62" s="15" t="n">
        <f aca="false">SUMIFS(Service_Consumables!$L$5:$L$856,Service_Consumables!$A$5:$A$856,$A62,Service_Consumables!$E$5:$E$856,AW$5,Service_Consumables!$H$5:$H$856,"Auto-deduct")</f>
        <v>0</v>
      </c>
      <c r="AX62" s="15" t="n">
        <f aca="false">SUMIFS(Service_Consumables!$L$5:$L$856,Service_Consumables!$A$5:$A$856,$A62,Service_Consumables!$E$5:$E$856,AX$5,Service_Consumables!$H$5:$H$856,"Auto-deduct")</f>
        <v>0</v>
      </c>
      <c r="AY62" s="15" t="n">
        <f aca="false">SUMIFS(Service_Consumables!$L$5:$L$856,Service_Consumables!$A$5:$A$856,$A62,Service_Consumables!$E$5:$E$856,AY$5,Service_Consumables!$H$5:$H$856,"Auto-deduct")</f>
        <v>3</v>
      </c>
      <c r="AZ62" s="15" t="n">
        <f aca="false">SUMIFS(Service_Consumables!$L$5:$L$856,Service_Consumables!$A$5:$A$856,$A62,Service_Consumables!$E$5:$E$856,AZ$5,Service_Consumables!$H$5:$H$856,"Auto-deduct")</f>
        <v>0</v>
      </c>
      <c r="BA62" s="15" t="n">
        <f aca="false">SUMIFS(Service_Consumables!$L$5:$L$856,Service_Consumables!$A$5:$A$856,$A62,Service_Consumables!$E$5:$E$856,BA$5,Service_Consumables!$H$5:$H$856,"Auto-deduct")</f>
        <v>3</v>
      </c>
      <c r="BB62" s="15" t="n">
        <f aca="false">SUMIFS(Service_Consumables!$L$5:$L$856,Service_Consumables!$A$5:$A$856,$A62,Service_Consumables!$E$5:$E$856,BB$5,Service_Consumables!$H$5:$H$856,"Auto-deduct")</f>
        <v>0</v>
      </c>
      <c r="BC62" s="15" t="n">
        <f aca="false">SUMIFS(Service_Consumables!$L$5:$L$856,Service_Consumables!$A$5:$A$856,$A62,Service_Consumables!$E$5:$E$856,BC$5,Service_Consumables!$H$5:$H$856,"Auto-deduct")</f>
        <v>0</v>
      </c>
      <c r="BD62" s="15" t="n">
        <f aca="false">SUMIFS(Service_Consumables!$L$5:$L$856,Service_Consumables!$A$5:$A$856,$A62,Service_Consumables!$E$5:$E$856,BD$5,Service_Consumables!$H$5:$H$856,"Auto-deduct")</f>
        <v>0</v>
      </c>
      <c r="BE62" s="15" t="n">
        <f aca="false">SUMIFS(Service_Consumables!$L$5:$L$856,Service_Consumables!$A$5:$A$856,$A62,Service_Consumables!$E$5:$E$856,BE$5,Service_Consumables!$H$5:$H$856,"Auto-deduct")</f>
        <v>0</v>
      </c>
      <c r="BF62" s="15" t="n">
        <f aca="false">SUMIFS(Service_Consumables!$L$5:$L$856,Service_Consumables!$A$5:$A$856,$A62,Service_Consumables!$E$5:$E$856,BF$5,Service_Consumables!$H$5:$H$856,"Auto-deduct")</f>
        <v>0</v>
      </c>
      <c r="BG62" s="15" t="n">
        <f aca="false">SUMIFS(Service_Consumables!$L$5:$L$856,Service_Consumables!$A$5:$A$856,$A62,Service_Consumables!$E$5:$E$856,BG$5,Service_Consumables!$H$5:$H$856,"Auto-deduct")</f>
        <v>0</v>
      </c>
      <c r="BH62" s="15" t="n">
        <f aca="false">SUMIFS(Service_Consumables!$L$5:$L$856,Service_Consumables!$A$5:$A$856,$A62,Service_Consumables!$E$5:$E$856,BH$5,Service_Consumables!$H$5:$H$856,"Auto-deduct")</f>
        <v>0</v>
      </c>
      <c r="BI62" s="15" t="n">
        <f aca="false">SUMIFS(Service_Consumables!$L$5:$L$856,Service_Consumables!$A$5:$A$856,$A62,Service_Consumables!$E$5:$E$856,BI$5,Service_Consumables!$H$5:$H$856,"Auto-deduct")</f>
        <v>0</v>
      </c>
    </row>
    <row r="63" customFormat="false" ht="15" hidden="false" customHeight="false" outlineLevel="0" collapsed="false">
      <c r="A63" s="14" t="n">
        <f aca="false">Services!A62</f>
        <v>58</v>
      </c>
      <c r="B63" s="14" t="str">
        <f aca="false">Services!B62</f>
        <v>Facials</v>
      </c>
      <c r="C63" s="14" t="str">
        <f aca="false">Services!C62</f>
        <v>Microboost</v>
      </c>
      <c r="D63" s="15" t="n">
        <f aca="false">SUMIFS(Service_Consumables!$L$5:$L$856,Service_Consumables!$A$5:$A$856,$A63,Service_Consumables!$E$5:$E$856,D$5,Service_Consumables!$H$5:$H$856,"Auto-deduct")</f>
        <v>1</v>
      </c>
      <c r="E63" s="15" t="n">
        <f aca="false">SUMIFS(Service_Consumables!$L$5:$L$856,Service_Consumables!$A$5:$A$856,$A63,Service_Consumables!$E$5:$E$856,E$5,Service_Consumables!$H$5:$H$856,"Auto-deduct")</f>
        <v>0</v>
      </c>
      <c r="F63" s="15" t="n">
        <f aca="false">SUMIFS(Service_Consumables!$L$5:$L$856,Service_Consumables!$A$5:$A$856,$A63,Service_Consumables!$E$5:$E$856,F$5,Service_Consumables!$H$5:$H$856,"Auto-deduct")</f>
        <v>0</v>
      </c>
      <c r="G63" s="15" t="n">
        <f aca="false">SUMIFS(Service_Consumables!$L$5:$L$856,Service_Consumables!$A$5:$A$856,$A63,Service_Consumables!$E$5:$E$856,G$5,Service_Consumables!$H$5:$H$856,"Auto-deduct")</f>
        <v>0</v>
      </c>
      <c r="H63" s="15" t="n">
        <f aca="false">SUMIFS(Service_Consumables!$L$5:$L$856,Service_Consumables!$A$5:$A$856,$A63,Service_Consumables!$E$5:$E$856,H$5,Service_Consumables!$H$5:$H$856,"Auto-deduct")</f>
        <v>0</v>
      </c>
      <c r="I63" s="15" t="n">
        <f aca="false">SUMIFS(Service_Consumables!$L$5:$L$856,Service_Consumables!$A$5:$A$856,$A63,Service_Consumables!$E$5:$E$856,I$5,Service_Consumables!$H$5:$H$856,"Auto-deduct")</f>
        <v>0</v>
      </c>
      <c r="J63" s="15" t="n">
        <f aca="false">SUMIFS(Service_Consumables!$L$5:$L$856,Service_Consumables!$A$5:$A$856,$A63,Service_Consumables!$E$5:$E$856,J$5,Service_Consumables!$H$5:$H$856,"Auto-deduct")</f>
        <v>0</v>
      </c>
      <c r="K63" s="15" t="n">
        <f aca="false">SUMIFS(Service_Consumables!$L$5:$L$856,Service_Consumables!$A$5:$A$856,$A63,Service_Consumables!$E$5:$E$856,K$5,Service_Consumables!$H$5:$H$856,"Auto-deduct")</f>
        <v>1</v>
      </c>
      <c r="L63" s="15" t="n">
        <f aca="false">SUMIFS(Service_Consumables!$L$5:$L$856,Service_Consumables!$A$5:$A$856,$A63,Service_Consumables!$E$5:$E$856,L$5,Service_Consumables!$H$5:$H$856,"Auto-deduct")</f>
        <v>0</v>
      </c>
      <c r="M63" s="15" t="n">
        <f aca="false">SUMIFS(Service_Consumables!$L$5:$L$856,Service_Consumables!$A$5:$A$856,$A63,Service_Consumables!$E$5:$E$856,M$5,Service_Consumables!$H$5:$H$856,"Auto-deduct")</f>
        <v>1</v>
      </c>
      <c r="N63" s="15" t="n">
        <f aca="false">SUMIFS(Service_Consumables!$L$5:$L$856,Service_Consumables!$A$5:$A$856,$A63,Service_Consumables!$E$5:$E$856,N$5,Service_Consumables!$H$5:$H$856,"Auto-deduct")</f>
        <v>0</v>
      </c>
      <c r="O63" s="15" t="n">
        <f aca="false">SUMIFS(Service_Consumables!$L$5:$L$856,Service_Consumables!$A$5:$A$856,$A63,Service_Consumables!$E$5:$E$856,O$5,Service_Consumables!$H$5:$H$856,"Auto-deduct")</f>
        <v>1</v>
      </c>
      <c r="P63" s="15" t="n">
        <f aca="false">SUMIFS(Service_Consumables!$L$5:$L$856,Service_Consumables!$A$5:$A$856,$A63,Service_Consumables!$E$5:$E$856,P$5,Service_Consumables!$H$5:$H$856,"Auto-deduct")</f>
        <v>1</v>
      </c>
      <c r="Q63" s="15" t="n">
        <f aca="false">SUMIFS(Service_Consumables!$L$5:$L$856,Service_Consumables!$A$5:$A$856,$A63,Service_Consumables!$E$5:$E$856,Q$5,Service_Consumables!$H$5:$H$856,"Auto-deduct")</f>
        <v>1</v>
      </c>
      <c r="R63" s="15" t="n">
        <f aca="false">SUMIFS(Service_Consumables!$L$5:$L$856,Service_Consumables!$A$5:$A$856,$A63,Service_Consumables!$E$5:$E$856,R$5,Service_Consumables!$H$5:$H$856,"Auto-deduct")</f>
        <v>0</v>
      </c>
      <c r="S63" s="15" t="n">
        <f aca="false">SUMIFS(Service_Consumables!$L$5:$L$856,Service_Consumables!$A$5:$A$856,$A63,Service_Consumables!$E$5:$E$856,S$5,Service_Consumables!$H$5:$H$856,"Auto-deduct")</f>
        <v>6</v>
      </c>
      <c r="T63" s="15" t="n">
        <f aca="false">SUMIFS(Service_Consumables!$L$5:$L$856,Service_Consumables!$A$5:$A$856,$A63,Service_Consumables!$E$5:$E$856,T$5,Service_Consumables!$H$5:$H$856,"Auto-deduct")</f>
        <v>0</v>
      </c>
      <c r="U63" s="15" t="n">
        <f aca="false">SUMIFS(Service_Consumables!$L$5:$L$856,Service_Consumables!$A$5:$A$856,$A63,Service_Consumables!$E$5:$E$856,U$5,Service_Consumables!$H$5:$H$856,"Auto-deduct")</f>
        <v>0</v>
      </c>
      <c r="V63" s="15" t="n">
        <f aca="false">SUMIFS(Service_Consumables!$L$5:$L$856,Service_Consumables!$A$5:$A$856,$A63,Service_Consumables!$E$5:$E$856,V$5,Service_Consumables!$H$5:$H$856,"Auto-deduct")</f>
        <v>5</v>
      </c>
      <c r="W63" s="15" t="n">
        <f aca="false">SUMIFS(Service_Consumables!$L$5:$L$856,Service_Consumables!$A$5:$A$856,$A63,Service_Consumables!$E$5:$E$856,W$5,Service_Consumables!$H$5:$H$856,"Auto-deduct")</f>
        <v>0</v>
      </c>
      <c r="X63" s="15" t="n">
        <f aca="false">SUMIFS(Service_Consumables!$L$5:$L$856,Service_Consumables!$A$5:$A$856,$A63,Service_Consumables!$E$5:$E$856,X$5,Service_Consumables!$H$5:$H$856,"Auto-deduct")</f>
        <v>1</v>
      </c>
      <c r="Y63" s="15" t="n">
        <f aca="false">SUMIFS(Service_Consumables!$L$5:$L$856,Service_Consumables!$A$5:$A$856,$A63,Service_Consumables!$E$5:$E$856,Y$5,Service_Consumables!$H$5:$H$856,"Auto-deduct")</f>
        <v>0</v>
      </c>
      <c r="Z63" s="15" t="n">
        <f aca="false">SUMIFS(Service_Consumables!$L$5:$L$856,Service_Consumables!$A$5:$A$856,$A63,Service_Consumables!$E$5:$E$856,Z$5,Service_Consumables!$H$5:$H$856,"Auto-deduct")</f>
        <v>20</v>
      </c>
      <c r="AA63" s="15" t="n">
        <f aca="false">SUMIFS(Service_Consumables!$L$5:$L$856,Service_Consumables!$A$5:$A$856,$A63,Service_Consumables!$E$5:$E$856,AA$5,Service_Consumables!$H$5:$H$856,"Auto-deduct")</f>
        <v>0</v>
      </c>
      <c r="AB63" s="15" t="n">
        <f aca="false">SUMIFS(Service_Consumables!$L$5:$L$856,Service_Consumables!$A$5:$A$856,$A63,Service_Consumables!$E$5:$E$856,AB$5,Service_Consumables!$H$5:$H$856,"Auto-deduct")</f>
        <v>2</v>
      </c>
      <c r="AC63" s="15" t="n">
        <f aca="false">SUMIFS(Service_Consumables!$L$5:$L$856,Service_Consumables!$A$5:$A$856,$A63,Service_Consumables!$E$5:$E$856,AC$5,Service_Consumables!$H$5:$H$856,"Auto-deduct")</f>
        <v>0</v>
      </c>
      <c r="AD63" s="15" t="n">
        <f aca="false">SUMIFS(Service_Consumables!$L$5:$L$856,Service_Consumables!$A$5:$A$856,$A63,Service_Consumables!$E$5:$E$856,AD$5,Service_Consumables!$H$5:$H$856,"Auto-deduct")</f>
        <v>5</v>
      </c>
      <c r="AE63" s="15" t="n">
        <f aca="false">SUMIFS(Service_Consumables!$L$5:$L$856,Service_Consumables!$A$5:$A$856,$A63,Service_Consumables!$E$5:$E$856,AE$5,Service_Consumables!$H$5:$H$856,"Auto-deduct")</f>
        <v>10</v>
      </c>
      <c r="AF63" s="15" t="n">
        <f aca="false">SUMIFS(Service_Consumables!$L$5:$L$856,Service_Consumables!$A$5:$A$856,$A63,Service_Consumables!$E$5:$E$856,AF$5,Service_Consumables!$H$5:$H$856,"Auto-deduct")</f>
        <v>0</v>
      </c>
      <c r="AG63" s="15" t="n">
        <f aca="false">SUMIFS(Service_Consumables!$L$5:$L$856,Service_Consumables!$A$5:$A$856,$A63,Service_Consumables!$E$5:$E$856,AG$5,Service_Consumables!$H$5:$H$856,"Auto-deduct")</f>
        <v>0</v>
      </c>
      <c r="AH63" s="15" t="n">
        <f aca="false">SUMIFS(Service_Consumables!$L$5:$L$856,Service_Consumables!$A$5:$A$856,$A63,Service_Consumables!$E$5:$E$856,AH$5,Service_Consumables!$H$5:$H$856,"Auto-deduct")</f>
        <v>0</v>
      </c>
      <c r="AI63" s="15" t="n">
        <f aca="false">SUMIFS(Service_Consumables!$L$5:$L$856,Service_Consumables!$A$5:$A$856,$A63,Service_Consumables!$E$5:$E$856,AI$5,Service_Consumables!$H$5:$H$856,"Auto-deduct")</f>
        <v>5</v>
      </c>
      <c r="AJ63" s="15" t="n">
        <f aca="false">SUMIFS(Service_Consumables!$L$5:$L$856,Service_Consumables!$A$5:$A$856,$A63,Service_Consumables!$E$5:$E$856,AJ$5,Service_Consumables!$H$5:$H$856,"Auto-deduct")</f>
        <v>0</v>
      </c>
      <c r="AK63" s="15" t="n">
        <f aca="false">SUMIFS(Service_Consumables!$L$5:$L$856,Service_Consumables!$A$5:$A$856,$A63,Service_Consumables!$E$5:$E$856,AK$5,Service_Consumables!$H$5:$H$856,"Auto-deduct")</f>
        <v>0</v>
      </c>
      <c r="AL63" s="15" t="n">
        <f aca="false">SUMIFS(Service_Consumables!$L$5:$L$856,Service_Consumables!$A$5:$A$856,$A63,Service_Consumables!$E$5:$E$856,AL$5,Service_Consumables!$H$5:$H$856,"Auto-deduct")</f>
        <v>0</v>
      </c>
      <c r="AM63" s="15" t="n">
        <f aca="false">SUMIFS(Service_Consumables!$L$5:$L$856,Service_Consumables!$A$5:$A$856,$A63,Service_Consumables!$E$5:$E$856,AM$5,Service_Consumables!$H$5:$H$856,"Auto-deduct")</f>
        <v>0</v>
      </c>
      <c r="AN63" s="15" t="n">
        <f aca="false">SUMIFS(Service_Consumables!$L$5:$L$856,Service_Consumables!$A$5:$A$856,$A63,Service_Consumables!$E$5:$E$856,AN$5,Service_Consumables!$H$5:$H$856,"Auto-deduct")</f>
        <v>30</v>
      </c>
      <c r="AO63" s="15" t="n">
        <f aca="false">SUMIFS(Service_Consumables!$L$5:$L$856,Service_Consumables!$A$5:$A$856,$A63,Service_Consumables!$E$5:$E$856,AO$5,Service_Consumables!$H$5:$H$856,"Auto-deduct")</f>
        <v>0</v>
      </c>
      <c r="AP63" s="15" t="n">
        <f aca="false">SUMIFS(Service_Consumables!$L$5:$L$856,Service_Consumables!$A$5:$A$856,$A63,Service_Consumables!$E$5:$E$856,AP$5,Service_Consumables!$H$5:$H$856,"Auto-deduct")</f>
        <v>0</v>
      </c>
      <c r="AQ63" s="15" t="n">
        <f aca="false">SUMIFS(Service_Consumables!$L$5:$L$856,Service_Consumables!$A$5:$A$856,$A63,Service_Consumables!$E$5:$E$856,AQ$5,Service_Consumables!$H$5:$H$856,"Auto-deduct")</f>
        <v>0</v>
      </c>
      <c r="AR63" s="15" t="n">
        <f aca="false">SUMIFS(Service_Consumables!$L$5:$L$856,Service_Consumables!$A$5:$A$856,$A63,Service_Consumables!$E$5:$E$856,AR$5,Service_Consumables!$H$5:$H$856,"Auto-deduct")</f>
        <v>0</v>
      </c>
      <c r="AS63" s="15" t="n">
        <f aca="false">SUMIFS(Service_Consumables!$L$5:$L$856,Service_Consumables!$A$5:$A$856,$A63,Service_Consumables!$E$5:$E$856,AS$5,Service_Consumables!$H$5:$H$856,"Auto-deduct")</f>
        <v>0</v>
      </c>
      <c r="AT63" s="15" t="n">
        <f aca="false">SUMIFS(Service_Consumables!$L$5:$L$856,Service_Consumables!$A$5:$A$856,$A63,Service_Consumables!$E$5:$E$856,AT$5,Service_Consumables!$H$5:$H$856,"Auto-deduct")</f>
        <v>1</v>
      </c>
      <c r="AU63" s="15" t="n">
        <f aca="false">SUMIFS(Service_Consumables!$L$5:$L$856,Service_Consumables!$A$5:$A$856,$A63,Service_Consumables!$E$5:$E$856,AU$5,Service_Consumables!$H$5:$H$856,"Auto-deduct")</f>
        <v>0</v>
      </c>
      <c r="AV63" s="15" t="n">
        <f aca="false">SUMIFS(Service_Consumables!$L$5:$L$856,Service_Consumables!$A$5:$A$856,$A63,Service_Consumables!$E$5:$E$856,AV$5,Service_Consumables!$H$5:$H$856,"Auto-deduct")</f>
        <v>0</v>
      </c>
      <c r="AW63" s="15" t="n">
        <f aca="false">SUMIFS(Service_Consumables!$L$5:$L$856,Service_Consumables!$A$5:$A$856,$A63,Service_Consumables!$E$5:$E$856,AW$5,Service_Consumables!$H$5:$H$856,"Auto-deduct")</f>
        <v>0</v>
      </c>
      <c r="AX63" s="15" t="n">
        <f aca="false">SUMIFS(Service_Consumables!$L$5:$L$856,Service_Consumables!$A$5:$A$856,$A63,Service_Consumables!$E$5:$E$856,AX$5,Service_Consumables!$H$5:$H$856,"Auto-deduct")</f>
        <v>0</v>
      </c>
      <c r="AY63" s="15" t="n">
        <f aca="false">SUMIFS(Service_Consumables!$L$5:$L$856,Service_Consumables!$A$5:$A$856,$A63,Service_Consumables!$E$5:$E$856,AY$5,Service_Consumables!$H$5:$H$856,"Auto-deduct")</f>
        <v>0</v>
      </c>
      <c r="AZ63" s="15" t="n">
        <f aca="false">SUMIFS(Service_Consumables!$L$5:$L$856,Service_Consumables!$A$5:$A$856,$A63,Service_Consumables!$E$5:$E$856,AZ$5,Service_Consumables!$H$5:$H$856,"Auto-deduct")</f>
        <v>0</v>
      </c>
      <c r="BA63" s="15" t="n">
        <f aca="false">SUMIFS(Service_Consumables!$L$5:$L$856,Service_Consumables!$A$5:$A$856,$A63,Service_Consumables!$E$5:$E$856,BA$5,Service_Consumables!$H$5:$H$856,"Auto-deduct")</f>
        <v>3</v>
      </c>
      <c r="BB63" s="15" t="n">
        <f aca="false">SUMIFS(Service_Consumables!$L$5:$L$856,Service_Consumables!$A$5:$A$856,$A63,Service_Consumables!$E$5:$E$856,BB$5,Service_Consumables!$H$5:$H$856,"Auto-deduct")</f>
        <v>0</v>
      </c>
      <c r="BC63" s="15" t="n">
        <f aca="false">SUMIFS(Service_Consumables!$L$5:$L$856,Service_Consumables!$A$5:$A$856,$A63,Service_Consumables!$E$5:$E$856,BC$5,Service_Consumables!$H$5:$H$856,"Auto-deduct")</f>
        <v>0</v>
      </c>
      <c r="BD63" s="15" t="n">
        <f aca="false">SUMIFS(Service_Consumables!$L$5:$L$856,Service_Consumables!$A$5:$A$856,$A63,Service_Consumables!$E$5:$E$856,BD$5,Service_Consumables!$H$5:$H$856,"Auto-deduct")</f>
        <v>0</v>
      </c>
      <c r="BE63" s="15" t="n">
        <f aca="false">SUMIFS(Service_Consumables!$L$5:$L$856,Service_Consumables!$A$5:$A$856,$A63,Service_Consumables!$E$5:$E$856,BE$5,Service_Consumables!$H$5:$H$856,"Auto-deduct")</f>
        <v>0</v>
      </c>
      <c r="BF63" s="15" t="n">
        <f aca="false">SUMIFS(Service_Consumables!$L$5:$L$856,Service_Consumables!$A$5:$A$856,$A63,Service_Consumables!$E$5:$E$856,BF$5,Service_Consumables!$H$5:$H$856,"Auto-deduct")</f>
        <v>0</v>
      </c>
      <c r="BG63" s="15" t="n">
        <f aca="false">SUMIFS(Service_Consumables!$L$5:$L$856,Service_Consumables!$A$5:$A$856,$A63,Service_Consumables!$E$5:$E$856,BG$5,Service_Consumables!$H$5:$H$856,"Auto-deduct")</f>
        <v>0</v>
      </c>
      <c r="BH63" s="15" t="n">
        <f aca="false">SUMIFS(Service_Consumables!$L$5:$L$856,Service_Consumables!$A$5:$A$856,$A63,Service_Consumables!$E$5:$E$856,BH$5,Service_Consumables!$H$5:$H$856,"Auto-deduct")</f>
        <v>0</v>
      </c>
      <c r="BI63" s="15" t="n">
        <f aca="false">SUMIFS(Service_Consumables!$L$5:$L$856,Service_Consumables!$A$5:$A$856,$A63,Service_Consumables!$E$5:$E$856,BI$5,Service_Consumables!$H$5:$H$856,"Auto-deduct")</f>
        <v>3</v>
      </c>
    </row>
    <row r="64" customFormat="false" ht="15" hidden="false" customHeight="false" outlineLevel="0" collapsed="false">
      <c r="A64" s="14" t="n">
        <f aca="false">Services!A63</f>
        <v>59</v>
      </c>
      <c r="B64" s="14" t="str">
        <f aca="false">Services!B63</f>
        <v>Facials</v>
      </c>
      <c r="C64" s="14" t="str">
        <f aca="false">Services!C63</f>
        <v>Basic Facial w/ Microboost</v>
      </c>
      <c r="D64" s="15" t="n">
        <f aca="false">SUMIFS(Service_Consumables!$L$5:$L$856,Service_Consumables!$A$5:$A$856,$A64,Service_Consumables!$E$5:$E$856,D$5,Service_Consumables!$H$5:$H$856,"Auto-deduct")</f>
        <v>1</v>
      </c>
      <c r="E64" s="15" t="n">
        <f aca="false">SUMIFS(Service_Consumables!$L$5:$L$856,Service_Consumables!$A$5:$A$856,$A64,Service_Consumables!$E$5:$E$856,E$5,Service_Consumables!$H$5:$H$856,"Auto-deduct")</f>
        <v>0</v>
      </c>
      <c r="F64" s="15" t="n">
        <f aca="false">SUMIFS(Service_Consumables!$L$5:$L$856,Service_Consumables!$A$5:$A$856,$A64,Service_Consumables!$E$5:$E$856,F$5,Service_Consumables!$H$5:$H$856,"Auto-deduct")</f>
        <v>0</v>
      </c>
      <c r="G64" s="15" t="n">
        <f aca="false">SUMIFS(Service_Consumables!$L$5:$L$856,Service_Consumables!$A$5:$A$856,$A64,Service_Consumables!$E$5:$E$856,G$5,Service_Consumables!$H$5:$H$856,"Auto-deduct")</f>
        <v>0</v>
      </c>
      <c r="H64" s="15" t="n">
        <f aca="false">SUMIFS(Service_Consumables!$L$5:$L$856,Service_Consumables!$A$5:$A$856,$A64,Service_Consumables!$E$5:$E$856,H$5,Service_Consumables!$H$5:$H$856,"Auto-deduct")</f>
        <v>0</v>
      </c>
      <c r="I64" s="15" t="n">
        <f aca="false">SUMIFS(Service_Consumables!$L$5:$L$856,Service_Consumables!$A$5:$A$856,$A64,Service_Consumables!$E$5:$E$856,I$5,Service_Consumables!$H$5:$H$856,"Auto-deduct")</f>
        <v>0</v>
      </c>
      <c r="J64" s="15" t="n">
        <f aca="false">SUMIFS(Service_Consumables!$L$5:$L$856,Service_Consumables!$A$5:$A$856,$A64,Service_Consumables!$E$5:$E$856,J$5,Service_Consumables!$H$5:$H$856,"Auto-deduct")</f>
        <v>0</v>
      </c>
      <c r="K64" s="15" t="n">
        <f aca="false">SUMIFS(Service_Consumables!$L$5:$L$856,Service_Consumables!$A$5:$A$856,$A64,Service_Consumables!$E$5:$E$856,K$5,Service_Consumables!$H$5:$H$856,"Auto-deduct")</f>
        <v>1</v>
      </c>
      <c r="L64" s="15" t="n">
        <f aca="false">SUMIFS(Service_Consumables!$L$5:$L$856,Service_Consumables!$A$5:$A$856,$A64,Service_Consumables!$E$5:$E$856,L$5,Service_Consumables!$H$5:$H$856,"Auto-deduct")</f>
        <v>0</v>
      </c>
      <c r="M64" s="15" t="n">
        <f aca="false">SUMIFS(Service_Consumables!$L$5:$L$856,Service_Consumables!$A$5:$A$856,$A64,Service_Consumables!$E$5:$E$856,M$5,Service_Consumables!$H$5:$H$856,"Auto-deduct")</f>
        <v>1</v>
      </c>
      <c r="N64" s="15" t="n">
        <f aca="false">SUMIFS(Service_Consumables!$L$5:$L$856,Service_Consumables!$A$5:$A$856,$A64,Service_Consumables!$E$5:$E$856,N$5,Service_Consumables!$H$5:$H$856,"Auto-deduct")</f>
        <v>0</v>
      </c>
      <c r="O64" s="15" t="n">
        <f aca="false">SUMIFS(Service_Consumables!$L$5:$L$856,Service_Consumables!$A$5:$A$856,$A64,Service_Consumables!$E$5:$E$856,O$5,Service_Consumables!$H$5:$H$856,"Auto-deduct")</f>
        <v>1</v>
      </c>
      <c r="P64" s="15" t="n">
        <f aca="false">SUMIFS(Service_Consumables!$L$5:$L$856,Service_Consumables!$A$5:$A$856,$A64,Service_Consumables!$E$5:$E$856,P$5,Service_Consumables!$H$5:$H$856,"Auto-deduct")</f>
        <v>1</v>
      </c>
      <c r="Q64" s="15" t="n">
        <f aca="false">SUMIFS(Service_Consumables!$L$5:$L$856,Service_Consumables!$A$5:$A$856,$A64,Service_Consumables!$E$5:$E$856,Q$5,Service_Consumables!$H$5:$H$856,"Auto-deduct")</f>
        <v>1</v>
      </c>
      <c r="R64" s="15" t="n">
        <f aca="false">SUMIFS(Service_Consumables!$L$5:$L$856,Service_Consumables!$A$5:$A$856,$A64,Service_Consumables!$E$5:$E$856,R$5,Service_Consumables!$H$5:$H$856,"Auto-deduct")</f>
        <v>0</v>
      </c>
      <c r="S64" s="15" t="n">
        <f aca="false">SUMIFS(Service_Consumables!$L$5:$L$856,Service_Consumables!$A$5:$A$856,$A64,Service_Consumables!$E$5:$E$856,S$5,Service_Consumables!$H$5:$H$856,"Auto-deduct")</f>
        <v>6</v>
      </c>
      <c r="T64" s="15" t="n">
        <f aca="false">SUMIFS(Service_Consumables!$L$5:$L$856,Service_Consumables!$A$5:$A$856,$A64,Service_Consumables!$E$5:$E$856,T$5,Service_Consumables!$H$5:$H$856,"Auto-deduct")</f>
        <v>0</v>
      </c>
      <c r="U64" s="15" t="n">
        <f aca="false">SUMIFS(Service_Consumables!$L$5:$L$856,Service_Consumables!$A$5:$A$856,$A64,Service_Consumables!$E$5:$E$856,U$5,Service_Consumables!$H$5:$H$856,"Auto-deduct")</f>
        <v>0</v>
      </c>
      <c r="V64" s="15" t="n">
        <f aca="false">SUMIFS(Service_Consumables!$L$5:$L$856,Service_Consumables!$A$5:$A$856,$A64,Service_Consumables!$E$5:$E$856,V$5,Service_Consumables!$H$5:$H$856,"Auto-deduct")</f>
        <v>5</v>
      </c>
      <c r="W64" s="15" t="n">
        <f aca="false">SUMIFS(Service_Consumables!$L$5:$L$856,Service_Consumables!$A$5:$A$856,$A64,Service_Consumables!$E$5:$E$856,W$5,Service_Consumables!$H$5:$H$856,"Auto-deduct")</f>
        <v>4</v>
      </c>
      <c r="X64" s="15" t="n">
        <f aca="false">SUMIFS(Service_Consumables!$L$5:$L$856,Service_Consumables!$A$5:$A$856,$A64,Service_Consumables!$E$5:$E$856,X$5,Service_Consumables!$H$5:$H$856,"Auto-deduct")</f>
        <v>1</v>
      </c>
      <c r="Y64" s="15" t="n">
        <f aca="false">SUMIFS(Service_Consumables!$L$5:$L$856,Service_Consumables!$A$5:$A$856,$A64,Service_Consumables!$E$5:$E$856,Y$5,Service_Consumables!$H$5:$H$856,"Auto-deduct")</f>
        <v>0</v>
      </c>
      <c r="Z64" s="15" t="n">
        <f aca="false">SUMIFS(Service_Consumables!$L$5:$L$856,Service_Consumables!$A$5:$A$856,$A64,Service_Consumables!$E$5:$E$856,Z$5,Service_Consumables!$H$5:$H$856,"Auto-deduct")</f>
        <v>20</v>
      </c>
      <c r="AA64" s="15" t="n">
        <f aca="false">SUMIFS(Service_Consumables!$L$5:$L$856,Service_Consumables!$A$5:$A$856,$A64,Service_Consumables!$E$5:$E$856,AA$5,Service_Consumables!$H$5:$H$856,"Auto-deduct")</f>
        <v>2</v>
      </c>
      <c r="AB64" s="15" t="n">
        <f aca="false">SUMIFS(Service_Consumables!$L$5:$L$856,Service_Consumables!$A$5:$A$856,$A64,Service_Consumables!$E$5:$E$856,AB$5,Service_Consumables!$H$5:$H$856,"Auto-deduct")</f>
        <v>2</v>
      </c>
      <c r="AC64" s="15" t="n">
        <f aca="false">SUMIFS(Service_Consumables!$L$5:$L$856,Service_Consumables!$A$5:$A$856,$A64,Service_Consumables!$E$5:$E$856,AC$5,Service_Consumables!$H$5:$H$856,"Auto-deduct")</f>
        <v>0</v>
      </c>
      <c r="AD64" s="15" t="n">
        <f aca="false">SUMIFS(Service_Consumables!$L$5:$L$856,Service_Consumables!$A$5:$A$856,$A64,Service_Consumables!$E$5:$E$856,AD$5,Service_Consumables!$H$5:$H$856,"Auto-deduct")</f>
        <v>10</v>
      </c>
      <c r="AE64" s="15" t="n">
        <f aca="false">SUMIFS(Service_Consumables!$L$5:$L$856,Service_Consumables!$A$5:$A$856,$A64,Service_Consumables!$E$5:$E$856,AE$5,Service_Consumables!$H$5:$H$856,"Auto-deduct")</f>
        <v>10</v>
      </c>
      <c r="AF64" s="15" t="n">
        <f aca="false">SUMIFS(Service_Consumables!$L$5:$L$856,Service_Consumables!$A$5:$A$856,$A64,Service_Consumables!$E$5:$E$856,AF$5,Service_Consumables!$H$5:$H$856,"Auto-deduct")</f>
        <v>0</v>
      </c>
      <c r="AG64" s="15" t="n">
        <f aca="false">SUMIFS(Service_Consumables!$L$5:$L$856,Service_Consumables!$A$5:$A$856,$A64,Service_Consumables!$E$5:$E$856,AG$5,Service_Consumables!$H$5:$H$856,"Auto-deduct")</f>
        <v>0</v>
      </c>
      <c r="AH64" s="15" t="n">
        <f aca="false">SUMIFS(Service_Consumables!$L$5:$L$856,Service_Consumables!$A$5:$A$856,$A64,Service_Consumables!$E$5:$E$856,AH$5,Service_Consumables!$H$5:$H$856,"Auto-deduct")</f>
        <v>0</v>
      </c>
      <c r="AI64" s="15" t="n">
        <f aca="false">SUMIFS(Service_Consumables!$L$5:$L$856,Service_Consumables!$A$5:$A$856,$A64,Service_Consumables!$E$5:$E$856,AI$5,Service_Consumables!$H$5:$H$856,"Auto-deduct")</f>
        <v>5</v>
      </c>
      <c r="AJ64" s="15" t="n">
        <f aca="false">SUMIFS(Service_Consumables!$L$5:$L$856,Service_Consumables!$A$5:$A$856,$A64,Service_Consumables!$E$5:$E$856,AJ$5,Service_Consumables!$H$5:$H$856,"Auto-deduct")</f>
        <v>5</v>
      </c>
      <c r="AK64" s="15" t="n">
        <f aca="false">SUMIFS(Service_Consumables!$L$5:$L$856,Service_Consumables!$A$5:$A$856,$A64,Service_Consumables!$E$5:$E$856,AK$5,Service_Consumables!$H$5:$H$856,"Auto-deduct")</f>
        <v>0</v>
      </c>
      <c r="AL64" s="15" t="n">
        <f aca="false">SUMIFS(Service_Consumables!$L$5:$L$856,Service_Consumables!$A$5:$A$856,$A64,Service_Consumables!$E$5:$E$856,AL$5,Service_Consumables!$H$5:$H$856,"Auto-deduct")</f>
        <v>0</v>
      </c>
      <c r="AM64" s="15" t="n">
        <f aca="false">SUMIFS(Service_Consumables!$L$5:$L$856,Service_Consumables!$A$5:$A$856,$A64,Service_Consumables!$E$5:$E$856,AM$5,Service_Consumables!$H$5:$H$856,"Auto-deduct")</f>
        <v>0</v>
      </c>
      <c r="AN64" s="15" t="n">
        <f aca="false">SUMIFS(Service_Consumables!$L$5:$L$856,Service_Consumables!$A$5:$A$856,$A64,Service_Consumables!$E$5:$E$856,AN$5,Service_Consumables!$H$5:$H$856,"Auto-deduct")</f>
        <v>30</v>
      </c>
      <c r="AO64" s="15" t="n">
        <f aca="false">SUMIFS(Service_Consumables!$L$5:$L$856,Service_Consumables!$A$5:$A$856,$A64,Service_Consumables!$E$5:$E$856,AO$5,Service_Consumables!$H$5:$H$856,"Auto-deduct")</f>
        <v>0</v>
      </c>
      <c r="AP64" s="15" t="n">
        <f aca="false">SUMIFS(Service_Consumables!$L$5:$L$856,Service_Consumables!$A$5:$A$856,$A64,Service_Consumables!$E$5:$E$856,AP$5,Service_Consumables!$H$5:$H$856,"Auto-deduct")</f>
        <v>0</v>
      </c>
      <c r="AQ64" s="15" t="n">
        <f aca="false">SUMIFS(Service_Consumables!$L$5:$L$856,Service_Consumables!$A$5:$A$856,$A64,Service_Consumables!$E$5:$E$856,AQ$5,Service_Consumables!$H$5:$H$856,"Auto-deduct")</f>
        <v>0</v>
      </c>
      <c r="AR64" s="15" t="n">
        <f aca="false">SUMIFS(Service_Consumables!$L$5:$L$856,Service_Consumables!$A$5:$A$856,$A64,Service_Consumables!$E$5:$E$856,AR$5,Service_Consumables!$H$5:$H$856,"Auto-deduct")</f>
        <v>0</v>
      </c>
      <c r="AS64" s="15" t="n">
        <f aca="false">SUMIFS(Service_Consumables!$L$5:$L$856,Service_Consumables!$A$5:$A$856,$A64,Service_Consumables!$E$5:$E$856,AS$5,Service_Consumables!$H$5:$H$856,"Auto-deduct")</f>
        <v>0</v>
      </c>
      <c r="AT64" s="15" t="n">
        <f aca="false">SUMIFS(Service_Consumables!$L$5:$L$856,Service_Consumables!$A$5:$A$856,$A64,Service_Consumables!$E$5:$E$856,AT$5,Service_Consumables!$H$5:$H$856,"Auto-deduct")</f>
        <v>1</v>
      </c>
      <c r="AU64" s="15" t="n">
        <f aca="false">SUMIFS(Service_Consumables!$L$5:$L$856,Service_Consumables!$A$5:$A$856,$A64,Service_Consumables!$E$5:$E$856,AU$5,Service_Consumables!$H$5:$H$856,"Auto-deduct")</f>
        <v>0</v>
      </c>
      <c r="AV64" s="15" t="n">
        <f aca="false">SUMIFS(Service_Consumables!$L$5:$L$856,Service_Consumables!$A$5:$A$856,$A64,Service_Consumables!$E$5:$E$856,AV$5,Service_Consumables!$H$5:$H$856,"Auto-deduct")</f>
        <v>0</v>
      </c>
      <c r="AW64" s="15" t="n">
        <f aca="false">SUMIFS(Service_Consumables!$L$5:$L$856,Service_Consumables!$A$5:$A$856,$A64,Service_Consumables!$E$5:$E$856,AW$5,Service_Consumables!$H$5:$H$856,"Auto-deduct")</f>
        <v>0</v>
      </c>
      <c r="AX64" s="15" t="n">
        <f aca="false">SUMIFS(Service_Consumables!$L$5:$L$856,Service_Consumables!$A$5:$A$856,$A64,Service_Consumables!$E$5:$E$856,AX$5,Service_Consumables!$H$5:$H$856,"Auto-deduct")</f>
        <v>0</v>
      </c>
      <c r="AY64" s="15" t="n">
        <f aca="false">SUMIFS(Service_Consumables!$L$5:$L$856,Service_Consumables!$A$5:$A$856,$A64,Service_Consumables!$E$5:$E$856,AY$5,Service_Consumables!$H$5:$H$856,"Auto-deduct")</f>
        <v>0</v>
      </c>
      <c r="AZ64" s="15" t="n">
        <f aca="false">SUMIFS(Service_Consumables!$L$5:$L$856,Service_Consumables!$A$5:$A$856,$A64,Service_Consumables!$E$5:$E$856,AZ$5,Service_Consumables!$H$5:$H$856,"Auto-deduct")</f>
        <v>0</v>
      </c>
      <c r="BA64" s="15" t="n">
        <f aca="false">SUMIFS(Service_Consumables!$L$5:$L$856,Service_Consumables!$A$5:$A$856,$A64,Service_Consumables!$E$5:$E$856,BA$5,Service_Consumables!$H$5:$H$856,"Auto-deduct")</f>
        <v>3</v>
      </c>
      <c r="BB64" s="15" t="n">
        <f aca="false">SUMIFS(Service_Consumables!$L$5:$L$856,Service_Consumables!$A$5:$A$856,$A64,Service_Consumables!$E$5:$E$856,BB$5,Service_Consumables!$H$5:$H$856,"Auto-deduct")</f>
        <v>0</v>
      </c>
      <c r="BC64" s="15" t="n">
        <f aca="false">SUMIFS(Service_Consumables!$L$5:$L$856,Service_Consumables!$A$5:$A$856,$A64,Service_Consumables!$E$5:$E$856,BC$5,Service_Consumables!$H$5:$H$856,"Auto-deduct")</f>
        <v>0</v>
      </c>
      <c r="BD64" s="15" t="n">
        <f aca="false">SUMIFS(Service_Consumables!$L$5:$L$856,Service_Consumables!$A$5:$A$856,$A64,Service_Consumables!$E$5:$E$856,BD$5,Service_Consumables!$H$5:$H$856,"Auto-deduct")</f>
        <v>0</v>
      </c>
      <c r="BE64" s="15" t="n">
        <f aca="false">SUMIFS(Service_Consumables!$L$5:$L$856,Service_Consumables!$A$5:$A$856,$A64,Service_Consumables!$E$5:$E$856,BE$5,Service_Consumables!$H$5:$H$856,"Auto-deduct")</f>
        <v>0</v>
      </c>
      <c r="BF64" s="15" t="n">
        <f aca="false">SUMIFS(Service_Consumables!$L$5:$L$856,Service_Consumables!$A$5:$A$856,$A64,Service_Consumables!$E$5:$E$856,BF$5,Service_Consumables!$H$5:$H$856,"Auto-deduct")</f>
        <v>0</v>
      </c>
      <c r="BG64" s="15" t="n">
        <f aca="false">SUMIFS(Service_Consumables!$L$5:$L$856,Service_Consumables!$A$5:$A$856,$A64,Service_Consumables!$E$5:$E$856,BG$5,Service_Consumables!$H$5:$H$856,"Auto-deduct")</f>
        <v>0</v>
      </c>
      <c r="BH64" s="15" t="n">
        <f aca="false">SUMIFS(Service_Consumables!$L$5:$L$856,Service_Consumables!$A$5:$A$856,$A64,Service_Consumables!$E$5:$E$856,BH$5,Service_Consumables!$H$5:$H$856,"Auto-deduct")</f>
        <v>0</v>
      </c>
      <c r="BI64" s="15" t="n">
        <f aca="false">SUMIFS(Service_Consumables!$L$5:$L$856,Service_Consumables!$A$5:$A$856,$A64,Service_Consumables!$E$5:$E$856,BI$5,Service_Consumables!$H$5:$H$856,"Auto-deduct")</f>
        <v>3</v>
      </c>
    </row>
    <row r="65" customFormat="false" ht="15" hidden="false" customHeight="false" outlineLevel="0" collapsed="false">
      <c r="A65" s="14" t="n">
        <f aca="false">Services!A64</f>
        <v>60</v>
      </c>
      <c r="B65" s="14" t="str">
        <f aca="false">Services!B64</f>
        <v>Chemical Peeling (TCA)</v>
      </c>
      <c r="C65" s="14" t="str">
        <f aca="false">Services!C64</f>
        <v>Face/Tummy/Butt</v>
      </c>
      <c r="D65" s="15" t="n">
        <f aca="false">SUMIFS(Service_Consumables!$L$5:$L$856,Service_Consumables!$A$5:$A$856,$A65,Service_Consumables!$E$5:$E$856,D$5,Service_Consumables!$H$5:$H$856,"Auto-deduct")</f>
        <v>0</v>
      </c>
      <c r="E65" s="15" t="n">
        <f aca="false">SUMIFS(Service_Consumables!$L$5:$L$856,Service_Consumables!$A$5:$A$856,$A65,Service_Consumables!$E$5:$E$856,E$5,Service_Consumables!$H$5:$H$856,"Auto-deduct")</f>
        <v>0</v>
      </c>
      <c r="F65" s="15" t="n">
        <f aca="false">SUMIFS(Service_Consumables!$L$5:$L$856,Service_Consumables!$A$5:$A$856,$A65,Service_Consumables!$E$5:$E$856,F$5,Service_Consumables!$H$5:$H$856,"Auto-deduct")</f>
        <v>0</v>
      </c>
      <c r="G65" s="15" t="n">
        <f aca="false">SUMIFS(Service_Consumables!$L$5:$L$856,Service_Consumables!$A$5:$A$856,$A65,Service_Consumables!$E$5:$E$856,G$5,Service_Consumables!$H$5:$H$856,"Auto-deduct")</f>
        <v>0</v>
      </c>
      <c r="H65" s="15" t="n">
        <f aca="false">SUMIFS(Service_Consumables!$L$5:$L$856,Service_Consumables!$A$5:$A$856,$A65,Service_Consumables!$E$5:$E$856,H$5,Service_Consumables!$H$5:$H$856,"Auto-deduct")</f>
        <v>0</v>
      </c>
      <c r="I65" s="15" t="n">
        <f aca="false">SUMIFS(Service_Consumables!$L$5:$L$856,Service_Consumables!$A$5:$A$856,$A65,Service_Consumables!$E$5:$E$856,I$5,Service_Consumables!$H$5:$H$856,"Auto-deduct")</f>
        <v>0</v>
      </c>
      <c r="J65" s="15" t="n">
        <f aca="false">SUMIFS(Service_Consumables!$L$5:$L$856,Service_Consumables!$A$5:$A$856,$A65,Service_Consumables!$E$5:$E$856,J$5,Service_Consumables!$H$5:$H$856,"Auto-deduct")</f>
        <v>0</v>
      </c>
      <c r="K65" s="15" t="n">
        <f aca="false">SUMIFS(Service_Consumables!$L$5:$L$856,Service_Consumables!$A$5:$A$856,$A65,Service_Consumables!$E$5:$E$856,K$5,Service_Consumables!$H$5:$H$856,"Auto-deduct")</f>
        <v>0</v>
      </c>
      <c r="L65" s="15" t="n">
        <f aca="false">SUMIFS(Service_Consumables!$L$5:$L$856,Service_Consumables!$A$5:$A$856,$A65,Service_Consumables!$E$5:$E$856,L$5,Service_Consumables!$H$5:$H$856,"Auto-deduct")</f>
        <v>0</v>
      </c>
      <c r="M65" s="15" t="n">
        <f aca="false">SUMIFS(Service_Consumables!$L$5:$L$856,Service_Consumables!$A$5:$A$856,$A65,Service_Consumables!$E$5:$E$856,M$5,Service_Consumables!$H$5:$H$856,"Auto-deduct")</f>
        <v>0</v>
      </c>
      <c r="N65" s="15" t="n">
        <f aca="false">SUMIFS(Service_Consumables!$L$5:$L$856,Service_Consumables!$A$5:$A$856,$A65,Service_Consumables!$E$5:$E$856,N$5,Service_Consumables!$H$5:$H$856,"Auto-deduct")</f>
        <v>0</v>
      </c>
      <c r="O65" s="15" t="n">
        <f aca="false">SUMIFS(Service_Consumables!$L$5:$L$856,Service_Consumables!$A$5:$A$856,$A65,Service_Consumables!$E$5:$E$856,O$5,Service_Consumables!$H$5:$H$856,"Auto-deduct")</f>
        <v>1</v>
      </c>
      <c r="P65" s="15" t="n">
        <f aca="false">SUMIFS(Service_Consumables!$L$5:$L$856,Service_Consumables!$A$5:$A$856,$A65,Service_Consumables!$E$5:$E$856,P$5,Service_Consumables!$H$5:$H$856,"Auto-deduct")</f>
        <v>1</v>
      </c>
      <c r="Q65" s="15" t="n">
        <f aca="false">SUMIFS(Service_Consumables!$L$5:$L$856,Service_Consumables!$A$5:$A$856,$A65,Service_Consumables!$E$5:$E$856,Q$5,Service_Consumables!$H$5:$H$856,"Auto-deduct")</f>
        <v>1</v>
      </c>
      <c r="R65" s="15" t="n">
        <f aca="false">SUMIFS(Service_Consumables!$L$5:$L$856,Service_Consumables!$A$5:$A$856,$A65,Service_Consumables!$E$5:$E$856,R$5,Service_Consumables!$H$5:$H$856,"Auto-deduct")</f>
        <v>0</v>
      </c>
      <c r="S65" s="15" t="n">
        <f aca="false">SUMIFS(Service_Consumables!$L$5:$L$856,Service_Consumables!$A$5:$A$856,$A65,Service_Consumables!$E$5:$E$856,S$5,Service_Consumables!$H$5:$H$856,"Auto-deduct")</f>
        <v>4</v>
      </c>
      <c r="T65" s="15" t="n">
        <f aca="false">SUMIFS(Service_Consumables!$L$5:$L$856,Service_Consumables!$A$5:$A$856,$A65,Service_Consumables!$E$5:$E$856,T$5,Service_Consumables!$H$5:$H$856,"Auto-deduct")</f>
        <v>0</v>
      </c>
      <c r="U65" s="15" t="n">
        <f aca="false">SUMIFS(Service_Consumables!$L$5:$L$856,Service_Consumables!$A$5:$A$856,$A65,Service_Consumables!$E$5:$E$856,U$5,Service_Consumables!$H$5:$H$856,"Auto-deduct")</f>
        <v>0</v>
      </c>
      <c r="V65" s="15" t="n">
        <f aca="false">SUMIFS(Service_Consumables!$L$5:$L$856,Service_Consumables!$A$5:$A$856,$A65,Service_Consumables!$E$5:$E$856,V$5,Service_Consumables!$H$5:$H$856,"Auto-deduct")</f>
        <v>5</v>
      </c>
      <c r="W65" s="15" t="n">
        <f aca="false">SUMIFS(Service_Consumables!$L$5:$L$856,Service_Consumables!$A$5:$A$856,$A65,Service_Consumables!$E$5:$E$856,W$5,Service_Consumables!$H$5:$H$856,"Auto-deduct")</f>
        <v>6</v>
      </c>
      <c r="X65" s="15" t="n">
        <f aca="false">SUMIFS(Service_Consumables!$L$5:$L$856,Service_Consumables!$A$5:$A$856,$A65,Service_Consumables!$E$5:$E$856,X$5,Service_Consumables!$H$5:$H$856,"Auto-deduct")</f>
        <v>0</v>
      </c>
      <c r="Y65" s="15" t="n">
        <f aca="false">SUMIFS(Service_Consumables!$L$5:$L$856,Service_Consumables!$A$5:$A$856,$A65,Service_Consumables!$E$5:$E$856,Y$5,Service_Consumables!$H$5:$H$856,"Auto-deduct")</f>
        <v>0</v>
      </c>
      <c r="Z65" s="15" t="n">
        <f aca="false">SUMIFS(Service_Consumables!$L$5:$L$856,Service_Consumables!$A$5:$A$856,$A65,Service_Consumables!$E$5:$E$856,Z$5,Service_Consumables!$H$5:$H$856,"Auto-deduct")</f>
        <v>0</v>
      </c>
      <c r="AA65" s="15" t="n">
        <f aca="false">SUMIFS(Service_Consumables!$L$5:$L$856,Service_Consumables!$A$5:$A$856,$A65,Service_Consumables!$E$5:$E$856,AA$5,Service_Consumables!$H$5:$H$856,"Auto-deduct")</f>
        <v>4</v>
      </c>
      <c r="AB65" s="15" t="n">
        <f aca="false">SUMIFS(Service_Consumables!$L$5:$L$856,Service_Consumables!$A$5:$A$856,$A65,Service_Consumables!$E$5:$E$856,AB$5,Service_Consumables!$H$5:$H$856,"Auto-deduct")</f>
        <v>0</v>
      </c>
      <c r="AC65" s="15" t="n">
        <f aca="false">SUMIFS(Service_Consumables!$L$5:$L$856,Service_Consumables!$A$5:$A$856,$A65,Service_Consumables!$E$5:$E$856,AC$5,Service_Consumables!$H$5:$H$856,"Auto-deduct")</f>
        <v>2</v>
      </c>
      <c r="AD65" s="15" t="n">
        <f aca="false">SUMIFS(Service_Consumables!$L$5:$L$856,Service_Consumables!$A$5:$A$856,$A65,Service_Consumables!$E$5:$E$856,AD$5,Service_Consumables!$H$5:$H$856,"Auto-deduct")</f>
        <v>5</v>
      </c>
      <c r="AE65" s="15" t="n">
        <f aca="false">SUMIFS(Service_Consumables!$L$5:$L$856,Service_Consumables!$A$5:$A$856,$A65,Service_Consumables!$E$5:$E$856,AE$5,Service_Consumables!$H$5:$H$856,"Auto-deduct")</f>
        <v>0</v>
      </c>
      <c r="AF65" s="15" t="n">
        <f aca="false">SUMIFS(Service_Consumables!$L$5:$L$856,Service_Consumables!$A$5:$A$856,$A65,Service_Consumables!$E$5:$E$856,AF$5,Service_Consumables!$H$5:$H$856,"Auto-deduct")</f>
        <v>5</v>
      </c>
      <c r="AG65" s="15" t="n">
        <f aca="false">SUMIFS(Service_Consumables!$L$5:$L$856,Service_Consumables!$A$5:$A$856,$A65,Service_Consumables!$E$5:$E$856,AG$5,Service_Consumables!$H$5:$H$856,"Auto-deduct")</f>
        <v>0</v>
      </c>
      <c r="AH65" s="15" t="n">
        <f aca="false">SUMIFS(Service_Consumables!$L$5:$L$856,Service_Consumables!$A$5:$A$856,$A65,Service_Consumables!$E$5:$E$856,AH$5,Service_Consumables!$H$5:$H$856,"Auto-deduct")</f>
        <v>0</v>
      </c>
      <c r="AI65" s="15" t="n">
        <f aca="false">SUMIFS(Service_Consumables!$L$5:$L$856,Service_Consumables!$A$5:$A$856,$A65,Service_Consumables!$E$5:$E$856,AI$5,Service_Consumables!$H$5:$H$856,"Auto-deduct")</f>
        <v>0</v>
      </c>
      <c r="AJ65" s="15" t="n">
        <f aca="false">SUMIFS(Service_Consumables!$L$5:$L$856,Service_Consumables!$A$5:$A$856,$A65,Service_Consumables!$E$5:$E$856,AJ$5,Service_Consumables!$H$5:$H$856,"Auto-deduct")</f>
        <v>0</v>
      </c>
      <c r="AK65" s="15" t="n">
        <f aca="false">SUMIFS(Service_Consumables!$L$5:$L$856,Service_Consumables!$A$5:$A$856,$A65,Service_Consumables!$E$5:$E$856,AK$5,Service_Consumables!$H$5:$H$856,"Auto-deduct")</f>
        <v>0</v>
      </c>
      <c r="AL65" s="15" t="n">
        <f aca="false">SUMIFS(Service_Consumables!$L$5:$L$856,Service_Consumables!$A$5:$A$856,$A65,Service_Consumables!$E$5:$E$856,AL$5,Service_Consumables!$H$5:$H$856,"Auto-deduct")</f>
        <v>0</v>
      </c>
      <c r="AM65" s="15" t="n">
        <f aca="false">SUMIFS(Service_Consumables!$L$5:$L$856,Service_Consumables!$A$5:$A$856,$A65,Service_Consumables!$E$5:$E$856,AM$5,Service_Consumables!$H$5:$H$856,"Auto-deduct")</f>
        <v>0</v>
      </c>
      <c r="AN65" s="15" t="n">
        <f aca="false">SUMIFS(Service_Consumables!$L$5:$L$856,Service_Consumables!$A$5:$A$856,$A65,Service_Consumables!$E$5:$E$856,AN$5,Service_Consumables!$H$5:$H$856,"Auto-deduct")</f>
        <v>0</v>
      </c>
      <c r="AO65" s="15" t="n">
        <f aca="false">SUMIFS(Service_Consumables!$L$5:$L$856,Service_Consumables!$A$5:$A$856,$A65,Service_Consumables!$E$5:$E$856,AO$5,Service_Consumables!$H$5:$H$856,"Auto-deduct")</f>
        <v>20</v>
      </c>
      <c r="AP65" s="15" t="n">
        <f aca="false">SUMIFS(Service_Consumables!$L$5:$L$856,Service_Consumables!$A$5:$A$856,$A65,Service_Consumables!$E$5:$E$856,AP$5,Service_Consumables!$H$5:$H$856,"Auto-deduct")</f>
        <v>0</v>
      </c>
      <c r="AQ65" s="15" t="n">
        <f aca="false">SUMIFS(Service_Consumables!$L$5:$L$856,Service_Consumables!$A$5:$A$856,$A65,Service_Consumables!$E$5:$E$856,AQ$5,Service_Consumables!$H$5:$H$856,"Auto-deduct")</f>
        <v>0</v>
      </c>
      <c r="AR65" s="15" t="n">
        <f aca="false">SUMIFS(Service_Consumables!$L$5:$L$856,Service_Consumables!$A$5:$A$856,$A65,Service_Consumables!$E$5:$E$856,AR$5,Service_Consumables!$H$5:$H$856,"Auto-deduct")</f>
        <v>0</v>
      </c>
      <c r="AS65" s="15" t="n">
        <f aca="false">SUMIFS(Service_Consumables!$L$5:$L$856,Service_Consumables!$A$5:$A$856,$A65,Service_Consumables!$E$5:$E$856,AS$5,Service_Consumables!$H$5:$H$856,"Auto-deduct")</f>
        <v>0</v>
      </c>
      <c r="AT65" s="15" t="n">
        <f aca="false">SUMIFS(Service_Consumables!$L$5:$L$856,Service_Consumables!$A$5:$A$856,$A65,Service_Consumables!$E$5:$E$856,AT$5,Service_Consumables!$H$5:$H$856,"Auto-deduct")</f>
        <v>0</v>
      </c>
      <c r="AU65" s="15" t="n">
        <f aca="false">SUMIFS(Service_Consumables!$L$5:$L$856,Service_Consumables!$A$5:$A$856,$A65,Service_Consumables!$E$5:$E$856,AU$5,Service_Consumables!$H$5:$H$856,"Auto-deduct")</f>
        <v>0</v>
      </c>
      <c r="AV65" s="15" t="n">
        <f aca="false">SUMIFS(Service_Consumables!$L$5:$L$856,Service_Consumables!$A$5:$A$856,$A65,Service_Consumables!$E$5:$E$856,AV$5,Service_Consumables!$H$5:$H$856,"Auto-deduct")</f>
        <v>0</v>
      </c>
      <c r="AW65" s="15" t="n">
        <f aca="false">SUMIFS(Service_Consumables!$L$5:$L$856,Service_Consumables!$A$5:$A$856,$A65,Service_Consumables!$E$5:$E$856,AW$5,Service_Consumables!$H$5:$H$856,"Auto-deduct")</f>
        <v>0</v>
      </c>
      <c r="AX65" s="15" t="n">
        <f aca="false">SUMIFS(Service_Consumables!$L$5:$L$856,Service_Consumables!$A$5:$A$856,$A65,Service_Consumables!$E$5:$E$856,AX$5,Service_Consumables!$H$5:$H$856,"Auto-deduct")</f>
        <v>0</v>
      </c>
      <c r="AY65" s="15" t="n">
        <f aca="false">SUMIFS(Service_Consumables!$L$5:$L$856,Service_Consumables!$A$5:$A$856,$A65,Service_Consumables!$E$5:$E$856,AY$5,Service_Consumables!$H$5:$H$856,"Auto-deduct")</f>
        <v>0</v>
      </c>
      <c r="AZ65" s="15" t="n">
        <f aca="false">SUMIFS(Service_Consumables!$L$5:$L$856,Service_Consumables!$A$5:$A$856,$A65,Service_Consumables!$E$5:$E$856,AZ$5,Service_Consumables!$H$5:$H$856,"Auto-deduct")</f>
        <v>0</v>
      </c>
      <c r="BA65" s="15" t="n">
        <f aca="false">SUMIFS(Service_Consumables!$L$5:$L$856,Service_Consumables!$A$5:$A$856,$A65,Service_Consumables!$E$5:$E$856,BA$5,Service_Consumables!$H$5:$H$856,"Auto-deduct")</f>
        <v>3</v>
      </c>
      <c r="BB65" s="15" t="n">
        <f aca="false">SUMIFS(Service_Consumables!$L$5:$L$856,Service_Consumables!$A$5:$A$856,$A65,Service_Consumables!$E$5:$E$856,BB$5,Service_Consumables!$H$5:$H$856,"Auto-deduct")</f>
        <v>0</v>
      </c>
      <c r="BC65" s="15" t="n">
        <f aca="false">SUMIFS(Service_Consumables!$L$5:$L$856,Service_Consumables!$A$5:$A$856,$A65,Service_Consumables!$E$5:$E$856,BC$5,Service_Consumables!$H$5:$H$856,"Auto-deduct")</f>
        <v>0</v>
      </c>
      <c r="BD65" s="15" t="n">
        <f aca="false">SUMIFS(Service_Consumables!$L$5:$L$856,Service_Consumables!$A$5:$A$856,$A65,Service_Consumables!$E$5:$E$856,BD$5,Service_Consumables!$H$5:$H$856,"Auto-deduct")</f>
        <v>0</v>
      </c>
      <c r="BE65" s="15" t="n">
        <f aca="false">SUMIFS(Service_Consumables!$L$5:$L$856,Service_Consumables!$A$5:$A$856,$A65,Service_Consumables!$E$5:$E$856,BE$5,Service_Consumables!$H$5:$H$856,"Auto-deduct")</f>
        <v>0</v>
      </c>
      <c r="BF65" s="15" t="n">
        <f aca="false">SUMIFS(Service_Consumables!$L$5:$L$856,Service_Consumables!$A$5:$A$856,$A65,Service_Consumables!$E$5:$E$856,BF$5,Service_Consumables!$H$5:$H$856,"Auto-deduct")</f>
        <v>0</v>
      </c>
      <c r="BG65" s="15" t="n">
        <f aca="false">SUMIFS(Service_Consumables!$L$5:$L$856,Service_Consumables!$A$5:$A$856,$A65,Service_Consumables!$E$5:$E$856,BG$5,Service_Consumables!$H$5:$H$856,"Auto-deduct")</f>
        <v>0</v>
      </c>
      <c r="BH65" s="15" t="n">
        <f aca="false">SUMIFS(Service_Consumables!$L$5:$L$856,Service_Consumables!$A$5:$A$856,$A65,Service_Consumables!$E$5:$E$856,BH$5,Service_Consumables!$H$5:$H$856,"Auto-deduct")</f>
        <v>0</v>
      </c>
      <c r="BI65" s="15" t="n">
        <f aca="false">SUMIFS(Service_Consumables!$L$5:$L$856,Service_Consumables!$A$5:$A$856,$A65,Service_Consumables!$E$5:$E$856,BI$5,Service_Consumables!$H$5:$H$856,"Auto-deduct")</f>
        <v>0</v>
      </c>
    </row>
    <row r="66" customFormat="false" ht="15" hidden="false" customHeight="false" outlineLevel="0" collapsed="false">
      <c r="A66" s="14" t="n">
        <f aca="false">Services!A65</f>
        <v>61</v>
      </c>
      <c r="B66" s="14" t="str">
        <f aca="false">Services!B65</f>
        <v>Chemical Peeling (TCA)</v>
      </c>
      <c r="C66" s="14" t="str">
        <f aca="false">Services!C65</f>
        <v>Arms</v>
      </c>
      <c r="D66" s="15" t="n">
        <f aca="false">SUMIFS(Service_Consumables!$L$5:$L$856,Service_Consumables!$A$5:$A$856,$A66,Service_Consumables!$E$5:$E$856,D$5,Service_Consumables!$H$5:$H$856,"Auto-deduct")</f>
        <v>0</v>
      </c>
      <c r="E66" s="15" t="n">
        <f aca="false">SUMIFS(Service_Consumables!$L$5:$L$856,Service_Consumables!$A$5:$A$856,$A66,Service_Consumables!$E$5:$E$856,E$5,Service_Consumables!$H$5:$H$856,"Auto-deduct")</f>
        <v>0</v>
      </c>
      <c r="F66" s="15" t="n">
        <f aca="false">SUMIFS(Service_Consumables!$L$5:$L$856,Service_Consumables!$A$5:$A$856,$A66,Service_Consumables!$E$5:$E$856,F$5,Service_Consumables!$H$5:$H$856,"Auto-deduct")</f>
        <v>0</v>
      </c>
      <c r="G66" s="15" t="n">
        <f aca="false">SUMIFS(Service_Consumables!$L$5:$L$856,Service_Consumables!$A$5:$A$856,$A66,Service_Consumables!$E$5:$E$856,G$5,Service_Consumables!$H$5:$H$856,"Auto-deduct")</f>
        <v>0</v>
      </c>
      <c r="H66" s="15" t="n">
        <f aca="false">SUMIFS(Service_Consumables!$L$5:$L$856,Service_Consumables!$A$5:$A$856,$A66,Service_Consumables!$E$5:$E$856,H$5,Service_Consumables!$H$5:$H$856,"Auto-deduct")</f>
        <v>0</v>
      </c>
      <c r="I66" s="15" t="n">
        <f aca="false">SUMIFS(Service_Consumables!$L$5:$L$856,Service_Consumables!$A$5:$A$856,$A66,Service_Consumables!$E$5:$E$856,I$5,Service_Consumables!$H$5:$H$856,"Auto-deduct")</f>
        <v>0</v>
      </c>
      <c r="J66" s="15" t="n">
        <f aca="false">SUMIFS(Service_Consumables!$L$5:$L$856,Service_Consumables!$A$5:$A$856,$A66,Service_Consumables!$E$5:$E$856,J$5,Service_Consumables!$H$5:$H$856,"Auto-deduct")</f>
        <v>0</v>
      </c>
      <c r="K66" s="15" t="n">
        <f aca="false">SUMIFS(Service_Consumables!$L$5:$L$856,Service_Consumables!$A$5:$A$856,$A66,Service_Consumables!$E$5:$E$856,K$5,Service_Consumables!$H$5:$H$856,"Auto-deduct")</f>
        <v>0</v>
      </c>
      <c r="L66" s="15" t="n">
        <f aca="false">SUMIFS(Service_Consumables!$L$5:$L$856,Service_Consumables!$A$5:$A$856,$A66,Service_Consumables!$E$5:$E$856,L$5,Service_Consumables!$H$5:$H$856,"Auto-deduct")</f>
        <v>0</v>
      </c>
      <c r="M66" s="15" t="n">
        <f aca="false">SUMIFS(Service_Consumables!$L$5:$L$856,Service_Consumables!$A$5:$A$856,$A66,Service_Consumables!$E$5:$E$856,M$5,Service_Consumables!$H$5:$H$856,"Auto-deduct")</f>
        <v>0</v>
      </c>
      <c r="N66" s="15" t="n">
        <f aca="false">SUMIFS(Service_Consumables!$L$5:$L$856,Service_Consumables!$A$5:$A$856,$A66,Service_Consumables!$E$5:$E$856,N$5,Service_Consumables!$H$5:$H$856,"Auto-deduct")</f>
        <v>0</v>
      </c>
      <c r="O66" s="15" t="n">
        <f aca="false">SUMIFS(Service_Consumables!$L$5:$L$856,Service_Consumables!$A$5:$A$856,$A66,Service_Consumables!$E$5:$E$856,O$5,Service_Consumables!$H$5:$H$856,"Auto-deduct")</f>
        <v>0</v>
      </c>
      <c r="P66" s="15" t="n">
        <f aca="false">SUMIFS(Service_Consumables!$L$5:$L$856,Service_Consumables!$A$5:$A$856,$A66,Service_Consumables!$E$5:$E$856,P$5,Service_Consumables!$H$5:$H$856,"Auto-deduct")</f>
        <v>1</v>
      </c>
      <c r="Q66" s="15" t="n">
        <f aca="false">SUMIFS(Service_Consumables!$L$5:$L$856,Service_Consumables!$A$5:$A$856,$A66,Service_Consumables!$E$5:$E$856,Q$5,Service_Consumables!$H$5:$H$856,"Auto-deduct")</f>
        <v>1</v>
      </c>
      <c r="R66" s="15" t="n">
        <f aca="false">SUMIFS(Service_Consumables!$L$5:$L$856,Service_Consumables!$A$5:$A$856,$A66,Service_Consumables!$E$5:$E$856,R$5,Service_Consumables!$H$5:$H$856,"Auto-deduct")</f>
        <v>0</v>
      </c>
      <c r="S66" s="15" t="n">
        <f aca="false">SUMIFS(Service_Consumables!$L$5:$L$856,Service_Consumables!$A$5:$A$856,$A66,Service_Consumables!$E$5:$E$856,S$5,Service_Consumables!$H$5:$H$856,"Auto-deduct")</f>
        <v>6</v>
      </c>
      <c r="T66" s="15" t="n">
        <f aca="false">SUMIFS(Service_Consumables!$L$5:$L$856,Service_Consumables!$A$5:$A$856,$A66,Service_Consumables!$E$5:$E$856,T$5,Service_Consumables!$H$5:$H$856,"Auto-deduct")</f>
        <v>0</v>
      </c>
      <c r="U66" s="15" t="n">
        <f aca="false">SUMIFS(Service_Consumables!$L$5:$L$856,Service_Consumables!$A$5:$A$856,$A66,Service_Consumables!$E$5:$E$856,U$5,Service_Consumables!$H$5:$H$856,"Auto-deduct")</f>
        <v>0</v>
      </c>
      <c r="V66" s="15" t="n">
        <f aca="false">SUMIFS(Service_Consumables!$L$5:$L$856,Service_Consumables!$A$5:$A$856,$A66,Service_Consumables!$E$5:$E$856,V$5,Service_Consumables!$H$5:$H$856,"Auto-deduct")</f>
        <v>7.5</v>
      </c>
      <c r="W66" s="15" t="n">
        <f aca="false">SUMIFS(Service_Consumables!$L$5:$L$856,Service_Consumables!$A$5:$A$856,$A66,Service_Consumables!$E$5:$E$856,W$5,Service_Consumables!$H$5:$H$856,"Auto-deduct")</f>
        <v>9</v>
      </c>
      <c r="X66" s="15" t="n">
        <f aca="false">SUMIFS(Service_Consumables!$L$5:$L$856,Service_Consumables!$A$5:$A$856,$A66,Service_Consumables!$E$5:$E$856,X$5,Service_Consumables!$H$5:$H$856,"Auto-deduct")</f>
        <v>0</v>
      </c>
      <c r="Y66" s="15" t="n">
        <f aca="false">SUMIFS(Service_Consumables!$L$5:$L$856,Service_Consumables!$A$5:$A$856,$A66,Service_Consumables!$E$5:$E$856,Y$5,Service_Consumables!$H$5:$H$856,"Auto-deduct")</f>
        <v>0</v>
      </c>
      <c r="Z66" s="15" t="n">
        <f aca="false">SUMIFS(Service_Consumables!$L$5:$L$856,Service_Consumables!$A$5:$A$856,$A66,Service_Consumables!$E$5:$E$856,Z$5,Service_Consumables!$H$5:$H$856,"Auto-deduct")</f>
        <v>0</v>
      </c>
      <c r="AA66" s="15" t="n">
        <f aca="false">SUMIFS(Service_Consumables!$L$5:$L$856,Service_Consumables!$A$5:$A$856,$A66,Service_Consumables!$E$5:$E$856,AA$5,Service_Consumables!$H$5:$H$856,"Auto-deduct")</f>
        <v>6</v>
      </c>
      <c r="AB66" s="15" t="n">
        <f aca="false">SUMIFS(Service_Consumables!$L$5:$L$856,Service_Consumables!$A$5:$A$856,$A66,Service_Consumables!$E$5:$E$856,AB$5,Service_Consumables!$H$5:$H$856,"Auto-deduct")</f>
        <v>0</v>
      </c>
      <c r="AC66" s="15" t="n">
        <f aca="false">SUMIFS(Service_Consumables!$L$5:$L$856,Service_Consumables!$A$5:$A$856,$A66,Service_Consumables!$E$5:$E$856,AC$5,Service_Consumables!$H$5:$H$856,"Auto-deduct")</f>
        <v>3</v>
      </c>
      <c r="AD66" s="15" t="n">
        <f aca="false">SUMIFS(Service_Consumables!$L$5:$L$856,Service_Consumables!$A$5:$A$856,$A66,Service_Consumables!$E$5:$E$856,AD$5,Service_Consumables!$H$5:$H$856,"Auto-deduct")</f>
        <v>5</v>
      </c>
      <c r="AE66" s="15" t="n">
        <f aca="false">SUMIFS(Service_Consumables!$L$5:$L$856,Service_Consumables!$A$5:$A$856,$A66,Service_Consumables!$E$5:$E$856,AE$5,Service_Consumables!$H$5:$H$856,"Auto-deduct")</f>
        <v>0</v>
      </c>
      <c r="AF66" s="15" t="n">
        <f aca="false">SUMIFS(Service_Consumables!$L$5:$L$856,Service_Consumables!$A$5:$A$856,$A66,Service_Consumables!$E$5:$E$856,AF$5,Service_Consumables!$H$5:$H$856,"Auto-deduct")</f>
        <v>7.5</v>
      </c>
      <c r="AG66" s="15" t="n">
        <f aca="false">SUMIFS(Service_Consumables!$L$5:$L$856,Service_Consumables!$A$5:$A$856,$A66,Service_Consumables!$E$5:$E$856,AG$5,Service_Consumables!$H$5:$H$856,"Auto-deduct")</f>
        <v>0</v>
      </c>
      <c r="AH66" s="15" t="n">
        <f aca="false">SUMIFS(Service_Consumables!$L$5:$L$856,Service_Consumables!$A$5:$A$856,$A66,Service_Consumables!$E$5:$E$856,AH$5,Service_Consumables!$H$5:$H$856,"Auto-deduct")</f>
        <v>0</v>
      </c>
      <c r="AI66" s="15" t="n">
        <f aca="false">SUMIFS(Service_Consumables!$L$5:$L$856,Service_Consumables!$A$5:$A$856,$A66,Service_Consumables!$E$5:$E$856,AI$5,Service_Consumables!$H$5:$H$856,"Auto-deduct")</f>
        <v>0</v>
      </c>
      <c r="AJ66" s="15" t="n">
        <f aca="false">SUMIFS(Service_Consumables!$L$5:$L$856,Service_Consumables!$A$5:$A$856,$A66,Service_Consumables!$E$5:$E$856,AJ$5,Service_Consumables!$H$5:$H$856,"Auto-deduct")</f>
        <v>0</v>
      </c>
      <c r="AK66" s="15" t="n">
        <f aca="false">SUMIFS(Service_Consumables!$L$5:$L$856,Service_Consumables!$A$5:$A$856,$A66,Service_Consumables!$E$5:$E$856,AK$5,Service_Consumables!$H$5:$H$856,"Auto-deduct")</f>
        <v>0</v>
      </c>
      <c r="AL66" s="15" t="n">
        <f aca="false">SUMIFS(Service_Consumables!$L$5:$L$856,Service_Consumables!$A$5:$A$856,$A66,Service_Consumables!$E$5:$E$856,AL$5,Service_Consumables!$H$5:$H$856,"Auto-deduct")</f>
        <v>0</v>
      </c>
      <c r="AM66" s="15" t="n">
        <f aca="false">SUMIFS(Service_Consumables!$L$5:$L$856,Service_Consumables!$A$5:$A$856,$A66,Service_Consumables!$E$5:$E$856,AM$5,Service_Consumables!$H$5:$H$856,"Auto-deduct")</f>
        <v>0</v>
      </c>
      <c r="AN66" s="15" t="n">
        <f aca="false">SUMIFS(Service_Consumables!$L$5:$L$856,Service_Consumables!$A$5:$A$856,$A66,Service_Consumables!$E$5:$E$856,AN$5,Service_Consumables!$H$5:$H$856,"Auto-deduct")</f>
        <v>0</v>
      </c>
      <c r="AO66" s="15" t="n">
        <f aca="false">SUMIFS(Service_Consumables!$L$5:$L$856,Service_Consumables!$A$5:$A$856,$A66,Service_Consumables!$E$5:$E$856,AO$5,Service_Consumables!$H$5:$H$856,"Auto-deduct")</f>
        <v>30</v>
      </c>
      <c r="AP66" s="15" t="n">
        <f aca="false">SUMIFS(Service_Consumables!$L$5:$L$856,Service_Consumables!$A$5:$A$856,$A66,Service_Consumables!$E$5:$E$856,AP$5,Service_Consumables!$H$5:$H$856,"Auto-deduct")</f>
        <v>0</v>
      </c>
      <c r="AQ66" s="15" t="n">
        <f aca="false">SUMIFS(Service_Consumables!$L$5:$L$856,Service_Consumables!$A$5:$A$856,$A66,Service_Consumables!$E$5:$E$856,AQ$5,Service_Consumables!$H$5:$H$856,"Auto-deduct")</f>
        <v>0</v>
      </c>
      <c r="AR66" s="15" t="n">
        <f aca="false">SUMIFS(Service_Consumables!$L$5:$L$856,Service_Consumables!$A$5:$A$856,$A66,Service_Consumables!$E$5:$E$856,AR$5,Service_Consumables!$H$5:$H$856,"Auto-deduct")</f>
        <v>0</v>
      </c>
      <c r="AS66" s="15" t="n">
        <f aca="false">SUMIFS(Service_Consumables!$L$5:$L$856,Service_Consumables!$A$5:$A$856,$A66,Service_Consumables!$E$5:$E$856,AS$5,Service_Consumables!$H$5:$H$856,"Auto-deduct")</f>
        <v>0</v>
      </c>
      <c r="AT66" s="15" t="n">
        <f aca="false">SUMIFS(Service_Consumables!$L$5:$L$856,Service_Consumables!$A$5:$A$856,$A66,Service_Consumables!$E$5:$E$856,AT$5,Service_Consumables!$H$5:$H$856,"Auto-deduct")</f>
        <v>0</v>
      </c>
      <c r="AU66" s="15" t="n">
        <f aca="false">SUMIFS(Service_Consumables!$L$5:$L$856,Service_Consumables!$A$5:$A$856,$A66,Service_Consumables!$E$5:$E$856,AU$5,Service_Consumables!$H$5:$H$856,"Auto-deduct")</f>
        <v>0</v>
      </c>
      <c r="AV66" s="15" t="n">
        <f aca="false">SUMIFS(Service_Consumables!$L$5:$L$856,Service_Consumables!$A$5:$A$856,$A66,Service_Consumables!$E$5:$E$856,AV$5,Service_Consumables!$H$5:$H$856,"Auto-deduct")</f>
        <v>0</v>
      </c>
      <c r="AW66" s="15" t="n">
        <f aca="false">SUMIFS(Service_Consumables!$L$5:$L$856,Service_Consumables!$A$5:$A$856,$A66,Service_Consumables!$E$5:$E$856,AW$5,Service_Consumables!$H$5:$H$856,"Auto-deduct")</f>
        <v>0</v>
      </c>
      <c r="AX66" s="15" t="n">
        <f aca="false">SUMIFS(Service_Consumables!$L$5:$L$856,Service_Consumables!$A$5:$A$856,$A66,Service_Consumables!$E$5:$E$856,AX$5,Service_Consumables!$H$5:$H$856,"Auto-deduct")</f>
        <v>0</v>
      </c>
      <c r="AY66" s="15" t="n">
        <f aca="false">SUMIFS(Service_Consumables!$L$5:$L$856,Service_Consumables!$A$5:$A$856,$A66,Service_Consumables!$E$5:$E$856,AY$5,Service_Consumables!$H$5:$H$856,"Auto-deduct")</f>
        <v>0</v>
      </c>
      <c r="AZ66" s="15" t="n">
        <f aca="false">SUMIFS(Service_Consumables!$L$5:$L$856,Service_Consumables!$A$5:$A$856,$A66,Service_Consumables!$E$5:$E$856,AZ$5,Service_Consumables!$H$5:$H$856,"Auto-deduct")</f>
        <v>0</v>
      </c>
      <c r="BA66" s="15" t="n">
        <f aca="false">SUMIFS(Service_Consumables!$L$5:$L$856,Service_Consumables!$A$5:$A$856,$A66,Service_Consumables!$E$5:$E$856,BA$5,Service_Consumables!$H$5:$H$856,"Auto-deduct")</f>
        <v>4.5</v>
      </c>
      <c r="BB66" s="15" t="n">
        <f aca="false">SUMIFS(Service_Consumables!$L$5:$L$856,Service_Consumables!$A$5:$A$856,$A66,Service_Consumables!$E$5:$E$856,BB$5,Service_Consumables!$H$5:$H$856,"Auto-deduct")</f>
        <v>0</v>
      </c>
      <c r="BC66" s="15" t="n">
        <f aca="false">SUMIFS(Service_Consumables!$L$5:$L$856,Service_Consumables!$A$5:$A$856,$A66,Service_Consumables!$E$5:$E$856,BC$5,Service_Consumables!$H$5:$H$856,"Auto-deduct")</f>
        <v>0</v>
      </c>
      <c r="BD66" s="15" t="n">
        <f aca="false">SUMIFS(Service_Consumables!$L$5:$L$856,Service_Consumables!$A$5:$A$856,$A66,Service_Consumables!$E$5:$E$856,BD$5,Service_Consumables!$H$5:$H$856,"Auto-deduct")</f>
        <v>0</v>
      </c>
      <c r="BE66" s="15" t="n">
        <f aca="false">SUMIFS(Service_Consumables!$L$5:$L$856,Service_Consumables!$A$5:$A$856,$A66,Service_Consumables!$E$5:$E$856,BE$5,Service_Consumables!$H$5:$H$856,"Auto-deduct")</f>
        <v>0</v>
      </c>
      <c r="BF66" s="15" t="n">
        <f aca="false">SUMIFS(Service_Consumables!$L$5:$L$856,Service_Consumables!$A$5:$A$856,$A66,Service_Consumables!$E$5:$E$856,BF$5,Service_Consumables!$H$5:$H$856,"Auto-deduct")</f>
        <v>0</v>
      </c>
      <c r="BG66" s="15" t="n">
        <f aca="false">SUMIFS(Service_Consumables!$L$5:$L$856,Service_Consumables!$A$5:$A$856,$A66,Service_Consumables!$E$5:$E$856,BG$5,Service_Consumables!$H$5:$H$856,"Auto-deduct")</f>
        <v>0</v>
      </c>
      <c r="BH66" s="15" t="n">
        <f aca="false">SUMIFS(Service_Consumables!$L$5:$L$856,Service_Consumables!$A$5:$A$856,$A66,Service_Consumables!$E$5:$E$856,BH$5,Service_Consumables!$H$5:$H$856,"Auto-deduct")</f>
        <v>0</v>
      </c>
      <c r="BI66" s="15" t="n">
        <f aca="false">SUMIFS(Service_Consumables!$L$5:$L$856,Service_Consumables!$A$5:$A$856,$A66,Service_Consumables!$E$5:$E$856,BI$5,Service_Consumables!$H$5:$H$856,"Auto-deduct")</f>
        <v>0</v>
      </c>
    </row>
    <row r="67" customFormat="false" ht="15" hidden="false" customHeight="false" outlineLevel="0" collapsed="false">
      <c r="A67" s="14" t="n">
        <f aca="false">Services!A66</f>
        <v>62</v>
      </c>
      <c r="B67" s="14" t="str">
        <f aca="false">Services!B66</f>
        <v>Chemical Peeling (TCA)</v>
      </c>
      <c r="C67" s="14" t="str">
        <f aca="false">Services!C66</f>
        <v>Underarms</v>
      </c>
      <c r="D67" s="15" t="n">
        <f aca="false">SUMIFS(Service_Consumables!$L$5:$L$856,Service_Consumables!$A$5:$A$856,$A67,Service_Consumables!$E$5:$E$856,D$5,Service_Consumables!$H$5:$H$856,"Auto-deduct")</f>
        <v>0</v>
      </c>
      <c r="E67" s="15" t="n">
        <f aca="false">SUMIFS(Service_Consumables!$L$5:$L$856,Service_Consumables!$A$5:$A$856,$A67,Service_Consumables!$E$5:$E$856,E$5,Service_Consumables!$H$5:$H$856,"Auto-deduct")</f>
        <v>0</v>
      </c>
      <c r="F67" s="15" t="n">
        <f aca="false">SUMIFS(Service_Consumables!$L$5:$L$856,Service_Consumables!$A$5:$A$856,$A67,Service_Consumables!$E$5:$E$856,F$5,Service_Consumables!$H$5:$H$856,"Auto-deduct")</f>
        <v>0</v>
      </c>
      <c r="G67" s="15" t="n">
        <f aca="false">SUMIFS(Service_Consumables!$L$5:$L$856,Service_Consumables!$A$5:$A$856,$A67,Service_Consumables!$E$5:$E$856,G$5,Service_Consumables!$H$5:$H$856,"Auto-deduct")</f>
        <v>0</v>
      </c>
      <c r="H67" s="15" t="n">
        <f aca="false">SUMIFS(Service_Consumables!$L$5:$L$856,Service_Consumables!$A$5:$A$856,$A67,Service_Consumables!$E$5:$E$856,H$5,Service_Consumables!$H$5:$H$856,"Auto-deduct")</f>
        <v>0</v>
      </c>
      <c r="I67" s="15" t="n">
        <f aca="false">SUMIFS(Service_Consumables!$L$5:$L$856,Service_Consumables!$A$5:$A$856,$A67,Service_Consumables!$E$5:$E$856,I$5,Service_Consumables!$H$5:$H$856,"Auto-deduct")</f>
        <v>0</v>
      </c>
      <c r="J67" s="15" t="n">
        <f aca="false">SUMIFS(Service_Consumables!$L$5:$L$856,Service_Consumables!$A$5:$A$856,$A67,Service_Consumables!$E$5:$E$856,J$5,Service_Consumables!$H$5:$H$856,"Auto-deduct")</f>
        <v>0</v>
      </c>
      <c r="K67" s="15" t="n">
        <f aca="false">SUMIFS(Service_Consumables!$L$5:$L$856,Service_Consumables!$A$5:$A$856,$A67,Service_Consumables!$E$5:$E$856,K$5,Service_Consumables!$H$5:$H$856,"Auto-deduct")</f>
        <v>0</v>
      </c>
      <c r="L67" s="15" t="n">
        <f aca="false">SUMIFS(Service_Consumables!$L$5:$L$856,Service_Consumables!$A$5:$A$856,$A67,Service_Consumables!$E$5:$E$856,L$5,Service_Consumables!$H$5:$H$856,"Auto-deduct")</f>
        <v>0</v>
      </c>
      <c r="M67" s="15" t="n">
        <f aca="false">SUMIFS(Service_Consumables!$L$5:$L$856,Service_Consumables!$A$5:$A$856,$A67,Service_Consumables!$E$5:$E$856,M$5,Service_Consumables!$H$5:$H$856,"Auto-deduct")</f>
        <v>0</v>
      </c>
      <c r="N67" s="15" t="n">
        <f aca="false">SUMIFS(Service_Consumables!$L$5:$L$856,Service_Consumables!$A$5:$A$856,$A67,Service_Consumables!$E$5:$E$856,N$5,Service_Consumables!$H$5:$H$856,"Auto-deduct")</f>
        <v>0</v>
      </c>
      <c r="O67" s="15" t="n">
        <f aca="false">SUMIFS(Service_Consumables!$L$5:$L$856,Service_Consumables!$A$5:$A$856,$A67,Service_Consumables!$E$5:$E$856,O$5,Service_Consumables!$H$5:$H$856,"Auto-deduct")</f>
        <v>0</v>
      </c>
      <c r="P67" s="15" t="n">
        <f aca="false">SUMIFS(Service_Consumables!$L$5:$L$856,Service_Consumables!$A$5:$A$856,$A67,Service_Consumables!$E$5:$E$856,P$5,Service_Consumables!$H$5:$H$856,"Auto-deduct")</f>
        <v>1</v>
      </c>
      <c r="Q67" s="15" t="n">
        <f aca="false">SUMIFS(Service_Consumables!$L$5:$L$856,Service_Consumables!$A$5:$A$856,$A67,Service_Consumables!$E$5:$E$856,Q$5,Service_Consumables!$H$5:$H$856,"Auto-deduct")</f>
        <v>1</v>
      </c>
      <c r="R67" s="15" t="n">
        <f aca="false">SUMIFS(Service_Consumables!$L$5:$L$856,Service_Consumables!$A$5:$A$856,$A67,Service_Consumables!$E$5:$E$856,R$5,Service_Consumables!$H$5:$H$856,"Auto-deduct")</f>
        <v>0</v>
      </c>
      <c r="S67" s="15" t="n">
        <f aca="false">SUMIFS(Service_Consumables!$L$5:$L$856,Service_Consumables!$A$5:$A$856,$A67,Service_Consumables!$E$5:$E$856,S$5,Service_Consumables!$H$5:$H$856,"Auto-deduct")</f>
        <v>4</v>
      </c>
      <c r="T67" s="15" t="n">
        <f aca="false">SUMIFS(Service_Consumables!$L$5:$L$856,Service_Consumables!$A$5:$A$856,$A67,Service_Consumables!$E$5:$E$856,T$5,Service_Consumables!$H$5:$H$856,"Auto-deduct")</f>
        <v>0</v>
      </c>
      <c r="U67" s="15" t="n">
        <f aca="false">SUMIFS(Service_Consumables!$L$5:$L$856,Service_Consumables!$A$5:$A$856,$A67,Service_Consumables!$E$5:$E$856,U$5,Service_Consumables!$H$5:$H$856,"Auto-deduct")</f>
        <v>0</v>
      </c>
      <c r="V67" s="15" t="n">
        <f aca="false">SUMIFS(Service_Consumables!$L$5:$L$856,Service_Consumables!$A$5:$A$856,$A67,Service_Consumables!$E$5:$E$856,V$5,Service_Consumables!$H$5:$H$856,"Auto-deduct")</f>
        <v>5</v>
      </c>
      <c r="W67" s="15" t="n">
        <f aca="false">SUMIFS(Service_Consumables!$L$5:$L$856,Service_Consumables!$A$5:$A$856,$A67,Service_Consumables!$E$5:$E$856,W$5,Service_Consumables!$H$5:$H$856,"Auto-deduct")</f>
        <v>6</v>
      </c>
      <c r="X67" s="15" t="n">
        <f aca="false">SUMIFS(Service_Consumables!$L$5:$L$856,Service_Consumables!$A$5:$A$856,$A67,Service_Consumables!$E$5:$E$856,X$5,Service_Consumables!$H$5:$H$856,"Auto-deduct")</f>
        <v>0</v>
      </c>
      <c r="Y67" s="15" t="n">
        <f aca="false">SUMIFS(Service_Consumables!$L$5:$L$856,Service_Consumables!$A$5:$A$856,$A67,Service_Consumables!$E$5:$E$856,Y$5,Service_Consumables!$H$5:$H$856,"Auto-deduct")</f>
        <v>0</v>
      </c>
      <c r="Z67" s="15" t="n">
        <f aca="false">SUMIFS(Service_Consumables!$L$5:$L$856,Service_Consumables!$A$5:$A$856,$A67,Service_Consumables!$E$5:$E$856,Z$5,Service_Consumables!$H$5:$H$856,"Auto-deduct")</f>
        <v>0</v>
      </c>
      <c r="AA67" s="15" t="n">
        <f aca="false">SUMIFS(Service_Consumables!$L$5:$L$856,Service_Consumables!$A$5:$A$856,$A67,Service_Consumables!$E$5:$E$856,AA$5,Service_Consumables!$H$5:$H$856,"Auto-deduct")</f>
        <v>4</v>
      </c>
      <c r="AB67" s="15" t="n">
        <f aca="false">SUMIFS(Service_Consumables!$L$5:$L$856,Service_Consumables!$A$5:$A$856,$A67,Service_Consumables!$E$5:$E$856,AB$5,Service_Consumables!$H$5:$H$856,"Auto-deduct")</f>
        <v>0</v>
      </c>
      <c r="AC67" s="15" t="n">
        <f aca="false">SUMIFS(Service_Consumables!$L$5:$L$856,Service_Consumables!$A$5:$A$856,$A67,Service_Consumables!$E$5:$E$856,AC$5,Service_Consumables!$H$5:$H$856,"Auto-deduct")</f>
        <v>2</v>
      </c>
      <c r="AD67" s="15" t="n">
        <f aca="false">SUMIFS(Service_Consumables!$L$5:$L$856,Service_Consumables!$A$5:$A$856,$A67,Service_Consumables!$E$5:$E$856,AD$5,Service_Consumables!$H$5:$H$856,"Auto-deduct")</f>
        <v>5</v>
      </c>
      <c r="AE67" s="15" t="n">
        <f aca="false">SUMIFS(Service_Consumables!$L$5:$L$856,Service_Consumables!$A$5:$A$856,$A67,Service_Consumables!$E$5:$E$856,AE$5,Service_Consumables!$H$5:$H$856,"Auto-deduct")</f>
        <v>0</v>
      </c>
      <c r="AF67" s="15" t="n">
        <f aca="false">SUMIFS(Service_Consumables!$L$5:$L$856,Service_Consumables!$A$5:$A$856,$A67,Service_Consumables!$E$5:$E$856,AF$5,Service_Consumables!$H$5:$H$856,"Auto-deduct")</f>
        <v>5</v>
      </c>
      <c r="AG67" s="15" t="n">
        <f aca="false">SUMIFS(Service_Consumables!$L$5:$L$856,Service_Consumables!$A$5:$A$856,$A67,Service_Consumables!$E$5:$E$856,AG$5,Service_Consumables!$H$5:$H$856,"Auto-deduct")</f>
        <v>0</v>
      </c>
      <c r="AH67" s="15" t="n">
        <f aca="false">SUMIFS(Service_Consumables!$L$5:$L$856,Service_Consumables!$A$5:$A$856,$A67,Service_Consumables!$E$5:$E$856,AH$5,Service_Consumables!$H$5:$H$856,"Auto-deduct")</f>
        <v>0</v>
      </c>
      <c r="AI67" s="15" t="n">
        <f aca="false">SUMIFS(Service_Consumables!$L$5:$L$856,Service_Consumables!$A$5:$A$856,$A67,Service_Consumables!$E$5:$E$856,AI$5,Service_Consumables!$H$5:$H$856,"Auto-deduct")</f>
        <v>0</v>
      </c>
      <c r="AJ67" s="15" t="n">
        <f aca="false">SUMIFS(Service_Consumables!$L$5:$L$856,Service_Consumables!$A$5:$A$856,$A67,Service_Consumables!$E$5:$E$856,AJ$5,Service_Consumables!$H$5:$H$856,"Auto-deduct")</f>
        <v>0</v>
      </c>
      <c r="AK67" s="15" t="n">
        <f aca="false">SUMIFS(Service_Consumables!$L$5:$L$856,Service_Consumables!$A$5:$A$856,$A67,Service_Consumables!$E$5:$E$856,AK$5,Service_Consumables!$H$5:$H$856,"Auto-deduct")</f>
        <v>0</v>
      </c>
      <c r="AL67" s="15" t="n">
        <f aca="false">SUMIFS(Service_Consumables!$L$5:$L$856,Service_Consumables!$A$5:$A$856,$A67,Service_Consumables!$E$5:$E$856,AL$5,Service_Consumables!$H$5:$H$856,"Auto-deduct")</f>
        <v>0</v>
      </c>
      <c r="AM67" s="15" t="n">
        <f aca="false">SUMIFS(Service_Consumables!$L$5:$L$856,Service_Consumables!$A$5:$A$856,$A67,Service_Consumables!$E$5:$E$856,AM$5,Service_Consumables!$H$5:$H$856,"Auto-deduct")</f>
        <v>0</v>
      </c>
      <c r="AN67" s="15" t="n">
        <f aca="false">SUMIFS(Service_Consumables!$L$5:$L$856,Service_Consumables!$A$5:$A$856,$A67,Service_Consumables!$E$5:$E$856,AN$5,Service_Consumables!$H$5:$H$856,"Auto-deduct")</f>
        <v>0</v>
      </c>
      <c r="AO67" s="15" t="n">
        <f aca="false">SUMIFS(Service_Consumables!$L$5:$L$856,Service_Consumables!$A$5:$A$856,$A67,Service_Consumables!$E$5:$E$856,AO$5,Service_Consumables!$H$5:$H$856,"Auto-deduct")</f>
        <v>20</v>
      </c>
      <c r="AP67" s="15" t="n">
        <f aca="false">SUMIFS(Service_Consumables!$L$5:$L$856,Service_Consumables!$A$5:$A$856,$A67,Service_Consumables!$E$5:$E$856,AP$5,Service_Consumables!$H$5:$H$856,"Auto-deduct")</f>
        <v>0</v>
      </c>
      <c r="AQ67" s="15" t="n">
        <f aca="false">SUMIFS(Service_Consumables!$L$5:$L$856,Service_Consumables!$A$5:$A$856,$A67,Service_Consumables!$E$5:$E$856,AQ$5,Service_Consumables!$H$5:$H$856,"Auto-deduct")</f>
        <v>0</v>
      </c>
      <c r="AR67" s="15" t="n">
        <f aca="false">SUMIFS(Service_Consumables!$L$5:$L$856,Service_Consumables!$A$5:$A$856,$A67,Service_Consumables!$E$5:$E$856,AR$5,Service_Consumables!$H$5:$H$856,"Auto-deduct")</f>
        <v>0</v>
      </c>
      <c r="AS67" s="15" t="n">
        <f aca="false">SUMIFS(Service_Consumables!$L$5:$L$856,Service_Consumables!$A$5:$A$856,$A67,Service_Consumables!$E$5:$E$856,AS$5,Service_Consumables!$H$5:$H$856,"Auto-deduct")</f>
        <v>0</v>
      </c>
      <c r="AT67" s="15" t="n">
        <f aca="false">SUMIFS(Service_Consumables!$L$5:$L$856,Service_Consumables!$A$5:$A$856,$A67,Service_Consumables!$E$5:$E$856,AT$5,Service_Consumables!$H$5:$H$856,"Auto-deduct")</f>
        <v>0</v>
      </c>
      <c r="AU67" s="15" t="n">
        <f aca="false">SUMIFS(Service_Consumables!$L$5:$L$856,Service_Consumables!$A$5:$A$856,$A67,Service_Consumables!$E$5:$E$856,AU$5,Service_Consumables!$H$5:$H$856,"Auto-deduct")</f>
        <v>0</v>
      </c>
      <c r="AV67" s="15" t="n">
        <f aca="false">SUMIFS(Service_Consumables!$L$5:$L$856,Service_Consumables!$A$5:$A$856,$A67,Service_Consumables!$E$5:$E$856,AV$5,Service_Consumables!$H$5:$H$856,"Auto-deduct")</f>
        <v>0</v>
      </c>
      <c r="AW67" s="15" t="n">
        <f aca="false">SUMIFS(Service_Consumables!$L$5:$L$856,Service_Consumables!$A$5:$A$856,$A67,Service_Consumables!$E$5:$E$856,AW$5,Service_Consumables!$H$5:$H$856,"Auto-deduct")</f>
        <v>0</v>
      </c>
      <c r="AX67" s="15" t="n">
        <f aca="false">SUMIFS(Service_Consumables!$L$5:$L$856,Service_Consumables!$A$5:$A$856,$A67,Service_Consumables!$E$5:$E$856,AX$5,Service_Consumables!$H$5:$H$856,"Auto-deduct")</f>
        <v>0</v>
      </c>
      <c r="AY67" s="15" t="n">
        <f aca="false">SUMIFS(Service_Consumables!$L$5:$L$856,Service_Consumables!$A$5:$A$856,$A67,Service_Consumables!$E$5:$E$856,AY$5,Service_Consumables!$H$5:$H$856,"Auto-deduct")</f>
        <v>0</v>
      </c>
      <c r="AZ67" s="15" t="n">
        <f aca="false">SUMIFS(Service_Consumables!$L$5:$L$856,Service_Consumables!$A$5:$A$856,$A67,Service_Consumables!$E$5:$E$856,AZ$5,Service_Consumables!$H$5:$H$856,"Auto-deduct")</f>
        <v>0</v>
      </c>
      <c r="BA67" s="15" t="n">
        <f aca="false">SUMIFS(Service_Consumables!$L$5:$L$856,Service_Consumables!$A$5:$A$856,$A67,Service_Consumables!$E$5:$E$856,BA$5,Service_Consumables!$H$5:$H$856,"Auto-deduct")</f>
        <v>3</v>
      </c>
      <c r="BB67" s="15" t="n">
        <f aca="false">SUMIFS(Service_Consumables!$L$5:$L$856,Service_Consumables!$A$5:$A$856,$A67,Service_Consumables!$E$5:$E$856,BB$5,Service_Consumables!$H$5:$H$856,"Auto-deduct")</f>
        <v>0</v>
      </c>
      <c r="BC67" s="15" t="n">
        <f aca="false">SUMIFS(Service_Consumables!$L$5:$L$856,Service_Consumables!$A$5:$A$856,$A67,Service_Consumables!$E$5:$E$856,BC$5,Service_Consumables!$H$5:$H$856,"Auto-deduct")</f>
        <v>0</v>
      </c>
      <c r="BD67" s="15" t="n">
        <f aca="false">SUMIFS(Service_Consumables!$L$5:$L$856,Service_Consumables!$A$5:$A$856,$A67,Service_Consumables!$E$5:$E$856,BD$5,Service_Consumables!$H$5:$H$856,"Auto-deduct")</f>
        <v>0</v>
      </c>
      <c r="BE67" s="15" t="n">
        <f aca="false">SUMIFS(Service_Consumables!$L$5:$L$856,Service_Consumables!$A$5:$A$856,$A67,Service_Consumables!$E$5:$E$856,BE$5,Service_Consumables!$H$5:$H$856,"Auto-deduct")</f>
        <v>0</v>
      </c>
      <c r="BF67" s="15" t="n">
        <f aca="false">SUMIFS(Service_Consumables!$L$5:$L$856,Service_Consumables!$A$5:$A$856,$A67,Service_Consumables!$E$5:$E$856,BF$5,Service_Consumables!$H$5:$H$856,"Auto-deduct")</f>
        <v>0</v>
      </c>
      <c r="BG67" s="15" t="n">
        <f aca="false">SUMIFS(Service_Consumables!$L$5:$L$856,Service_Consumables!$A$5:$A$856,$A67,Service_Consumables!$E$5:$E$856,BG$5,Service_Consumables!$H$5:$H$856,"Auto-deduct")</f>
        <v>0</v>
      </c>
      <c r="BH67" s="15" t="n">
        <f aca="false">SUMIFS(Service_Consumables!$L$5:$L$856,Service_Consumables!$A$5:$A$856,$A67,Service_Consumables!$E$5:$E$856,BH$5,Service_Consumables!$H$5:$H$856,"Auto-deduct")</f>
        <v>0</v>
      </c>
      <c r="BI67" s="15" t="n">
        <f aca="false">SUMIFS(Service_Consumables!$L$5:$L$856,Service_Consumables!$A$5:$A$856,$A67,Service_Consumables!$E$5:$E$856,BI$5,Service_Consumables!$H$5:$H$856,"Auto-deduct")</f>
        <v>0</v>
      </c>
    </row>
    <row r="68" customFormat="false" ht="15" hidden="false" customHeight="false" outlineLevel="0" collapsed="false">
      <c r="A68" s="14" t="n">
        <f aca="false">Services!A67</f>
        <v>63</v>
      </c>
      <c r="B68" s="14" t="str">
        <f aca="false">Services!B67</f>
        <v>Chemical Peeling (TCA)</v>
      </c>
      <c r="C68" s="14" t="str">
        <f aca="false">Services!C67</f>
        <v>Elbow</v>
      </c>
      <c r="D68" s="15" t="n">
        <f aca="false">SUMIFS(Service_Consumables!$L$5:$L$856,Service_Consumables!$A$5:$A$856,$A68,Service_Consumables!$E$5:$E$856,D$5,Service_Consumables!$H$5:$H$856,"Auto-deduct")</f>
        <v>0</v>
      </c>
      <c r="E68" s="15" t="n">
        <f aca="false">SUMIFS(Service_Consumables!$L$5:$L$856,Service_Consumables!$A$5:$A$856,$A68,Service_Consumables!$E$5:$E$856,E$5,Service_Consumables!$H$5:$H$856,"Auto-deduct")</f>
        <v>0</v>
      </c>
      <c r="F68" s="15" t="n">
        <f aca="false">SUMIFS(Service_Consumables!$L$5:$L$856,Service_Consumables!$A$5:$A$856,$A68,Service_Consumables!$E$5:$E$856,F$5,Service_Consumables!$H$5:$H$856,"Auto-deduct")</f>
        <v>0</v>
      </c>
      <c r="G68" s="15" t="n">
        <f aca="false">SUMIFS(Service_Consumables!$L$5:$L$856,Service_Consumables!$A$5:$A$856,$A68,Service_Consumables!$E$5:$E$856,G$5,Service_Consumables!$H$5:$H$856,"Auto-deduct")</f>
        <v>0</v>
      </c>
      <c r="H68" s="15" t="n">
        <f aca="false">SUMIFS(Service_Consumables!$L$5:$L$856,Service_Consumables!$A$5:$A$856,$A68,Service_Consumables!$E$5:$E$856,H$5,Service_Consumables!$H$5:$H$856,"Auto-deduct")</f>
        <v>0</v>
      </c>
      <c r="I68" s="15" t="n">
        <f aca="false">SUMIFS(Service_Consumables!$L$5:$L$856,Service_Consumables!$A$5:$A$856,$A68,Service_Consumables!$E$5:$E$856,I$5,Service_Consumables!$H$5:$H$856,"Auto-deduct")</f>
        <v>0</v>
      </c>
      <c r="J68" s="15" t="n">
        <f aca="false">SUMIFS(Service_Consumables!$L$5:$L$856,Service_Consumables!$A$5:$A$856,$A68,Service_Consumables!$E$5:$E$856,J$5,Service_Consumables!$H$5:$H$856,"Auto-deduct")</f>
        <v>0</v>
      </c>
      <c r="K68" s="15" t="n">
        <f aca="false">SUMIFS(Service_Consumables!$L$5:$L$856,Service_Consumables!$A$5:$A$856,$A68,Service_Consumables!$E$5:$E$856,K$5,Service_Consumables!$H$5:$H$856,"Auto-deduct")</f>
        <v>0</v>
      </c>
      <c r="L68" s="15" t="n">
        <f aca="false">SUMIFS(Service_Consumables!$L$5:$L$856,Service_Consumables!$A$5:$A$856,$A68,Service_Consumables!$E$5:$E$856,L$5,Service_Consumables!$H$5:$H$856,"Auto-deduct")</f>
        <v>0</v>
      </c>
      <c r="M68" s="15" t="n">
        <f aca="false">SUMIFS(Service_Consumables!$L$5:$L$856,Service_Consumables!$A$5:$A$856,$A68,Service_Consumables!$E$5:$E$856,M$5,Service_Consumables!$H$5:$H$856,"Auto-deduct")</f>
        <v>0</v>
      </c>
      <c r="N68" s="15" t="n">
        <f aca="false">SUMIFS(Service_Consumables!$L$5:$L$856,Service_Consumables!$A$5:$A$856,$A68,Service_Consumables!$E$5:$E$856,N$5,Service_Consumables!$H$5:$H$856,"Auto-deduct")</f>
        <v>0</v>
      </c>
      <c r="O68" s="15" t="n">
        <f aca="false">SUMIFS(Service_Consumables!$L$5:$L$856,Service_Consumables!$A$5:$A$856,$A68,Service_Consumables!$E$5:$E$856,O$5,Service_Consumables!$H$5:$H$856,"Auto-deduct")</f>
        <v>0</v>
      </c>
      <c r="P68" s="15" t="n">
        <f aca="false">SUMIFS(Service_Consumables!$L$5:$L$856,Service_Consumables!$A$5:$A$856,$A68,Service_Consumables!$E$5:$E$856,P$5,Service_Consumables!$H$5:$H$856,"Auto-deduct")</f>
        <v>1</v>
      </c>
      <c r="Q68" s="15" t="n">
        <f aca="false">SUMIFS(Service_Consumables!$L$5:$L$856,Service_Consumables!$A$5:$A$856,$A68,Service_Consumables!$E$5:$E$856,Q$5,Service_Consumables!$H$5:$H$856,"Auto-deduct")</f>
        <v>1</v>
      </c>
      <c r="R68" s="15" t="n">
        <f aca="false">SUMIFS(Service_Consumables!$L$5:$L$856,Service_Consumables!$A$5:$A$856,$A68,Service_Consumables!$E$5:$E$856,R$5,Service_Consumables!$H$5:$H$856,"Auto-deduct")</f>
        <v>0</v>
      </c>
      <c r="S68" s="15" t="n">
        <f aca="false">SUMIFS(Service_Consumables!$L$5:$L$856,Service_Consumables!$A$5:$A$856,$A68,Service_Consumables!$E$5:$E$856,S$5,Service_Consumables!$H$5:$H$856,"Auto-deduct")</f>
        <v>4</v>
      </c>
      <c r="T68" s="15" t="n">
        <f aca="false">SUMIFS(Service_Consumables!$L$5:$L$856,Service_Consumables!$A$5:$A$856,$A68,Service_Consumables!$E$5:$E$856,T$5,Service_Consumables!$H$5:$H$856,"Auto-deduct")</f>
        <v>0</v>
      </c>
      <c r="U68" s="15" t="n">
        <f aca="false">SUMIFS(Service_Consumables!$L$5:$L$856,Service_Consumables!$A$5:$A$856,$A68,Service_Consumables!$E$5:$E$856,U$5,Service_Consumables!$H$5:$H$856,"Auto-deduct")</f>
        <v>0</v>
      </c>
      <c r="V68" s="15" t="n">
        <f aca="false">SUMIFS(Service_Consumables!$L$5:$L$856,Service_Consumables!$A$5:$A$856,$A68,Service_Consumables!$E$5:$E$856,V$5,Service_Consumables!$H$5:$H$856,"Auto-deduct")</f>
        <v>5</v>
      </c>
      <c r="W68" s="15" t="n">
        <f aca="false">SUMIFS(Service_Consumables!$L$5:$L$856,Service_Consumables!$A$5:$A$856,$A68,Service_Consumables!$E$5:$E$856,W$5,Service_Consumables!$H$5:$H$856,"Auto-deduct")</f>
        <v>6</v>
      </c>
      <c r="X68" s="15" t="n">
        <f aca="false">SUMIFS(Service_Consumables!$L$5:$L$856,Service_Consumables!$A$5:$A$856,$A68,Service_Consumables!$E$5:$E$856,X$5,Service_Consumables!$H$5:$H$856,"Auto-deduct")</f>
        <v>0</v>
      </c>
      <c r="Y68" s="15" t="n">
        <f aca="false">SUMIFS(Service_Consumables!$L$5:$L$856,Service_Consumables!$A$5:$A$856,$A68,Service_Consumables!$E$5:$E$856,Y$5,Service_Consumables!$H$5:$H$856,"Auto-deduct")</f>
        <v>0</v>
      </c>
      <c r="Z68" s="15" t="n">
        <f aca="false">SUMIFS(Service_Consumables!$L$5:$L$856,Service_Consumables!$A$5:$A$856,$A68,Service_Consumables!$E$5:$E$856,Z$5,Service_Consumables!$H$5:$H$856,"Auto-deduct")</f>
        <v>0</v>
      </c>
      <c r="AA68" s="15" t="n">
        <f aca="false">SUMIFS(Service_Consumables!$L$5:$L$856,Service_Consumables!$A$5:$A$856,$A68,Service_Consumables!$E$5:$E$856,AA$5,Service_Consumables!$H$5:$H$856,"Auto-deduct")</f>
        <v>4</v>
      </c>
      <c r="AB68" s="15" t="n">
        <f aca="false">SUMIFS(Service_Consumables!$L$5:$L$856,Service_Consumables!$A$5:$A$856,$A68,Service_Consumables!$E$5:$E$856,AB$5,Service_Consumables!$H$5:$H$856,"Auto-deduct")</f>
        <v>0</v>
      </c>
      <c r="AC68" s="15" t="n">
        <f aca="false">SUMIFS(Service_Consumables!$L$5:$L$856,Service_Consumables!$A$5:$A$856,$A68,Service_Consumables!$E$5:$E$856,AC$5,Service_Consumables!$H$5:$H$856,"Auto-deduct")</f>
        <v>2</v>
      </c>
      <c r="AD68" s="15" t="n">
        <f aca="false">SUMIFS(Service_Consumables!$L$5:$L$856,Service_Consumables!$A$5:$A$856,$A68,Service_Consumables!$E$5:$E$856,AD$5,Service_Consumables!$H$5:$H$856,"Auto-deduct")</f>
        <v>5</v>
      </c>
      <c r="AE68" s="15" t="n">
        <f aca="false">SUMIFS(Service_Consumables!$L$5:$L$856,Service_Consumables!$A$5:$A$856,$A68,Service_Consumables!$E$5:$E$856,AE$5,Service_Consumables!$H$5:$H$856,"Auto-deduct")</f>
        <v>0</v>
      </c>
      <c r="AF68" s="15" t="n">
        <f aca="false">SUMIFS(Service_Consumables!$L$5:$L$856,Service_Consumables!$A$5:$A$856,$A68,Service_Consumables!$E$5:$E$856,AF$5,Service_Consumables!$H$5:$H$856,"Auto-deduct")</f>
        <v>5</v>
      </c>
      <c r="AG68" s="15" t="n">
        <f aca="false">SUMIFS(Service_Consumables!$L$5:$L$856,Service_Consumables!$A$5:$A$856,$A68,Service_Consumables!$E$5:$E$856,AG$5,Service_Consumables!$H$5:$H$856,"Auto-deduct")</f>
        <v>0</v>
      </c>
      <c r="AH68" s="15" t="n">
        <f aca="false">SUMIFS(Service_Consumables!$L$5:$L$856,Service_Consumables!$A$5:$A$856,$A68,Service_Consumables!$E$5:$E$856,AH$5,Service_Consumables!$H$5:$H$856,"Auto-deduct")</f>
        <v>0</v>
      </c>
      <c r="AI68" s="15" t="n">
        <f aca="false">SUMIFS(Service_Consumables!$L$5:$L$856,Service_Consumables!$A$5:$A$856,$A68,Service_Consumables!$E$5:$E$856,AI$5,Service_Consumables!$H$5:$H$856,"Auto-deduct")</f>
        <v>0</v>
      </c>
      <c r="AJ68" s="15" t="n">
        <f aca="false">SUMIFS(Service_Consumables!$L$5:$L$856,Service_Consumables!$A$5:$A$856,$A68,Service_Consumables!$E$5:$E$856,AJ$5,Service_Consumables!$H$5:$H$856,"Auto-deduct")</f>
        <v>0</v>
      </c>
      <c r="AK68" s="15" t="n">
        <f aca="false">SUMIFS(Service_Consumables!$L$5:$L$856,Service_Consumables!$A$5:$A$856,$A68,Service_Consumables!$E$5:$E$856,AK$5,Service_Consumables!$H$5:$H$856,"Auto-deduct")</f>
        <v>0</v>
      </c>
      <c r="AL68" s="15" t="n">
        <f aca="false">SUMIFS(Service_Consumables!$L$5:$L$856,Service_Consumables!$A$5:$A$856,$A68,Service_Consumables!$E$5:$E$856,AL$5,Service_Consumables!$H$5:$H$856,"Auto-deduct")</f>
        <v>0</v>
      </c>
      <c r="AM68" s="15" t="n">
        <f aca="false">SUMIFS(Service_Consumables!$L$5:$L$856,Service_Consumables!$A$5:$A$856,$A68,Service_Consumables!$E$5:$E$856,AM$5,Service_Consumables!$H$5:$H$856,"Auto-deduct")</f>
        <v>0</v>
      </c>
      <c r="AN68" s="15" t="n">
        <f aca="false">SUMIFS(Service_Consumables!$L$5:$L$856,Service_Consumables!$A$5:$A$856,$A68,Service_Consumables!$E$5:$E$856,AN$5,Service_Consumables!$H$5:$H$856,"Auto-deduct")</f>
        <v>0</v>
      </c>
      <c r="AO68" s="15" t="n">
        <f aca="false">SUMIFS(Service_Consumables!$L$5:$L$856,Service_Consumables!$A$5:$A$856,$A68,Service_Consumables!$E$5:$E$856,AO$5,Service_Consumables!$H$5:$H$856,"Auto-deduct")</f>
        <v>20</v>
      </c>
      <c r="AP68" s="15" t="n">
        <f aca="false">SUMIFS(Service_Consumables!$L$5:$L$856,Service_Consumables!$A$5:$A$856,$A68,Service_Consumables!$E$5:$E$856,AP$5,Service_Consumables!$H$5:$H$856,"Auto-deduct")</f>
        <v>0</v>
      </c>
      <c r="AQ68" s="15" t="n">
        <f aca="false">SUMIFS(Service_Consumables!$L$5:$L$856,Service_Consumables!$A$5:$A$856,$A68,Service_Consumables!$E$5:$E$856,AQ$5,Service_Consumables!$H$5:$H$856,"Auto-deduct")</f>
        <v>0</v>
      </c>
      <c r="AR68" s="15" t="n">
        <f aca="false">SUMIFS(Service_Consumables!$L$5:$L$856,Service_Consumables!$A$5:$A$856,$A68,Service_Consumables!$E$5:$E$856,AR$5,Service_Consumables!$H$5:$H$856,"Auto-deduct")</f>
        <v>0</v>
      </c>
      <c r="AS68" s="15" t="n">
        <f aca="false">SUMIFS(Service_Consumables!$L$5:$L$856,Service_Consumables!$A$5:$A$856,$A68,Service_Consumables!$E$5:$E$856,AS$5,Service_Consumables!$H$5:$H$856,"Auto-deduct")</f>
        <v>0</v>
      </c>
      <c r="AT68" s="15" t="n">
        <f aca="false">SUMIFS(Service_Consumables!$L$5:$L$856,Service_Consumables!$A$5:$A$856,$A68,Service_Consumables!$E$5:$E$856,AT$5,Service_Consumables!$H$5:$H$856,"Auto-deduct")</f>
        <v>0</v>
      </c>
      <c r="AU68" s="15" t="n">
        <f aca="false">SUMIFS(Service_Consumables!$L$5:$L$856,Service_Consumables!$A$5:$A$856,$A68,Service_Consumables!$E$5:$E$856,AU$5,Service_Consumables!$H$5:$H$856,"Auto-deduct")</f>
        <v>0</v>
      </c>
      <c r="AV68" s="15" t="n">
        <f aca="false">SUMIFS(Service_Consumables!$L$5:$L$856,Service_Consumables!$A$5:$A$856,$A68,Service_Consumables!$E$5:$E$856,AV$5,Service_Consumables!$H$5:$H$856,"Auto-deduct")</f>
        <v>0</v>
      </c>
      <c r="AW68" s="15" t="n">
        <f aca="false">SUMIFS(Service_Consumables!$L$5:$L$856,Service_Consumables!$A$5:$A$856,$A68,Service_Consumables!$E$5:$E$856,AW$5,Service_Consumables!$H$5:$H$856,"Auto-deduct")</f>
        <v>0</v>
      </c>
      <c r="AX68" s="15" t="n">
        <f aca="false">SUMIFS(Service_Consumables!$L$5:$L$856,Service_Consumables!$A$5:$A$856,$A68,Service_Consumables!$E$5:$E$856,AX$5,Service_Consumables!$H$5:$H$856,"Auto-deduct")</f>
        <v>0</v>
      </c>
      <c r="AY68" s="15" t="n">
        <f aca="false">SUMIFS(Service_Consumables!$L$5:$L$856,Service_Consumables!$A$5:$A$856,$A68,Service_Consumables!$E$5:$E$856,AY$5,Service_Consumables!$H$5:$H$856,"Auto-deduct")</f>
        <v>0</v>
      </c>
      <c r="AZ68" s="15" t="n">
        <f aca="false">SUMIFS(Service_Consumables!$L$5:$L$856,Service_Consumables!$A$5:$A$856,$A68,Service_Consumables!$E$5:$E$856,AZ$5,Service_Consumables!$H$5:$H$856,"Auto-deduct")</f>
        <v>0</v>
      </c>
      <c r="BA68" s="15" t="n">
        <f aca="false">SUMIFS(Service_Consumables!$L$5:$L$856,Service_Consumables!$A$5:$A$856,$A68,Service_Consumables!$E$5:$E$856,BA$5,Service_Consumables!$H$5:$H$856,"Auto-deduct")</f>
        <v>3</v>
      </c>
      <c r="BB68" s="15" t="n">
        <f aca="false">SUMIFS(Service_Consumables!$L$5:$L$856,Service_Consumables!$A$5:$A$856,$A68,Service_Consumables!$E$5:$E$856,BB$5,Service_Consumables!$H$5:$H$856,"Auto-deduct")</f>
        <v>0</v>
      </c>
      <c r="BC68" s="15" t="n">
        <f aca="false">SUMIFS(Service_Consumables!$L$5:$L$856,Service_Consumables!$A$5:$A$856,$A68,Service_Consumables!$E$5:$E$856,BC$5,Service_Consumables!$H$5:$H$856,"Auto-deduct")</f>
        <v>0</v>
      </c>
      <c r="BD68" s="15" t="n">
        <f aca="false">SUMIFS(Service_Consumables!$L$5:$L$856,Service_Consumables!$A$5:$A$856,$A68,Service_Consumables!$E$5:$E$856,BD$5,Service_Consumables!$H$5:$H$856,"Auto-deduct")</f>
        <v>0</v>
      </c>
      <c r="BE68" s="15" t="n">
        <f aca="false">SUMIFS(Service_Consumables!$L$5:$L$856,Service_Consumables!$A$5:$A$856,$A68,Service_Consumables!$E$5:$E$856,BE$5,Service_Consumables!$H$5:$H$856,"Auto-deduct")</f>
        <v>0</v>
      </c>
      <c r="BF68" s="15" t="n">
        <f aca="false">SUMIFS(Service_Consumables!$L$5:$L$856,Service_Consumables!$A$5:$A$856,$A68,Service_Consumables!$E$5:$E$856,BF$5,Service_Consumables!$H$5:$H$856,"Auto-deduct")</f>
        <v>0</v>
      </c>
      <c r="BG68" s="15" t="n">
        <f aca="false">SUMIFS(Service_Consumables!$L$5:$L$856,Service_Consumables!$A$5:$A$856,$A68,Service_Consumables!$E$5:$E$856,BG$5,Service_Consumables!$H$5:$H$856,"Auto-deduct")</f>
        <v>0</v>
      </c>
      <c r="BH68" s="15" t="n">
        <f aca="false">SUMIFS(Service_Consumables!$L$5:$L$856,Service_Consumables!$A$5:$A$856,$A68,Service_Consumables!$E$5:$E$856,BH$5,Service_Consumables!$H$5:$H$856,"Auto-deduct")</f>
        <v>0</v>
      </c>
      <c r="BI68" s="15" t="n">
        <f aca="false">SUMIFS(Service_Consumables!$L$5:$L$856,Service_Consumables!$A$5:$A$856,$A68,Service_Consumables!$E$5:$E$856,BI$5,Service_Consumables!$H$5:$H$856,"Auto-deduct")</f>
        <v>0</v>
      </c>
    </row>
    <row r="69" customFormat="false" ht="15" hidden="false" customHeight="false" outlineLevel="0" collapsed="false">
      <c r="A69" s="14" t="n">
        <f aca="false">Services!A68</f>
        <v>64</v>
      </c>
      <c r="B69" s="14" t="str">
        <f aca="false">Services!B68</f>
        <v>Chemical Peeling (TCA)</v>
      </c>
      <c r="C69" s="14" t="str">
        <f aca="false">Services!C68</f>
        <v>Hands</v>
      </c>
      <c r="D69" s="15" t="n">
        <f aca="false">SUMIFS(Service_Consumables!$L$5:$L$856,Service_Consumables!$A$5:$A$856,$A69,Service_Consumables!$E$5:$E$856,D$5,Service_Consumables!$H$5:$H$856,"Auto-deduct")</f>
        <v>0</v>
      </c>
      <c r="E69" s="15" t="n">
        <f aca="false">SUMIFS(Service_Consumables!$L$5:$L$856,Service_Consumables!$A$5:$A$856,$A69,Service_Consumables!$E$5:$E$856,E$5,Service_Consumables!$H$5:$H$856,"Auto-deduct")</f>
        <v>0</v>
      </c>
      <c r="F69" s="15" t="n">
        <f aca="false">SUMIFS(Service_Consumables!$L$5:$L$856,Service_Consumables!$A$5:$A$856,$A69,Service_Consumables!$E$5:$E$856,F$5,Service_Consumables!$H$5:$H$856,"Auto-deduct")</f>
        <v>0</v>
      </c>
      <c r="G69" s="15" t="n">
        <f aca="false">SUMIFS(Service_Consumables!$L$5:$L$856,Service_Consumables!$A$5:$A$856,$A69,Service_Consumables!$E$5:$E$856,G$5,Service_Consumables!$H$5:$H$856,"Auto-deduct")</f>
        <v>0</v>
      </c>
      <c r="H69" s="15" t="n">
        <f aca="false">SUMIFS(Service_Consumables!$L$5:$L$856,Service_Consumables!$A$5:$A$856,$A69,Service_Consumables!$E$5:$E$856,H$5,Service_Consumables!$H$5:$H$856,"Auto-deduct")</f>
        <v>0</v>
      </c>
      <c r="I69" s="15" t="n">
        <f aca="false">SUMIFS(Service_Consumables!$L$5:$L$856,Service_Consumables!$A$5:$A$856,$A69,Service_Consumables!$E$5:$E$856,I$5,Service_Consumables!$H$5:$H$856,"Auto-deduct")</f>
        <v>0</v>
      </c>
      <c r="J69" s="15" t="n">
        <f aca="false">SUMIFS(Service_Consumables!$L$5:$L$856,Service_Consumables!$A$5:$A$856,$A69,Service_Consumables!$E$5:$E$856,J$5,Service_Consumables!$H$5:$H$856,"Auto-deduct")</f>
        <v>0</v>
      </c>
      <c r="K69" s="15" t="n">
        <f aca="false">SUMIFS(Service_Consumables!$L$5:$L$856,Service_Consumables!$A$5:$A$856,$A69,Service_Consumables!$E$5:$E$856,K$5,Service_Consumables!$H$5:$H$856,"Auto-deduct")</f>
        <v>0</v>
      </c>
      <c r="L69" s="15" t="n">
        <f aca="false">SUMIFS(Service_Consumables!$L$5:$L$856,Service_Consumables!$A$5:$A$856,$A69,Service_Consumables!$E$5:$E$856,L$5,Service_Consumables!$H$5:$H$856,"Auto-deduct")</f>
        <v>0</v>
      </c>
      <c r="M69" s="15" t="n">
        <f aca="false">SUMIFS(Service_Consumables!$L$5:$L$856,Service_Consumables!$A$5:$A$856,$A69,Service_Consumables!$E$5:$E$856,M$5,Service_Consumables!$H$5:$H$856,"Auto-deduct")</f>
        <v>0</v>
      </c>
      <c r="N69" s="15" t="n">
        <f aca="false">SUMIFS(Service_Consumables!$L$5:$L$856,Service_Consumables!$A$5:$A$856,$A69,Service_Consumables!$E$5:$E$856,N$5,Service_Consumables!$H$5:$H$856,"Auto-deduct")</f>
        <v>0</v>
      </c>
      <c r="O69" s="15" t="n">
        <f aca="false">SUMIFS(Service_Consumables!$L$5:$L$856,Service_Consumables!$A$5:$A$856,$A69,Service_Consumables!$E$5:$E$856,O$5,Service_Consumables!$H$5:$H$856,"Auto-deduct")</f>
        <v>0</v>
      </c>
      <c r="P69" s="15" t="n">
        <f aca="false">SUMIFS(Service_Consumables!$L$5:$L$856,Service_Consumables!$A$5:$A$856,$A69,Service_Consumables!$E$5:$E$856,P$5,Service_Consumables!$H$5:$H$856,"Auto-deduct")</f>
        <v>1</v>
      </c>
      <c r="Q69" s="15" t="n">
        <f aca="false">SUMIFS(Service_Consumables!$L$5:$L$856,Service_Consumables!$A$5:$A$856,$A69,Service_Consumables!$E$5:$E$856,Q$5,Service_Consumables!$H$5:$H$856,"Auto-deduct")</f>
        <v>1</v>
      </c>
      <c r="R69" s="15" t="n">
        <f aca="false">SUMIFS(Service_Consumables!$L$5:$L$856,Service_Consumables!$A$5:$A$856,$A69,Service_Consumables!$E$5:$E$856,R$5,Service_Consumables!$H$5:$H$856,"Auto-deduct")</f>
        <v>0</v>
      </c>
      <c r="S69" s="15" t="n">
        <f aca="false">SUMIFS(Service_Consumables!$L$5:$L$856,Service_Consumables!$A$5:$A$856,$A69,Service_Consumables!$E$5:$E$856,S$5,Service_Consumables!$H$5:$H$856,"Auto-deduct")</f>
        <v>4</v>
      </c>
      <c r="T69" s="15" t="n">
        <f aca="false">SUMIFS(Service_Consumables!$L$5:$L$856,Service_Consumables!$A$5:$A$856,$A69,Service_Consumables!$E$5:$E$856,T$5,Service_Consumables!$H$5:$H$856,"Auto-deduct")</f>
        <v>0</v>
      </c>
      <c r="U69" s="15" t="n">
        <f aca="false">SUMIFS(Service_Consumables!$L$5:$L$856,Service_Consumables!$A$5:$A$856,$A69,Service_Consumables!$E$5:$E$856,U$5,Service_Consumables!$H$5:$H$856,"Auto-deduct")</f>
        <v>0</v>
      </c>
      <c r="V69" s="15" t="n">
        <f aca="false">SUMIFS(Service_Consumables!$L$5:$L$856,Service_Consumables!$A$5:$A$856,$A69,Service_Consumables!$E$5:$E$856,V$5,Service_Consumables!$H$5:$H$856,"Auto-deduct")</f>
        <v>5</v>
      </c>
      <c r="W69" s="15" t="n">
        <f aca="false">SUMIFS(Service_Consumables!$L$5:$L$856,Service_Consumables!$A$5:$A$856,$A69,Service_Consumables!$E$5:$E$856,W$5,Service_Consumables!$H$5:$H$856,"Auto-deduct")</f>
        <v>6</v>
      </c>
      <c r="X69" s="15" t="n">
        <f aca="false">SUMIFS(Service_Consumables!$L$5:$L$856,Service_Consumables!$A$5:$A$856,$A69,Service_Consumables!$E$5:$E$856,X$5,Service_Consumables!$H$5:$H$856,"Auto-deduct")</f>
        <v>0</v>
      </c>
      <c r="Y69" s="15" t="n">
        <f aca="false">SUMIFS(Service_Consumables!$L$5:$L$856,Service_Consumables!$A$5:$A$856,$A69,Service_Consumables!$E$5:$E$856,Y$5,Service_Consumables!$H$5:$H$856,"Auto-deduct")</f>
        <v>0</v>
      </c>
      <c r="Z69" s="15" t="n">
        <f aca="false">SUMIFS(Service_Consumables!$L$5:$L$856,Service_Consumables!$A$5:$A$856,$A69,Service_Consumables!$E$5:$E$856,Z$5,Service_Consumables!$H$5:$H$856,"Auto-deduct")</f>
        <v>0</v>
      </c>
      <c r="AA69" s="15" t="n">
        <f aca="false">SUMIFS(Service_Consumables!$L$5:$L$856,Service_Consumables!$A$5:$A$856,$A69,Service_Consumables!$E$5:$E$856,AA$5,Service_Consumables!$H$5:$H$856,"Auto-deduct")</f>
        <v>4</v>
      </c>
      <c r="AB69" s="15" t="n">
        <f aca="false">SUMIFS(Service_Consumables!$L$5:$L$856,Service_Consumables!$A$5:$A$856,$A69,Service_Consumables!$E$5:$E$856,AB$5,Service_Consumables!$H$5:$H$856,"Auto-deduct")</f>
        <v>0</v>
      </c>
      <c r="AC69" s="15" t="n">
        <f aca="false">SUMIFS(Service_Consumables!$L$5:$L$856,Service_Consumables!$A$5:$A$856,$A69,Service_Consumables!$E$5:$E$856,AC$5,Service_Consumables!$H$5:$H$856,"Auto-deduct")</f>
        <v>2</v>
      </c>
      <c r="AD69" s="15" t="n">
        <f aca="false">SUMIFS(Service_Consumables!$L$5:$L$856,Service_Consumables!$A$5:$A$856,$A69,Service_Consumables!$E$5:$E$856,AD$5,Service_Consumables!$H$5:$H$856,"Auto-deduct")</f>
        <v>5</v>
      </c>
      <c r="AE69" s="15" t="n">
        <f aca="false">SUMIFS(Service_Consumables!$L$5:$L$856,Service_Consumables!$A$5:$A$856,$A69,Service_Consumables!$E$5:$E$856,AE$5,Service_Consumables!$H$5:$H$856,"Auto-deduct")</f>
        <v>0</v>
      </c>
      <c r="AF69" s="15" t="n">
        <f aca="false">SUMIFS(Service_Consumables!$L$5:$L$856,Service_Consumables!$A$5:$A$856,$A69,Service_Consumables!$E$5:$E$856,AF$5,Service_Consumables!$H$5:$H$856,"Auto-deduct")</f>
        <v>5</v>
      </c>
      <c r="AG69" s="15" t="n">
        <f aca="false">SUMIFS(Service_Consumables!$L$5:$L$856,Service_Consumables!$A$5:$A$856,$A69,Service_Consumables!$E$5:$E$856,AG$5,Service_Consumables!$H$5:$H$856,"Auto-deduct")</f>
        <v>0</v>
      </c>
      <c r="AH69" s="15" t="n">
        <f aca="false">SUMIFS(Service_Consumables!$L$5:$L$856,Service_Consumables!$A$5:$A$856,$A69,Service_Consumables!$E$5:$E$856,AH$5,Service_Consumables!$H$5:$H$856,"Auto-deduct")</f>
        <v>0</v>
      </c>
      <c r="AI69" s="15" t="n">
        <f aca="false">SUMIFS(Service_Consumables!$L$5:$L$856,Service_Consumables!$A$5:$A$856,$A69,Service_Consumables!$E$5:$E$856,AI$5,Service_Consumables!$H$5:$H$856,"Auto-deduct")</f>
        <v>0</v>
      </c>
      <c r="AJ69" s="15" t="n">
        <f aca="false">SUMIFS(Service_Consumables!$L$5:$L$856,Service_Consumables!$A$5:$A$856,$A69,Service_Consumables!$E$5:$E$856,AJ$5,Service_Consumables!$H$5:$H$856,"Auto-deduct")</f>
        <v>0</v>
      </c>
      <c r="AK69" s="15" t="n">
        <f aca="false">SUMIFS(Service_Consumables!$L$5:$L$856,Service_Consumables!$A$5:$A$856,$A69,Service_Consumables!$E$5:$E$856,AK$5,Service_Consumables!$H$5:$H$856,"Auto-deduct")</f>
        <v>0</v>
      </c>
      <c r="AL69" s="15" t="n">
        <f aca="false">SUMIFS(Service_Consumables!$L$5:$L$856,Service_Consumables!$A$5:$A$856,$A69,Service_Consumables!$E$5:$E$856,AL$5,Service_Consumables!$H$5:$H$856,"Auto-deduct")</f>
        <v>0</v>
      </c>
      <c r="AM69" s="15" t="n">
        <f aca="false">SUMIFS(Service_Consumables!$L$5:$L$856,Service_Consumables!$A$5:$A$856,$A69,Service_Consumables!$E$5:$E$856,AM$5,Service_Consumables!$H$5:$H$856,"Auto-deduct")</f>
        <v>0</v>
      </c>
      <c r="AN69" s="15" t="n">
        <f aca="false">SUMIFS(Service_Consumables!$L$5:$L$856,Service_Consumables!$A$5:$A$856,$A69,Service_Consumables!$E$5:$E$856,AN$5,Service_Consumables!$H$5:$H$856,"Auto-deduct")</f>
        <v>0</v>
      </c>
      <c r="AO69" s="15" t="n">
        <f aca="false">SUMIFS(Service_Consumables!$L$5:$L$856,Service_Consumables!$A$5:$A$856,$A69,Service_Consumables!$E$5:$E$856,AO$5,Service_Consumables!$H$5:$H$856,"Auto-deduct")</f>
        <v>20</v>
      </c>
      <c r="AP69" s="15" t="n">
        <f aca="false">SUMIFS(Service_Consumables!$L$5:$L$856,Service_Consumables!$A$5:$A$856,$A69,Service_Consumables!$E$5:$E$856,AP$5,Service_Consumables!$H$5:$H$856,"Auto-deduct")</f>
        <v>0</v>
      </c>
      <c r="AQ69" s="15" t="n">
        <f aca="false">SUMIFS(Service_Consumables!$L$5:$L$856,Service_Consumables!$A$5:$A$856,$A69,Service_Consumables!$E$5:$E$856,AQ$5,Service_Consumables!$H$5:$H$856,"Auto-deduct")</f>
        <v>0</v>
      </c>
      <c r="AR69" s="15" t="n">
        <f aca="false">SUMIFS(Service_Consumables!$L$5:$L$856,Service_Consumables!$A$5:$A$856,$A69,Service_Consumables!$E$5:$E$856,AR$5,Service_Consumables!$H$5:$H$856,"Auto-deduct")</f>
        <v>0</v>
      </c>
      <c r="AS69" s="15" t="n">
        <f aca="false">SUMIFS(Service_Consumables!$L$5:$L$856,Service_Consumables!$A$5:$A$856,$A69,Service_Consumables!$E$5:$E$856,AS$5,Service_Consumables!$H$5:$H$856,"Auto-deduct")</f>
        <v>0</v>
      </c>
      <c r="AT69" s="15" t="n">
        <f aca="false">SUMIFS(Service_Consumables!$L$5:$L$856,Service_Consumables!$A$5:$A$856,$A69,Service_Consumables!$E$5:$E$856,AT$5,Service_Consumables!$H$5:$H$856,"Auto-deduct")</f>
        <v>0</v>
      </c>
      <c r="AU69" s="15" t="n">
        <f aca="false">SUMIFS(Service_Consumables!$L$5:$L$856,Service_Consumables!$A$5:$A$856,$A69,Service_Consumables!$E$5:$E$856,AU$5,Service_Consumables!$H$5:$H$856,"Auto-deduct")</f>
        <v>0</v>
      </c>
      <c r="AV69" s="15" t="n">
        <f aca="false">SUMIFS(Service_Consumables!$L$5:$L$856,Service_Consumables!$A$5:$A$856,$A69,Service_Consumables!$E$5:$E$856,AV$5,Service_Consumables!$H$5:$H$856,"Auto-deduct")</f>
        <v>0</v>
      </c>
      <c r="AW69" s="15" t="n">
        <f aca="false">SUMIFS(Service_Consumables!$L$5:$L$856,Service_Consumables!$A$5:$A$856,$A69,Service_Consumables!$E$5:$E$856,AW$5,Service_Consumables!$H$5:$H$856,"Auto-deduct")</f>
        <v>0</v>
      </c>
      <c r="AX69" s="15" t="n">
        <f aca="false">SUMIFS(Service_Consumables!$L$5:$L$856,Service_Consumables!$A$5:$A$856,$A69,Service_Consumables!$E$5:$E$856,AX$5,Service_Consumables!$H$5:$H$856,"Auto-deduct")</f>
        <v>0</v>
      </c>
      <c r="AY69" s="15" t="n">
        <f aca="false">SUMIFS(Service_Consumables!$L$5:$L$856,Service_Consumables!$A$5:$A$856,$A69,Service_Consumables!$E$5:$E$856,AY$5,Service_Consumables!$H$5:$H$856,"Auto-deduct")</f>
        <v>0</v>
      </c>
      <c r="AZ69" s="15" t="n">
        <f aca="false">SUMIFS(Service_Consumables!$L$5:$L$856,Service_Consumables!$A$5:$A$856,$A69,Service_Consumables!$E$5:$E$856,AZ$5,Service_Consumables!$H$5:$H$856,"Auto-deduct")</f>
        <v>0</v>
      </c>
      <c r="BA69" s="15" t="n">
        <f aca="false">SUMIFS(Service_Consumables!$L$5:$L$856,Service_Consumables!$A$5:$A$856,$A69,Service_Consumables!$E$5:$E$856,BA$5,Service_Consumables!$H$5:$H$856,"Auto-deduct")</f>
        <v>3</v>
      </c>
      <c r="BB69" s="15" t="n">
        <f aca="false">SUMIFS(Service_Consumables!$L$5:$L$856,Service_Consumables!$A$5:$A$856,$A69,Service_Consumables!$E$5:$E$856,BB$5,Service_Consumables!$H$5:$H$856,"Auto-deduct")</f>
        <v>0</v>
      </c>
      <c r="BC69" s="15" t="n">
        <f aca="false">SUMIFS(Service_Consumables!$L$5:$L$856,Service_Consumables!$A$5:$A$856,$A69,Service_Consumables!$E$5:$E$856,BC$5,Service_Consumables!$H$5:$H$856,"Auto-deduct")</f>
        <v>0</v>
      </c>
      <c r="BD69" s="15" t="n">
        <f aca="false">SUMIFS(Service_Consumables!$L$5:$L$856,Service_Consumables!$A$5:$A$856,$A69,Service_Consumables!$E$5:$E$856,BD$5,Service_Consumables!$H$5:$H$856,"Auto-deduct")</f>
        <v>0</v>
      </c>
      <c r="BE69" s="15" t="n">
        <f aca="false">SUMIFS(Service_Consumables!$L$5:$L$856,Service_Consumables!$A$5:$A$856,$A69,Service_Consumables!$E$5:$E$856,BE$5,Service_Consumables!$H$5:$H$856,"Auto-deduct")</f>
        <v>0</v>
      </c>
      <c r="BF69" s="15" t="n">
        <f aca="false">SUMIFS(Service_Consumables!$L$5:$L$856,Service_Consumables!$A$5:$A$856,$A69,Service_Consumables!$E$5:$E$856,BF$5,Service_Consumables!$H$5:$H$856,"Auto-deduct")</f>
        <v>0</v>
      </c>
      <c r="BG69" s="15" t="n">
        <f aca="false">SUMIFS(Service_Consumables!$L$5:$L$856,Service_Consumables!$A$5:$A$856,$A69,Service_Consumables!$E$5:$E$856,BG$5,Service_Consumables!$H$5:$H$856,"Auto-deduct")</f>
        <v>0</v>
      </c>
      <c r="BH69" s="15" t="n">
        <f aca="false">SUMIFS(Service_Consumables!$L$5:$L$856,Service_Consumables!$A$5:$A$856,$A69,Service_Consumables!$E$5:$E$856,BH$5,Service_Consumables!$H$5:$H$856,"Auto-deduct")</f>
        <v>0</v>
      </c>
      <c r="BI69" s="15" t="n">
        <f aca="false">SUMIFS(Service_Consumables!$L$5:$L$856,Service_Consumables!$A$5:$A$856,$A69,Service_Consumables!$E$5:$E$856,BI$5,Service_Consumables!$H$5:$H$856,"Auto-deduct")</f>
        <v>0</v>
      </c>
    </row>
    <row r="70" customFormat="false" ht="15" hidden="false" customHeight="false" outlineLevel="0" collapsed="false">
      <c r="A70" s="14" t="n">
        <f aca="false">Services!A69</f>
        <v>65</v>
      </c>
      <c r="B70" s="14" t="str">
        <f aca="false">Services!B69</f>
        <v>Chemical Peeling (TCA)</v>
      </c>
      <c r="C70" s="14" t="str">
        <f aca="false">Services!C69</f>
        <v>Bikini Line</v>
      </c>
      <c r="D70" s="15" t="n">
        <f aca="false">SUMIFS(Service_Consumables!$L$5:$L$856,Service_Consumables!$A$5:$A$856,$A70,Service_Consumables!$E$5:$E$856,D$5,Service_Consumables!$H$5:$H$856,"Auto-deduct")</f>
        <v>0</v>
      </c>
      <c r="E70" s="15" t="n">
        <f aca="false">SUMIFS(Service_Consumables!$L$5:$L$856,Service_Consumables!$A$5:$A$856,$A70,Service_Consumables!$E$5:$E$856,E$5,Service_Consumables!$H$5:$H$856,"Auto-deduct")</f>
        <v>0</v>
      </c>
      <c r="F70" s="15" t="n">
        <f aca="false">SUMIFS(Service_Consumables!$L$5:$L$856,Service_Consumables!$A$5:$A$856,$A70,Service_Consumables!$E$5:$E$856,F$5,Service_Consumables!$H$5:$H$856,"Auto-deduct")</f>
        <v>0</v>
      </c>
      <c r="G70" s="15" t="n">
        <f aca="false">SUMIFS(Service_Consumables!$L$5:$L$856,Service_Consumables!$A$5:$A$856,$A70,Service_Consumables!$E$5:$E$856,G$5,Service_Consumables!$H$5:$H$856,"Auto-deduct")</f>
        <v>0</v>
      </c>
      <c r="H70" s="15" t="n">
        <f aca="false">SUMIFS(Service_Consumables!$L$5:$L$856,Service_Consumables!$A$5:$A$856,$A70,Service_Consumables!$E$5:$E$856,H$5,Service_Consumables!$H$5:$H$856,"Auto-deduct")</f>
        <v>0</v>
      </c>
      <c r="I70" s="15" t="n">
        <f aca="false">SUMIFS(Service_Consumables!$L$5:$L$856,Service_Consumables!$A$5:$A$856,$A70,Service_Consumables!$E$5:$E$856,I$5,Service_Consumables!$H$5:$H$856,"Auto-deduct")</f>
        <v>0</v>
      </c>
      <c r="J70" s="15" t="n">
        <f aca="false">SUMIFS(Service_Consumables!$L$5:$L$856,Service_Consumables!$A$5:$A$856,$A70,Service_Consumables!$E$5:$E$856,J$5,Service_Consumables!$H$5:$H$856,"Auto-deduct")</f>
        <v>0</v>
      </c>
      <c r="K70" s="15" t="n">
        <f aca="false">SUMIFS(Service_Consumables!$L$5:$L$856,Service_Consumables!$A$5:$A$856,$A70,Service_Consumables!$E$5:$E$856,K$5,Service_Consumables!$H$5:$H$856,"Auto-deduct")</f>
        <v>0</v>
      </c>
      <c r="L70" s="15" t="n">
        <f aca="false">SUMIFS(Service_Consumables!$L$5:$L$856,Service_Consumables!$A$5:$A$856,$A70,Service_Consumables!$E$5:$E$856,L$5,Service_Consumables!$H$5:$H$856,"Auto-deduct")</f>
        <v>0</v>
      </c>
      <c r="M70" s="15" t="n">
        <f aca="false">SUMIFS(Service_Consumables!$L$5:$L$856,Service_Consumables!$A$5:$A$856,$A70,Service_Consumables!$E$5:$E$856,M$5,Service_Consumables!$H$5:$H$856,"Auto-deduct")</f>
        <v>0</v>
      </c>
      <c r="N70" s="15" t="n">
        <f aca="false">SUMIFS(Service_Consumables!$L$5:$L$856,Service_Consumables!$A$5:$A$856,$A70,Service_Consumables!$E$5:$E$856,N$5,Service_Consumables!$H$5:$H$856,"Auto-deduct")</f>
        <v>0</v>
      </c>
      <c r="O70" s="15" t="n">
        <f aca="false">SUMIFS(Service_Consumables!$L$5:$L$856,Service_Consumables!$A$5:$A$856,$A70,Service_Consumables!$E$5:$E$856,O$5,Service_Consumables!$H$5:$H$856,"Auto-deduct")</f>
        <v>0</v>
      </c>
      <c r="P70" s="15" t="n">
        <f aca="false">SUMIFS(Service_Consumables!$L$5:$L$856,Service_Consumables!$A$5:$A$856,$A70,Service_Consumables!$E$5:$E$856,P$5,Service_Consumables!$H$5:$H$856,"Auto-deduct")</f>
        <v>1</v>
      </c>
      <c r="Q70" s="15" t="n">
        <f aca="false">SUMIFS(Service_Consumables!$L$5:$L$856,Service_Consumables!$A$5:$A$856,$A70,Service_Consumables!$E$5:$E$856,Q$5,Service_Consumables!$H$5:$H$856,"Auto-deduct")</f>
        <v>1</v>
      </c>
      <c r="R70" s="15" t="n">
        <f aca="false">SUMIFS(Service_Consumables!$L$5:$L$856,Service_Consumables!$A$5:$A$856,$A70,Service_Consumables!$E$5:$E$856,R$5,Service_Consumables!$H$5:$H$856,"Auto-deduct")</f>
        <v>0</v>
      </c>
      <c r="S70" s="15" t="n">
        <f aca="false">SUMIFS(Service_Consumables!$L$5:$L$856,Service_Consumables!$A$5:$A$856,$A70,Service_Consumables!$E$5:$E$856,S$5,Service_Consumables!$H$5:$H$856,"Auto-deduct")</f>
        <v>4</v>
      </c>
      <c r="T70" s="15" t="n">
        <f aca="false">SUMIFS(Service_Consumables!$L$5:$L$856,Service_Consumables!$A$5:$A$856,$A70,Service_Consumables!$E$5:$E$856,T$5,Service_Consumables!$H$5:$H$856,"Auto-deduct")</f>
        <v>0</v>
      </c>
      <c r="U70" s="15" t="n">
        <f aca="false">SUMIFS(Service_Consumables!$L$5:$L$856,Service_Consumables!$A$5:$A$856,$A70,Service_Consumables!$E$5:$E$856,U$5,Service_Consumables!$H$5:$H$856,"Auto-deduct")</f>
        <v>0</v>
      </c>
      <c r="V70" s="15" t="n">
        <f aca="false">SUMIFS(Service_Consumables!$L$5:$L$856,Service_Consumables!$A$5:$A$856,$A70,Service_Consumables!$E$5:$E$856,V$5,Service_Consumables!$H$5:$H$856,"Auto-deduct")</f>
        <v>5</v>
      </c>
      <c r="W70" s="15" t="n">
        <f aca="false">SUMIFS(Service_Consumables!$L$5:$L$856,Service_Consumables!$A$5:$A$856,$A70,Service_Consumables!$E$5:$E$856,W$5,Service_Consumables!$H$5:$H$856,"Auto-deduct")</f>
        <v>6</v>
      </c>
      <c r="X70" s="15" t="n">
        <f aca="false">SUMIFS(Service_Consumables!$L$5:$L$856,Service_Consumables!$A$5:$A$856,$A70,Service_Consumables!$E$5:$E$856,X$5,Service_Consumables!$H$5:$H$856,"Auto-deduct")</f>
        <v>0</v>
      </c>
      <c r="Y70" s="15" t="n">
        <f aca="false">SUMIFS(Service_Consumables!$L$5:$L$856,Service_Consumables!$A$5:$A$856,$A70,Service_Consumables!$E$5:$E$856,Y$5,Service_Consumables!$H$5:$H$856,"Auto-deduct")</f>
        <v>0</v>
      </c>
      <c r="Z70" s="15" t="n">
        <f aca="false">SUMIFS(Service_Consumables!$L$5:$L$856,Service_Consumables!$A$5:$A$856,$A70,Service_Consumables!$E$5:$E$856,Z$5,Service_Consumables!$H$5:$H$856,"Auto-deduct")</f>
        <v>0</v>
      </c>
      <c r="AA70" s="15" t="n">
        <f aca="false">SUMIFS(Service_Consumables!$L$5:$L$856,Service_Consumables!$A$5:$A$856,$A70,Service_Consumables!$E$5:$E$856,AA$5,Service_Consumables!$H$5:$H$856,"Auto-deduct")</f>
        <v>4</v>
      </c>
      <c r="AB70" s="15" t="n">
        <f aca="false">SUMIFS(Service_Consumables!$L$5:$L$856,Service_Consumables!$A$5:$A$856,$A70,Service_Consumables!$E$5:$E$856,AB$5,Service_Consumables!$H$5:$H$856,"Auto-deduct")</f>
        <v>0</v>
      </c>
      <c r="AC70" s="15" t="n">
        <f aca="false">SUMIFS(Service_Consumables!$L$5:$L$856,Service_Consumables!$A$5:$A$856,$A70,Service_Consumables!$E$5:$E$856,AC$5,Service_Consumables!$H$5:$H$856,"Auto-deduct")</f>
        <v>2</v>
      </c>
      <c r="AD70" s="15" t="n">
        <f aca="false">SUMIFS(Service_Consumables!$L$5:$L$856,Service_Consumables!$A$5:$A$856,$A70,Service_Consumables!$E$5:$E$856,AD$5,Service_Consumables!$H$5:$H$856,"Auto-deduct")</f>
        <v>5</v>
      </c>
      <c r="AE70" s="15" t="n">
        <f aca="false">SUMIFS(Service_Consumables!$L$5:$L$856,Service_Consumables!$A$5:$A$856,$A70,Service_Consumables!$E$5:$E$856,AE$5,Service_Consumables!$H$5:$H$856,"Auto-deduct")</f>
        <v>0</v>
      </c>
      <c r="AF70" s="15" t="n">
        <f aca="false">SUMIFS(Service_Consumables!$L$5:$L$856,Service_Consumables!$A$5:$A$856,$A70,Service_Consumables!$E$5:$E$856,AF$5,Service_Consumables!$H$5:$H$856,"Auto-deduct")</f>
        <v>5</v>
      </c>
      <c r="AG70" s="15" t="n">
        <f aca="false">SUMIFS(Service_Consumables!$L$5:$L$856,Service_Consumables!$A$5:$A$856,$A70,Service_Consumables!$E$5:$E$856,AG$5,Service_Consumables!$H$5:$H$856,"Auto-deduct")</f>
        <v>0</v>
      </c>
      <c r="AH70" s="15" t="n">
        <f aca="false">SUMIFS(Service_Consumables!$L$5:$L$856,Service_Consumables!$A$5:$A$856,$A70,Service_Consumables!$E$5:$E$856,AH$5,Service_Consumables!$H$5:$H$856,"Auto-deduct")</f>
        <v>0</v>
      </c>
      <c r="AI70" s="15" t="n">
        <f aca="false">SUMIFS(Service_Consumables!$L$5:$L$856,Service_Consumables!$A$5:$A$856,$A70,Service_Consumables!$E$5:$E$856,AI$5,Service_Consumables!$H$5:$H$856,"Auto-deduct")</f>
        <v>0</v>
      </c>
      <c r="AJ70" s="15" t="n">
        <f aca="false">SUMIFS(Service_Consumables!$L$5:$L$856,Service_Consumables!$A$5:$A$856,$A70,Service_Consumables!$E$5:$E$856,AJ$5,Service_Consumables!$H$5:$H$856,"Auto-deduct")</f>
        <v>0</v>
      </c>
      <c r="AK70" s="15" t="n">
        <f aca="false">SUMIFS(Service_Consumables!$L$5:$L$856,Service_Consumables!$A$5:$A$856,$A70,Service_Consumables!$E$5:$E$856,AK$5,Service_Consumables!$H$5:$H$856,"Auto-deduct")</f>
        <v>0</v>
      </c>
      <c r="AL70" s="15" t="n">
        <f aca="false">SUMIFS(Service_Consumables!$L$5:$L$856,Service_Consumables!$A$5:$A$856,$A70,Service_Consumables!$E$5:$E$856,AL$5,Service_Consumables!$H$5:$H$856,"Auto-deduct")</f>
        <v>0</v>
      </c>
      <c r="AM70" s="15" t="n">
        <f aca="false">SUMIFS(Service_Consumables!$L$5:$L$856,Service_Consumables!$A$5:$A$856,$A70,Service_Consumables!$E$5:$E$856,AM$5,Service_Consumables!$H$5:$H$856,"Auto-deduct")</f>
        <v>0</v>
      </c>
      <c r="AN70" s="15" t="n">
        <f aca="false">SUMIFS(Service_Consumables!$L$5:$L$856,Service_Consumables!$A$5:$A$856,$A70,Service_Consumables!$E$5:$E$856,AN$5,Service_Consumables!$H$5:$H$856,"Auto-deduct")</f>
        <v>0</v>
      </c>
      <c r="AO70" s="15" t="n">
        <f aca="false">SUMIFS(Service_Consumables!$L$5:$L$856,Service_Consumables!$A$5:$A$856,$A70,Service_Consumables!$E$5:$E$856,AO$5,Service_Consumables!$H$5:$H$856,"Auto-deduct")</f>
        <v>20</v>
      </c>
      <c r="AP70" s="15" t="n">
        <f aca="false">SUMIFS(Service_Consumables!$L$5:$L$856,Service_Consumables!$A$5:$A$856,$A70,Service_Consumables!$E$5:$E$856,AP$5,Service_Consumables!$H$5:$H$856,"Auto-deduct")</f>
        <v>0</v>
      </c>
      <c r="AQ70" s="15" t="n">
        <f aca="false">SUMIFS(Service_Consumables!$L$5:$L$856,Service_Consumables!$A$5:$A$856,$A70,Service_Consumables!$E$5:$E$856,AQ$5,Service_Consumables!$H$5:$H$856,"Auto-deduct")</f>
        <v>0</v>
      </c>
      <c r="AR70" s="15" t="n">
        <f aca="false">SUMIFS(Service_Consumables!$L$5:$L$856,Service_Consumables!$A$5:$A$856,$A70,Service_Consumables!$E$5:$E$856,AR$5,Service_Consumables!$H$5:$H$856,"Auto-deduct")</f>
        <v>0</v>
      </c>
      <c r="AS70" s="15" t="n">
        <f aca="false">SUMIFS(Service_Consumables!$L$5:$L$856,Service_Consumables!$A$5:$A$856,$A70,Service_Consumables!$E$5:$E$856,AS$5,Service_Consumables!$H$5:$H$856,"Auto-deduct")</f>
        <v>0</v>
      </c>
      <c r="AT70" s="15" t="n">
        <f aca="false">SUMIFS(Service_Consumables!$L$5:$L$856,Service_Consumables!$A$5:$A$856,$A70,Service_Consumables!$E$5:$E$856,AT$5,Service_Consumables!$H$5:$H$856,"Auto-deduct")</f>
        <v>0</v>
      </c>
      <c r="AU70" s="15" t="n">
        <f aca="false">SUMIFS(Service_Consumables!$L$5:$L$856,Service_Consumables!$A$5:$A$856,$A70,Service_Consumables!$E$5:$E$856,AU$5,Service_Consumables!$H$5:$H$856,"Auto-deduct")</f>
        <v>0</v>
      </c>
      <c r="AV70" s="15" t="n">
        <f aca="false">SUMIFS(Service_Consumables!$L$5:$L$856,Service_Consumables!$A$5:$A$856,$A70,Service_Consumables!$E$5:$E$856,AV$5,Service_Consumables!$H$5:$H$856,"Auto-deduct")</f>
        <v>0</v>
      </c>
      <c r="AW70" s="15" t="n">
        <f aca="false">SUMIFS(Service_Consumables!$L$5:$L$856,Service_Consumables!$A$5:$A$856,$A70,Service_Consumables!$E$5:$E$856,AW$5,Service_Consumables!$H$5:$H$856,"Auto-deduct")</f>
        <v>0</v>
      </c>
      <c r="AX70" s="15" t="n">
        <f aca="false">SUMIFS(Service_Consumables!$L$5:$L$856,Service_Consumables!$A$5:$A$856,$A70,Service_Consumables!$E$5:$E$856,AX$5,Service_Consumables!$H$5:$H$856,"Auto-deduct")</f>
        <v>0</v>
      </c>
      <c r="AY70" s="15" t="n">
        <f aca="false">SUMIFS(Service_Consumables!$L$5:$L$856,Service_Consumables!$A$5:$A$856,$A70,Service_Consumables!$E$5:$E$856,AY$5,Service_Consumables!$H$5:$H$856,"Auto-deduct")</f>
        <v>0</v>
      </c>
      <c r="AZ70" s="15" t="n">
        <f aca="false">SUMIFS(Service_Consumables!$L$5:$L$856,Service_Consumables!$A$5:$A$856,$A70,Service_Consumables!$E$5:$E$856,AZ$5,Service_Consumables!$H$5:$H$856,"Auto-deduct")</f>
        <v>0</v>
      </c>
      <c r="BA70" s="15" t="n">
        <f aca="false">SUMIFS(Service_Consumables!$L$5:$L$856,Service_Consumables!$A$5:$A$856,$A70,Service_Consumables!$E$5:$E$856,BA$5,Service_Consumables!$H$5:$H$856,"Auto-deduct")</f>
        <v>3</v>
      </c>
      <c r="BB70" s="15" t="n">
        <f aca="false">SUMIFS(Service_Consumables!$L$5:$L$856,Service_Consumables!$A$5:$A$856,$A70,Service_Consumables!$E$5:$E$856,BB$5,Service_Consumables!$H$5:$H$856,"Auto-deduct")</f>
        <v>0</v>
      </c>
      <c r="BC70" s="15" t="n">
        <f aca="false">SUMIFS(Service_Consumables!$L$5:$L$856,Service_Consumables!$A$5:$A$856,$A70,Service_Consumables!$E$5:$E$856,BC$5,Service_Consumables!$H$5:$H$856,"Auto-deduct")</f>
        <v>0</v>
      </c>
      <c r="BD70" s="15" t="n">
        <f aca="false">SUMIFS(Service_Consumables!$L$5:$L$856,Service_Consumables!$A$5:$A$856,$A70,Service_Consumables!$E$5:$E$856,BD$5,Service_Consumables!$H$5:$H$856,"Auto-deduct")</f>
        <v>0</v>
      </c>
      <c r="BE70" s="15" t="n">
        <f aca="false">SUMIFS(Service_Consumables!$L$5:$L$856,Service_Consumables!$A$5:$A$856,$A70,Service_Consumables!$E$5:$E$856,BE$5,Service_Consumables!$H$5:$H$856,"Auto-deduct")</f>
        <v>0</v>
      </c>
      <c r="BF70" s="15" t="n">
        <f aca="false">SUMIFS(Service_Consumables!$L$5:$L$856,Service_Consumables!$A$5:$A$856,$A70,Service_Consumables!$E$5:$E$856,BF$5,Service_Consumables!$H$5:$H$856,"Auto-deduct")</f>
        <v>0</v>
      </c>
      <c r="BG70" s="15" t="n">
        <f aca="false">SUMIFS(Service_Consumables!$L$5:$L$856,Service_Consumables!$A$5:$A$856,$A70,Service_Consumables!$E$5:$E$856,BG$5,Service_Consumables!$H$5:$H$856,"Auto-deduct")</f>
        <v>0</v>
      </c>
      <c r="BH70" s="15" t="n">
        <f aca="false">SUMIFS(Service_Consumables!$L$5:$L$856,Service_Consumables!$A$5:$A$856,$A70,Service_Consumables!$E$5:$E$856,BH$5,Service_Consumables!$H$5:$H$856,"Auto-deduct")</f>
        <v>0</v>
      </c>
      <c r="BI70" s="15" t="n">
        <f aca="false">SUMIFS(Service_Consumables!$L$5:$L$856,Service_Consumables!$A$5:$A$856,$A70,Service_Consumables!$E$5:$E$856,BI$5,Service_Consumables!$H$5:$H$856,"Auto-deduct")</f>
        <v>0</v>
      </c>
    </row>
    <row r="71" customFormat="false" ht="15" hidden="false" customHeight="false" outlineLevel="0" collapsed="false">
      <c r="A71" s="14" t="n">
        <f aca="false">Services!A70</f>
        <v>66</v>
      </c>
      <c r="B71" s="14" t="str">
        <f aca="false">Services!B70</f>
        <v>Chemical Peeling (TCA)</v>
      </c>
      <c r="C71" s="14" t="str">
        <f aca="false">Services!C70</f>
        <v>Knees</v>
      </c>
      <c r="D71" s="15" t="n">
        <f aca="false">SUMIFS(Service_Consumables!$L$5:$L$856,Service_Consumables!$A$5:$A$856,$A71,Service_Consumables!$E$5:$E$856,D$5,Service_Consumables!$H$5:$H$856,"Auto-deduct")</f>
        <v>0</v>
      </c>
      <c r="E71" s="15" t="n">
        <f aca="false">SUMIFS(Service_Consumables!$L$5:$L$856,Service_Consumables!$A$5:$A$856,$A71,Service_Consumables!$E$5:$E$856,E$5,Service_Consumables!$H$5:$H$856,"Auto-deduct")</f>
        <v>0</v>
      </c>
      <c r="F71" s="15" t="n">
        <f aca="false">SUMIFS(Service_Consumables!$L$5:$L$856,Service_Consumables!$A$5:$A$856,$A71,Service_Consumables!$E$5:$E$856,F$5,Service_Consumables!$H$5:$H$856,"Auto-deduct")</f>
        <v>0</v>
      </c>
      <c r="G71" s="15" t="n">
        <f aca="false">SUMIFS(Service_Consumables!$L$5:$L$856,Service_Consumables!$A$5:$A$856,$A71,Service_Consumables!$E$5:$E$856,G$5,Service_Consumables!$H$5:$H$856,"Auto-deduct")</f>
        <v>0</v>
      </c>
      <c r="H71" s="15" t="n">
        <f aca="false">SUMIFS(Service_Consumables!$L$5:$L$856,Service_Consumables!$A$5:$A$856,$A71,Service_Consumables!$E$5:$E$856,H$5,Service_Consumables!$H$5:$H$856,"Auto-deduct")</f>
        <v>0</v>
      </c>
      <c r="I71" s="15" t="n">
        <f aca="false">SUMIFS(Service_Consumables!$L$5:$L$856,Service_Consumables!$A$5:$A$856,$A71,Service_Consumables!$E$5:$E$856,I$5,Service_Consumables!$H$5:$H$856,"Auto-deduct")</f>
        <v>0</v>
      </c>
      <c r="J71" s="15" t="n">
        <f aca="false">SUMIFS(Service_Consumables!$L$5:$L$856,Service_Consumables!$A$5:$A$856,$A71,Service_Consumables!$E$5:$E$856,J$5,Service_Consumables!$H$5:$H$856,"Auto-deduct")</f>
        <v>0</v>
      </c>
      <c r="K71" s="15" t="n">
        <f aca="false">SUMIFS(Service_Consumables!$L$5:$L$856,Service_Consumables!$A$5:$A$856,$A71,Service_Consumables!$E$5:$E$856,K$5,Service_Consumables!$H$5:$H$856,"Auto-deduct")</f>
        <v>0</v>
      </c>
      <c r="L71" s="15" t="n">
        <f aca="false">SUMIFS(Service_Consumables!$L$5:$L$856,Service_Consumables!$A$5:$A$856,$A71,Service_Consumables!$E$5:$E$856,L$5,Service_Consumables!$H$5:$H$856,"Auto-deduct")</f>
        <v>0</v>
      </c>
      <c r="M71" s="15" t="n">
        <f aca="false">SUMIFS(Service_Consumables!$L$5:$L$856,Service_Consumables!$A$5:$A$856,$A71,Service_Consumables!$E$5:$E$856,M$5,Service_Consumables!$H$5:$H$856,"Auto-deduct")</f>
        <v>0</v>
      </c>
      <c r="N71" s="15" t="n">
        <f aca="false">SUMIFS(Service_Consumables!$L$5:$L$856,Service_Consumables!$A$5:$A$856,$A71,Service_Consumables!$E$5:$E$856,N$5,Service_Consumables!$H$5:$H$856,"Auto-deduct")</f>
        <v>0</v>
      </c>
      <c r="O71" s="15" t="n">
        <f aca="false">SUMIFS(Service_Consumables!$L$5:$L$856,Service_Consumables!$A$5:$A$856,$A71,Service_Consumables!$E$5:$E$856,O$5,Service_Consumables!$H$5:$H$856,"Auto-deduct")</f>
        <v>0</v>
      </c>
      <c r="P71" s="15" t="n">
        <f aca="false">SUMIFS(Service_Consumables!$L$5:$L$856,Service_Consumables!$A$5:$A$856,$A71,Service_Consumables!$E$5:$E$856,P$5,Service_Consumables!$H$5:$H$856,"Auto-deduct")</f>
        <v>1</v>
      </c>
      <c r="Q71" s="15" t="n">
        <f aca="false">SUMIFS(Service_Consumables!$L$5:$L$856,Service_Consumables!$A$5:$A$856,$A71,Service_Consumables!$E$5:$E$856,Q$5,Service_Consumables!$H$5:$H$856,"Auto-deduct")</f>
        <v>1</v>
      </c>
      <c r="R71" s="15" t="n">
        <f aca="false">SUMIFS(Service_Consumables!$L$5:$L$856,Service_Consumables!$A$5:$A$856,$A71,Service_Consumables!$E$5:$E$856,R$5,Service_Consumables!$H$5:$H$856,"Auto-deduct")</f>
        <v>0</v>
      </c>
      <c r="S71" s="15" t="n">
        <f aca="false">SUMIFS(Service_Consumables!$L$5:$L$856,Service_Consumables!$A$5:$A$856,$A71,Service_Consumables!$E$5:$E$856,S$5,Service_Consumables!$H$5:$H$856,"Auto-deduct")</f>
        <v>4</v>
      </c>
      <c r="T71" s="15" t="n">
        <f aca="false">SUMIFS(Service_Consumables!$L$5:$L$856,Service_Consumables!$A$5:$A$856,$A71,Service_Consumables!$E$5:$E$856,T$5,Service_Consumables!$H$5:$H$856,"Auto-deduct")</f>
        <v>0</v>
      </c>
      <c r="U71" s="15" t="n">
        <f aca="false">SUMIFS(Service_Consumables!$L$5:$L$856,Service_Consumables!$A$5:$A$856,$A71,Service_Consumables!$E$5:$E$856,U$5,Service_Consumables!$H$5:$H$856,"Auto-deduct")</f>
        <v>0</v>
      </c>
      <c r="V71" s="15" t="n">
        <f aca="false">SUMIFS(Service_Consumables!$L$5:$L$856,Service_Consumables!$A$5:$A$856,$A71,Service_Consumables!$E$5:$E$856,V$5,Service_Consumables!$H$5:$H$856,"Auto-deduct")</f>
        <v>5</v>
      </c>
      <c r="W71" s="15" t="n">
        <f aca="false">SUMIFS(Service_Consumables!$L$5:$L$856,Service_Consumables!$A$5:$A$856,$A71,Service_Consumables!$E$5:$E$856,W$5,Service_Consumables!$H$5:$H$856,"Auto-deduct")</f>
        <v>6</v>
      </c>
      <c r="X71" s="15" t="n">
        <f aca="false">SUMIFS(Service_Consumables!$L$5:$L$856,Service_Consumables!$A$5:$A$856,$A71,Service_Consumables!$E$5:$E$856,X$5,Service_Consumables!$H$5:$H$856,"Auto-deduct")</f>
        <v>0</v>
      </c>
      <c r="Y71" s="15" t="n">
        <f aca="false">SUMIFS(Service_Consumables!$L$5:$L$856,Service_Consumables!$A$5:$A$856,$A71,Service_Consumables!$E$5:$E$856,Y$5,Service_Consumables!$H$5:$H$856,"Auto-deduct")</f>
        <v>0</v>
      </c>
      <c r="Z71" s="15" t="n">
        <f aca="false">SUMIFS(Service_Consumables!$L$5:$L$856,Service_Consumables!$A$5:$A$856,$A71,Service_Consumables!$E$5:$E$856,Z$5,Service_Consumables!$H$5:$H$856,"Auto-deduct")</f>
        <v>0</v>
      </c>
      <c r="AA71" s="15" t="n">
        <f aca="false">SUMIFS(Service_Consumables!$L$5:$L$856,Service_Consumables!$A$5:$A$856,$A71,Service_Consumables!$E$5:$E$856,AA$5,Service_Consumables!$H$5:$H$856,"Auto-deduct")</f>
        <v>4</v>
      </c>
      <c r="AB71" s="15" t="n">
        <f aca="false">SUMIFS(Service_Consumables!$L$5:$L$856,Service_Consumables!$A$5:$A$856,$A71,Service_Consumables!$E$5:$E$856,AB$5,Service_Consumables!$H$5:$H$856,"Auto-deduct")</f>
        <v>0</v>
      </c>
      <c r="AC71" s="15" t="n">
        <f aca="false">SUMIFS(Service_Consumables!$L$5:$L$856,Service_Consumables!$A$5:$A$856,$A71,Service_Consumables!$E$5:$E$856,AC$5,Service_Consumables!$H$5:$H$856,"Auto-deduct")</f>
        <v>2</v>
      </c>
      <c r="AD71" s="15" t="n">
        <f aca="false">SUMIFS(Service_Consumables!$L$5:$L$856,Service_Consumables!$A$5:$A$856,$A71,Service_Consumables!$E$5:$E$856,AD$5,Service_Consumables!$H$5:$H$856,"Auto-deduct")</f>
        <v>5</v>
      </c>
      <c r="AE71" s="15" t="n">
        <f aca="false">SUMIFS(Service_Consumables!$L$5:$L$856,Service_Consumables!$A$5:$A$856,$A71,Service_Consumables!$E$5:$E$856,AE$5,Service_Consumables!$H$5:$H$856,"Auto-deduct")</f>
        <v>0</v>
      </c>
      <c r="AF71" s="15" t="n">
        <f aca="false">SUMIFS(Service_Consumables!$L$5:$L$856,Service_Consumables!$A$5:$A$856,$A71,Service_Consumables!$E$5:$E$856,AF$5,Service_Consumables!$H$5:$H$856,"Auto-deduct")</f>
        <v>5</v>
      </c>
      <c r="AG71" s="15" t="n">
        <f aca="false">SUMIFS(Service_Consumables!$L$5:$L$856,Service_Consumables!$A$5:$A$856,$A71,Service_Consumables!$E$5:$E$856,AG$5,Service_Consumables!$H$5:$H$856,"Auto-deduct")</f>
        <v>0</v>
      </c>
      <c r="AH71" s="15" t="n">
        <f aca="false">SUMIFS(Service_Consumables!$L$5:$L$856,Service_Consumables!$A$5:$A$856,$A71,Service_Consumables!$E$5:$E$856,AH$5,Service_Consumables!$H$5:$H$856,"Auto-deduct")</f>
        <v>0</v>
      </c>
      <c r="AI71" s="15" t="n">
        <f aca="false">SUMIFS(Service_Consumables!$L$5:$L$856,Service_Consumables!$A$5:$A$856,$A71,Service_Consumables!$E$5:$E$856,AI$5,Service_Consumables!$H$5:$H$856,"Auto-deduct")</f>
        <v>0</v>
      </c>
      <c r="AJ71" s="15" t="n">
        <f aca="false">SUMIFS(Service_Consumables!$L$5:$L$856,Service_Consumables!$A$5:$A$856,$A71,Service_Consumables!$E$5:$E$856,AJ$5,Service_Consumables!$H$5:$H$856,"Auto-deduct")</f>
        <v>0</v>
      </c>
      <c r="AK71" s="15" t="n">
        <f aca="false">SUMIFS(Service_Consumables!$L$5:$L$856,Service_Consumables!$A$5:$A$856,$A71,Service_Consumables!$E$5:$E$856,AK$5,Service_Consumables!$H$5:$H$856,"Auto-deduct")</f>
        <v>0</v>
      </c>
      <c r="AL71" s="15" t="n">
        <f aca="false">SUMIFS(Service_Consumables!$L$5:$L$856,Service_Consumables!$A$5:$A$856,$A71,Service_Consumables!$E$5:$E$856,AL$5,Service_Consumables!$H$5:$H$856,"Auto-deduct")</f>
        <v>0</v>
      </c>
      <c r="AM71" s="15" t="n">
        <f aca="false">SUMIFS(Service_Consumables!$L$5:$L$856,Service_Consumables!$A$5:$A$856,$A71,Service_Consumables!$E$5:$E$856,AM$5,Service_Consumables!$H$5:$H$856,"Auto-deduct")</f>
        <v>0</v>
      </c>
      <c r="AN71" s="15" t="n">
        <f aca="false">SUMIFS(Service_Consumables!$L$5:$L$856,Service_Consumables!$A$5:$A$856,$A71,Service_Consumables!$E$5:$E$856,AN$5,Service_Consumables!$H$5:$H$856,"Auto-deduct")</f>
        <v>0</v>
      </c>
      <c r="AO71" s="15" t="n">
        <f aca="false">SUMIFS(Service_Consumables!$L$5:$L$856,Service_Consumables!$A$5:$A$856,$A71,Service_Consumables!$E$5:$E$856,AO$5,Service_Consumables!$H$5:$H$856,"Auto-deduct")</f>
        <v>20</v>
      </c>
      <c r="AP71" s="15" t="n">
        <f aca="false">SUMIFS(Service_Consumables!$L$5:$L$856,Service_Consumables!$A$5:$A$856,$A71,Service_Consumables!$E$5:$E$856,AP$5,Service_Consumables!$H$5:$H$856,"Auto-deduct")</f>
        <v>0</v>
      </c>
      <c r="AQ71" s="15" t="n">
        <f aca="false">SUMIFS(Service_Consumables!$L$5:$L$856,Service_Consumables!$A$5:$A$856,$A71,Service_Consumables!$E$5:$E$856,AQ$5,Service_Consumables!$H$5:$H$856,"Auto-deduct")</f>
        <v>0</v>
      </c>
      <c r="AR71" s="15" t="n">
        <f aca="false">SUMIFS(Service_Consumables!$L$5:$L$856,Service_Consumables!$A$5:$A$856,$A71,Service_Consumables!$E$5:$E$856,AR$5,Service_Consumables!$H$5:$H$856,"Auto-deduct")</f>
        <v>0</v>
      </c>
      <c r="AS71" s="15" t="n">
        <f aca="false">SUMIFS(Service_Consumables!$L$5:$L$856,Service_Consumables!$A$5:$A$856,$A71,Service_Consumables!$E$5:$E$856,AS$5,Service_Consumables!$H$5:$H$856,"Auto-deduct")</f>
        <v>0</v>
      </c>
      <c r="AT71" s="15" t="n">
        <f aca="false">SUMIFS(Service_Consumables!$L$5:$L$856,Service_Consumables!$A$5:$A$856,$A71,Service_Consumables!$E$5:$E$856,AT$5,Service_Consumables!$H$5:$H$856,"Auto-deduct")</f>
        <v>0</v>
      </c>
      <c r="AU71" s="15" t="n">
        <f aca="false">SUMIFS(Service_Consumables!$L$5:$L$856,Service_Consumables!$A$5:$A$856,$A71,Service_Consumables!$E$5:$E$856,AU$5,Service_Consumables!$H$5:$H$856,"Auto-deduct")</f>
        <v>0</v>
      </c>
      <c r="AV71" s="15" t="n">
        <f aca="false">SUMIFS(Service_Consumables!$L$5:$L$856,Service_Consumables!$A$5:$A$856,$A71,Service_Consumables!$E$5:$E$856,AV$5,Service_Consumables!$H$5:$H$856,"Auto-deduct")</f>
        <v>0</v>
      </c>
      <c r="AW71" s="15" t="n">
        <f aca="false">SUMIFS(Service_Consumables!$L$5:$L$856,Service_Consumables!$A$5:$A$856,$A71,Service_Consumables!$E$5:$E$856,AW$5,Service_Consumables!$H$5:$H$856,"Auto-deduct")</f>
        <v>0</v>
      </c>
      <c r="AX71" s="15" t="n">
        <f aca="false">SUMIFS(Service_Consumables!$L$5:$L$856,Service_Consumables!$A$5:$A$856,$A71,Service_Consumables!$E$5:$E$856,AX$5,Service_Consumables!$H$5:$H$856,"Auto-deduct")</f>
        <v>0</v>
      </c>
      <c r="AY71" s="15" t="n">
        <f aca="false">SUMIFS(Service_Consumables!$L$5:$L$856,Service_Consumables!$A$5:$A$856,$A71,Service_Consumables!$E$5:$E$856,AY$5,Service_Consumables!$H$5:$H$856,"Auto-deduct")</f>
        <v>0</v>
      </c>
      <c r="AZ71" s="15" t="n">
        <f aca="false">SUMIFS(Service_Consumables!$L$5:$L$856,Service_Consumables!$A$5:$A$856,$A71,Service_Consumables!$E$5:$E$856,AZ$5,Service_Consumables!$H$5:$H$856,"Auto-deduct")</f>
        <v>0</v>
      </c>
      <c r="BA71" s="15" t="n">
        <f aca="false">SUMIFS(Service_Consumables!$L$5:$L$856,Service_Consumables!$A$5:$A$856,$A71,Service_Consumables!$E$5:$E$856,BA$5,Service_Consumables!$H$5:$H$856,"Auto-deduct")</f>
        <v>3</v>
      </c>
      <c r="BB71" s="15" t="n">
        <f aca="false">SUMIFS(Service_Consumables!$L$5:$L$856,Service_Consumables!$A$5:$A$856,$A71,Service_Consumables!$E$5:$E$856,BB$5,Service_Consumables!$H$5:$H$856,"Auto-deduct")</f>
        <v>0</v>
      </c>
      <c r="BC71" s="15" t="n">
        <f aca="false">SUMIFS(Service_Consumables!$L$5:$L$856,Service_Consumables!$A$5:$A$856,$A71,Service_Consumables!$E$5:$E$856,BC$5,Service_Consumables!$H$5:$H$856,"Auto-deduct")</f>
        <v>0</v>
      </c>
      <c r="BD71" s="15" t="n">
        <f aca="false">SUMIFS(Service_Consumables!$L$5:$L$856,Service_Consumables!$A$5:$A$856,$A71,Service_Consumables!$E$5:$E$856,BD$5,Service_Consumables!$H$5:$H$856,"Auto-deduct")</f>
        <v>0</v>
      </c>
      <c r="BE71" s="15" t="n">
        <f aca="false">SUMIFS(Service_Consumables!$L$5:$L$856,Service_Consumables!$A$5:$A$856,$A71,Service_Consumables!$E$5:$E$856,BE$5,Service_Consumables!$H$5:$H$856,"Auto-deduct")</f>
        <v>0</v>
      </c>
      <c r="BF71" s="15" t="n">
        <f aca="false">SUMIFS(Service_Consumables!$L$5:$L$856,Service_Consumables!$A$5:$A$856,$A71,Service_Consumables!$E$5:$E$856,BF$5,Service_Consumables!$H$5:$H$856,"Auto-deduct")</f>
        <v>0</v>
      </c>
      <c r="BG71" s="15" t="n">
        <f aca="false">SUMIFS(Service_Consumables!$L$5:$L$856,Service_Consumables!$A$5:$A$856,$A71,Service_Consumables!$E$5:$E$856,BG$5,Service_Consumables!$H$5:$H$856,"Auto-deduct")</f>
        <v>0</v>
      </c>
      <c r="BH71" s="15" t="n">
        <f aca="false">SUMIFS(Service_Consumables!$L$5:$L$856,Service_Consumables!$A$5:$A$856,$A71,Service_Consumables!$E$5:$E$856,BH$5,Service_Consumables!$H$5:$H$856,"Auto-deduct")</f>
        <v>0</v>
      </c>
      <c r="BI71" s="15" t="n">
        <f aca="false">SUMIFS(Service_Consumables!$L$5:$L$856,Service_Consumables!$A$5:$A$856,$A71,Service_Consumables!$E$5:$E$856,BI$5,Service_Consumables!$H$5:$H$856,"Auto-deduct")</f>
        <v>0</v>
      </c>
    </row>
    <row r="72" customFormat="false" ht="15" hidden="false" customHeight="false" outlineLevel="0" collapsed="false">
      <c r="A72" s="14" t="n">
        <f aca="false">Services!A71</f>
        <v>67</v>
      </c>
      <c r="B72" s="14" t="str">
        <f aca="false">Services!B71</f>
        <v>Chemical Peeling (TCA)</v>
      </c>
      <c r="C72" s="14" t="str">
        <f aca="false">Services!C71</f>
        <v>Feet</v>
      </c>
      <c r="D72" s="15" t="n">
        <f aca="false">SUMIFS(Service_Consumables!$L$5:$L$856,Service_Consumables!$A$5:$A$856,$A72,Service_Consumables!$E$5:$E$856,D$5,Service_Consumables!$H$5:$H$856,"Auto-deduct")</f>
        <v>0</v>
      </c>
      <c r="E72" s="15" t="n">
        <f aca="false">SUMIFS(Service_Consumables!$L$5:$L$856,Service_Consumables!$A$5:$A$856,$A72,Service_Consumables!$E$5:$E$856,E$5,Service_Consumables!$H$5:$H$856,"Auto-deduct")</f>
        <v>0</v>
      </c>
      <c r="F72" s="15" t="n">
        <f aca="false">SUMIFS(Service_Consumables!$L$5:$L$856,Service_Consumables!$A$5:$A$856,$A72,Service_Consumables!$E$5:$E$856,F$5,Service_Consumables!$H$5:$H$856,"Auto-deduct")</f>
        <v>0</v>
      </c>
      <c r="G72" s="15" t="n">
        <f aca="false">SUMIFS(Service_Consumables!$L$5:$L$856,Service_Consumables!$A$5:$A$856,$A72,Service_Consumables!$E$5:$E$856,G$5,Service_Consumables!$H$5:$H$856,"Auto-deduct")</f>
        <v>0</v>
      </c>
      <c r="H72" s="15" t="n">
        <f aca="false">SUMIFS(Service_Consumables!$L$5:$L$856,Service_Consumables!$A$5:$A$856,$A72,Service_Consumables!$E$5:$E$856,H$5,Service_Consumables!$H$5:$H$856,"Auto-deduct")</f>
        <v>0</v>
      </c>
      <c r="I72" s="15" t="n">
        <f aca="false">SUMIFS(Service_Consumables!$L$5:$L$856,Service_Consumables!$A$5:$A$856,$A72,Service_Consumables!$E$5:$E$856,I$5,Service_Consumables!$H$5:$H$856,"Auto-deduct")</f>
        <v>0</v>
      </c>
      <c r="J72" s="15" t="n">
        <f aca="false">SUMIFS(Service_Consumables!$L$5:$L$856,Service_Consumables!$A$5:$A$856,$A72,Service_Consumables!$E$5:$E$856,J$5,Service_Consumables!$H$5:$H$856,"Auto-deduct")</f>
        <v>0</v>
      </c>
      <c r="K72" s="15" t="n">
        <f aca="false">SUMIFS(Service_Consumables!$L$5:$L$856,Service_Consumables!$A$5:$A$856,$A72,Service_Consumables!$E$5:$E$856,K$5,Service_Consumables!$H$5:$H$856,"Auto-deduct")</f>
        <v>0</v>
      </c>
      <c r="L72" s="15" t="n">
        <f aca="false">SUMIFS(Service_Consumables!$L$5:$L$856,Service_Consumables!$A$5:$A$856,$A72,Service_Consumables!$E$5:$E$856,L$5,Service_Consumables!$H$5:$H$856,"Auto-deduct")</f>
        <v>0</v>
      </c>
      <c r="M72" s="15" t="n">
        <f aca="false">SUMIFS(Service_Consumables!$L$5:$L$856,Service_Consumables!$A$5:$A$856,$A72,Service_Consumables!$E$5:$E$856,M$5,Service_Consumables!$H$5:$H$856,"Auto-deduct")</f>
        <v>0</v>
      </c>
      <c r="N72" s="15" t="n">
        <f aca="false">SUMIFS(Service_Consumables!$L$5:$L$856,Service_Consumables!$A$5:$A$856,$A72,Service_Consumables!$E$5:$E$856,N$5,Service_Consumables!$H$5:$H$856,"Auto-deduct")</f>
        <v>0</v>
      </c>
      <c r="O72" s="15" t="n">
        <f aca="false">SUMIFS(Service_Consumables!$L$5:$L$856,Service_Consumables!$A$5:$A$856,$A72,Service_Consumables!$E$5:$E$856,O$5,Service_Consumables!$H$5:$H$856,"Auto-deduct")</f>
        <v>0</v>
      </c>
      <c r="P72" s="15" t="n">
        <f aca="false">SUMIFS(Service_Consumables!$L$5:$L$856,Service_Consumables!$A$5:$A$856,$A72,Service_Consumables!$E$5:$E$856,P$5,Service_Consumables!$H$5:$H$856,"Auto-deduct")</f>
        <v>1</v>
      </c>
      <c r="Q72" s="15" t="n">
        <f aca="false">SUMIFS(Service_Consumables!$L$5:$L$856,Service_Consumables!$A$5:$A$856,$A72,Service_Consumables!$E$5:$E$856,Q$5,Service_Consumables!$H$5:$H$856,"Auto-deduct")</f>
        <v>1</v>
      </c>
      <c r="R72" s="15" t="n">
        <f aca="false">SUMIFS(Service_Consumables!$L$5:$L$856,Service_Consumables!$A$5:$A$856,$A72,Service_Consumables!$E$5:$E$856,R$5,Service_Consumables!$H$5:$H$856,"Auto-deduct")</f>
        <v>0</v>
      </c>
      <c r="S72" s="15" t="n">
        <f aca="false">SUMIFS(Service_Consumables!$L$5:$L$856,Service_Consumables!$A$5:$A$856,$A72,Service_Consumables!$E$5:$E$856,S$5,Service_Consumables!$H$5:$H$856,"Auto-deduct")</f>
        <v>4</v>
      </c>
      <c r="T72" s="15" t="n">
        <f aca="false">SUMIFS(Service_Consumables!$L$5:$L$856,Service_Consumables!$A$5:$A$856,$A72,Service_Consumables!$E$5:$E$856,T$5,Service_Consumables!$H$5:$H$856,"Auto-deduct")</f>
        <v>0</v>
      </c>
      <c r="U72" s="15" t="n">
        <f aca="false">SUMIFS(Service_Consumables!$L$5:$L$856,Service_Consumables!$A$5:$A$856,$A72,Service_Consumables!$E$5:$E$856,U$5,Service_Consumables!$H$5:$H$856,"Auto-deduct")</f>
        <v>0</v>
      </c>
      <c r="V72" s="15" t="n">
        <f aca="false">SUMIFS(Service_Consumables!$L$5:$L$856,Service_Consumables!$A$5:$A$856,$A72,Service_Consumables!$E$5:$E$856,V$5,Service_Consumables!$H$5:$H$856,"Auto-deduct")</f>
        <v>5</v>
      </c>
      <c r="W72" s="15" t="n">
        <f aca="false">SUMIFS(Service_Consumables!$L$5:$L$856,Service_Consumables!$A$5:$A$856,$A72,Service_Consumables!$E$5:$E$856,W$5,Service_Consumables!$H$5:$H$856,"Auto-deduct")</f>
        <v>6</v>
      </c>
      <c r="X72" s="15" t="n">
        <f aca="false">SUMIFS(Service_Consumables!$L$5:$L$856,Service_Consumables!$A$5:$A$856,$A72,Service_Consumables!$E$5:$E$856,X$5,Service_Consumables!$H$5:$H$856,"Auto-deduct")</f>
        <v>0</v>
      </c>
      <c r="Y72" s="15" t="n">
        <f aca="false">SUMIFS(Service_Consumables!$L$5:$L$856,Service_Consumables!$A$5:$A$856,$A72,Service_Consumables!$E$5:$E$856,Y$5,Service_Consumables!$H$5:$H$856,"Auto-deduct")</f>
        <v>0</v>
      </c>
      <c r="Z72" s="15" t="n">
        <f aca="false">SUMIFS(Service_Consumables!$L$5:$L$856,Service_Consumables!$A$5:$A$856,$A72,Service_Consumables!$E$5:$E$856,Z$5,Service_Consumables!$H$5:$H$856,"Auto-deduct")</f>
        <v>0</v>
      </c>
      <c r="AA72" s="15" t="n">
        <f aca="false">SUMIFS(Service_Consumables!$L$5:$L$856,Service_Consumables!$A$5:$A$856,$A72,Service_Consumables!$E$5:$E$856,AA$5,Service_Consumables!$H$5:$H$856,"Auto-deduct")</f>
        <v>4</v>
      </c>
      <c r="AB72" s="15" t="n">
        <f aca="false">SUMIFS(Service_Consumables!$L$5:$L$856,Service_Consumables!$A$5:$A$856,$A72,Service_Consumables!$E$5:$E$856,AB$5,Service_Consumables!$H$5:$H$856,"Auto-deduct")</f>
        <v>0</v>
      </c>
      <c r="AC72" s="15" t="n">
        <f aca="false">SUMIFS(Service_Consumables!$L$5:$L$856,Service_Consumables!$A$5:$A$856,$A72,Service_Consumables!$E$5:$E$856,AC$5,Service_Consumables!$H$5:$H$856,"Auto-deduct")</f>
        <v>2</v>
      </c>
      <c r="AD72" s="15" t="n">
        <f aca="false">SUMIFS(Service_Consumables!$L$5:$L$856,Service_Consumables!$A$5:$A$856,$A72,Service_Consumables!$E$5:$E$856,AD$5,Service_Consumables!$H$5:$H$856,"Auto-deduct")</f>
        <v>5</v>
      </c>
      <c r="AE72" s="15" t="n">
        <f aca="false">SUMIFS(Service_Consumables!$L$5:$L$856,Service_Consumables!$A$5:$A$856,$A72,Service_Consumables!$E$5:$E$856,AE$5,Service_Consumables!$H$5:$H$856,"Auto-deduct")</f>
        <v>0</v>
      </c>
      <c r="AF72" s="15" t="n">
        <f aca="false">SUMIFS(Service_Consumables!$L$5:$L$856,Service_Consumables!$A$5:$A$856,$A72,Service_Consumables!$E$5:$E$856,AF$5,Service_Consumables!$H$5:$H$856,"Auto-deduct")</f>
        <v>5</v>
      </c>
      <c r="AG72" s="15" t="n">
        <f aca="false">SUMIFS(Service_Consumables!$L$5:$L$856,Service_Consumables!$A$5:$A$856,$A72,Service_Consumables!$E$5:$E$856,AG$5,Service_Consumables!$H$5:$H$856,"Auto-deduct")</f>
        <v>0</v>
      </c>
      <c r="AH72" s="15" t="n">
        <f aca="false">SUMIFS(Service_Consumables!$L$5:$L$856,Service_Consumables!$A$5:$A$856,$A72,Service_Consumables!$E$5:$E$856,AH$5,Service_Consumables!$H$5:$H$856,"Auto-deduct")</f>
        <v>0</v>
      </c>
      <c r="AI72" s="15" t="n">
        <f aca="false">SUMIFS(Service_Consumables!$L$5:$L$856,Service_Consumables!$A$5:$A$856,$A72,Service_Consumables!$E$5:$E$856,AI$5,Service_Consumables!$H$5:$H$856,"Auto-deduct")</f>
        <v>0</v>
      </c>
      <c r="AJ72" s="15" t="n">
        <f aca="false">SUMIFS(Service_Consumables!$L$5:$L$856,Service_Consumables!$A$5:$A$856,$A72,Service_Consumables!$E$5:$E$856,AJ$5,Service_Consumables!$H$5:$H$856,"Auto-deduct")</f>
        <v>0</v>
      </c>
      <c r="AK72" s="15" t="n">
        <f aca="false">SUMIFS(Service_Consumables!$L$5:$L$856,Service_Consumables!$A$5:$A$856,$A72,Service_Consumables!$E$5:$E$856,AK$5,Service_Consumables!$H$5:$H$856,"Auto-deduct")</f>
        <v>0</v>
      </c>
      <c r="AL72" s="15" t="n">
        <f aca="false">SUMIFS(Service_Consumables!$L$5:$L$856,Service_Consumables!$A$5:$A$856,$A72,Service_Consumables!$E$5:$E$856,AL$5,Service_Consumables!$H$5:$H$856,"Auto-deduct")</f>
        <v>0</v>
      </c>
      <c r="AM72" s="15" t="n">
        <f aca="false">SUMIFS(Service_Consumables!$L$5:$L$856,Service_Consumables!$A$5:$A$856,$A72,Service_Consumables!$E$5:$E$856,AM$5,Service_Consumables!$H$5:$H$856,"Auto-deduct")</f>
        <v>0</v>
      </c>
      <c r="AN72" s="15" t="n">
        <f aca="false">SUMIFS(Service_Consumables!$L$5:$L$856,Service_Consumables!$A$5:$A$856,$A72,Service_Consumables!$E$5:$E$856,AN$5,Service_Consumables!$H$5:$H$856,"Auto-deduct")</f>
        <v>0</v>
      </c>
      <c r="AO72" s="15" t="n">
        <f aca="false">SUMIFS(Service_Consumables!$L$5:$L$856,Service_Consumables!$A$5:$A$856,$A72,Service_Consumables!$E$5:$E$856,AO$5,Service_Consumables!$H$5:$H$856,"Auto-deduct")</f>
        <v>20</v>
      </c>
      <c r="AP72" s="15" t="n">
        <f aca="false">SUMIFS(Service_Consumables!$L$5:$L$856,Service_Consumables!$A$5:$A$856,$A72,Service_Consumables!$E$5:$E$856,AP$5,Service_Consumables!$H$5:$H$856,"Auto-deduct")</f>
        <v>0</v>
      </c>
      <c r="AQ72" s="15" t="n">
        <f aca="false">SUMIFS(Service_Consumables!$L$5:$L$856,Service_Consumables!$A$5:$A$856,$A72,Service_Consumables!$E$5:$E$856,AQ$5,Service_Consumables!$H$5:$H$856,"Auto-deduct")</f>
        <v>0</v>
      </c>
      <c r="AR72" s="15" t="n">
        <f aca="false">SUMIFS(Service_Consumables!$L$5:$L$856,Service_Consumables!$A$5:$A$856,$A72,Service_Consumables!$E$5:$E$856,AR$5,Service_Consumables!$H$5:$H$856,"Auto-deduct")</f>
        <v>0</v>
      </c>
      <c r="AS72" s="15" t="n">
        <f aca="false">SUMIFS(Service_Consumables!$L$5:$L$856,Service_Consumables!$A$5:$A$856,$A72,Service_Consumables!$E$5:$E$856,AS$5,Service_Consumables!$H$5:$H$856,"Auto-deduct")</f>
        <v>0</v>
      </c>
      <c r="AT72" s="15" t="n">
        <f aca="false">SUMIFS(Service_Consumables!$L$5:$L$856,Service_Consumables!$A$5:$A$856,$A72,Service_Consumables!$E$5:$E$856,AT$5,Service_Consumables!$H$5:$H$856,"Auto-deduct")</f>
        <v>0</v>
      </c>
      <c r="AU72" s="15" t="n">
        <f aca="false">SUMIFS(Service_Consumables!$L$5:$L$856,Service_Consumables!$A$5:$A$856,$A72,Service_Consumables!$E$5:$E$856,AU$5,Service_Consumables!$H$5:$H$856,"Auto-deduct")</f>
        <v>0</v>
      </c>
      <c r="AV72" s="15" t="n">
        <f aca="false">SUMIFS(Service_Consumables!$L$5:$L$856,Service_Consumables!$A$5:$A$856,$A72,Service_Consumables!$E$5:$E$856,AV$5,Service_Consumables!$H$5:$H$856,"Auto-deduct")</f>
        <v>0</v>
      </c>
      <c r="AW72" s="15" t="n">
        <f aca="false">SUMIFS(Service_Consumables!$L$5:$L$856,Service_Consumables!$A$5:$A$856,$A72,Service_Consumables!$E$5:$E$856,AW$5,Service_Consumables!$H$5:$H$856,"Auto-deduct")</f>
        <v>0</v>
      </c>
      <c r="AX72" s="15" t="n">
        <f aca="false">SUMIFS(Service_Consumables!$L$5:$L$856,Service_Consumables!$A$5:$A$856,$A72,Service_Consumables!$E$5:$E$856,AX$5,Service_Consumables!$H$5:$H$856,"Auto-deduct")</f>
        <v>0</v>
      </c>
      <c r="AY72" s="15" t="n">
        <f aca="false">SUMIFS(Service_Consumables!$L$5:$L$856,Service_Consumables!$A$5:$A$856,$A72,Service_Consumables!$E$5:$E$856,AY$5,Service_Consumables!$H$5:$H$856,"Auto-deduct")</f>
        <v>0</v>
      </c>
      <c r="AZ72" s="15" t="n">
        <f aca="false">SUMIFS(Service_Consumables!$L$5:$L$856,Service_Consumables!$A$5:$A$856,$A72,Service_Consumables!$E$5:$E$856,AZ$5,Service_Consumables!$H$5:$H$856,"Auto-deduct")</f>
        <v>0</v>
      </c>
      <c r="BA72" s="15" t="n">
        <f aca="false">SUMIFS(Service_Consumables!$L$5:$L$856,Service_Consumables!$A$5:$A$856,$A72,Service_Consumables!$E$5:$E$856,BA$5,Service_Consumables!$H$5:$H$856,"Auto-deduct")</f>
        <v>3</v>
      </c>
      <c r="BB72" s="15" t="n">
        <f aca="false">SUMIFS(Service_Consumables!$L$5:$L$856,Service_Consumables!$A$5:$A$856,$A72,Service_Consumables!$E$5:$E$856,BB$5,Service_Consumables!$H$5:$H$856,"Auto-deduct")</f>
        <v>0</v>
      </c>
      <c r="BC72" s="15" t="n">
        <f aca="false">SUMIFS(Service_Consumables!$L$5:$L$856,Service_Consumables!$A$5:$A$856,$A72,Service_Consumables!$E$5:$E$856,BC$5,Service_Consumables!$H$5:$H$856,"Auto-deduct")</f>
        <v>0</v>
      </c>
      <c r="BD72" s="15" t="n">
        <f aca="false">SUMIFS(Service_Consumables!$L$5:$L$856,Service_Consumables!$A$5:$A$856,$A72,Service_Consumables!$E$5:$E$856,BD$5,Service_Consumables!$H$5:$H$856,"Auto-deduct")</f>
        <v>0</v>
      </c>
      <c r="BE72" s="15" t="n">
        <f aca="false">SUMIFS(Service_Consumables!$L$5:$L$856,Service_Consumables!$A$5:$A$856,$A72,Service_Consumables!$E$5:$E$856,BE$5,Service_Consumables!$H$5:$H$856,"Auto-deduct")</f>
        <v>0</v>
      </c>
      <c r="BF72" s="15" t="n">
        <f aca="false">SUMIFS(Service_Consumables!$L$5:$L$856,Service_Consumables!$A$5:$A$856,$A72,Service_Consumables!$E$5:$E$856,BF$5,Service_Consumables!$H$5:$H$856,"Auto-deduct")</f>
        <v>0</v>
      </c>
      <c r="BG72" s="15" t="n">
        <f aca="false">SUMIFS(Service_Consumables!$L$5:$L$856,Service_Consumables!$A$5:$A$856,$A72,Service_Consumables!$E$5:$E$856,BG$5,Service_Consumables!$H$5:$H$856,"Auto-deduct")</f>
        <v>0</v>
      </c>
      <c r="BH72" s="15" t="n">
        <f aca="false">SUMIFS(Service_Consumables!$L$5:$L$856,Service_Consumables!$A$5:$A$856,$A72,Service_Consumables!$E$5:$E$856,BH$5,Service_Consumables!$H$5:$H$856,"Auto-deduct")</f>
        <v>0</v>
      </c>
      <c r="BI72" s="15" t="n">
        <f aca="false">SUMIFS(Service_Consumables!$L$5:$L$856,Service_Consumables!$A$5:$A$856,$A72,Service_Consumables!$E$5:$E$856,BI$5,Service_Consumables!$H$5:$H$856,"Auto-deduct")</f>
        <v>0</v>
      </c>
    </row>
    <row r="73" customFormat="false" ht="15" hidden="false" customHeight="false" outlineLevel="0" collapsed="false">
      <c r="A73" s="14" t="n">
        <f aca="false">Services!A72</f>
        <v>68</v>
      </c>
      <c r="B73" s="14" t="str">
        <f aca="false">Services!B72</f>
        <v>Chemical Peeling (TCA)</v>
      </c>
      <c r="C73" s="14" t="str">
        <f aca="false">Services!C72</f>
        <v>Back</v>
      </c>
      <c r="D73" s="15" t="n">
        <f aca="false">SUMIFS(Service_Consumables!$L$5:$L$856,Service_Consumables!$A$5:$A$856,$A73,Service_Consumables!$E$5:$E$856,D$5,Service_Consumables!$H$5:$H$856,"Auto-deduct")</f>
        <v>0</v>
      </c>
      <c r="E73" s="15" t="n">
        <f aca="false">SUMIFS(Service_Consumables!$L$5:$L$856,Service_Consumables!$A$5:$A$856,$A73,Service_Consumables!$E$5:$E$856,E$5,Service_Consumables!$H$5:$H$856,"Auto-deduct")</f>
        <v>0</v>
      </c>
      <c r="F73" s="15" t="n">
        <f aca="false">SUMIFS(Service_Consumables!$L$5:$L$856,Service_Consumables!$A$5:$A$856,$A73,Service_Consumables!$E$5:$E$856,F$5,Service_Consumables!$H$5:$H$856,"Auto-deduct")</f>
        <v>0</v>
      </c>
      <c r="G73" s="15" t="n">
        <f aca="false">SUMIFS(Service_Consumables!$L$5:$L$856,Service_Consumables!$A$5:$A$856,$A73,Service_Consumables!$E$5:$E$856,G$5,Service_Consumables!$H$5:$H$856,"Auto-deduct")</f>
        <v>0</v>
      </c>
      <c r="H73" s="15" t="n">
        <f aca="false">SUMIFS(Service_Consumables!$L$5:$L$856,Service_Consumables!$A$5:$A$856,$A73,Service_Consumables!$E$5:$E$856,H$5,Service_Consumables!$H$5:$H$856,"Auto-deduct")</f>
        <v>0</v>
      </c>
      <c r="I73" s="15" t="n">
        <f aca="false">SUMIFS(Service_Consumables!$L$5:$L$856,Service_Consumables!$A$5:$A$856,$A73,Service_Consumables!$E$5:$E$856,I$5,Service_Consumables!$H$5:$H$856,"Auto-deduct")</f>
        <v>0</v>
      </c>
      <c r="J73" s="15" t="n">
        <f aca="false">SUMIFS(Service_Consumables!$L$5:$L$856,Service_Consumables!$A$5:$A$856,$A73,Service_Consumables!$E$5:$E$856,J$5,Service_Consumables!$H$5:$H$856,"Auto-deduct")</f>
        <v>0</v>
      </c>
      <c r="K73" s="15" t="n">
        <f aca="false">SUMIFS(Service_Consumables!$L$5:$L$856,Service_Consumables!$A$5:$A$856,$A73,Service_Consumables!$E$5:$E$856,K$5,Service_Consumables!$H$5:$H$856,"Auto-deduct")</f>
        <v>0</v>
      </c>
      <c r="L73" s="15" t="n">
        <f aca="false">SUMIFS(Service_Consumables!$L$5:$L$856,Service_Consumables!$A$5:$A$856,$A73,Service_Consumables!$E$5:$E$856,L$5,Service_Consumables!$H$5:$H$856,"Auto-deduct")</f>
        <v>0</v>
      </c>
      <c r="M73" s="15" t="n">
        <f aca="false">SUMIFS(Service_Consumables!$L$5:$L$856,Service_Consumables!$A$5:$A$856,$A73,Service_Consumables!$E$5:$E$856,M$5,Service_Consumables!$H$5:$H$856,"Auto-deduct")</f>
        <v>0</v>
      </c>
      <c r="N73" s="15" t="n">
        <f aca="false">SUMIFS(Service_Consumables!$L$5:$L$856,Service_Consumables!$A$5:$A$856,$A73,Service_Consumables!$E$5:$E$856,N$5,Service_Consumables!$H$5:$H$856,"Auto-deduct")</f>
        <v>0</v>
      </c>
      <c r="O73" s="15" t="n">
        <f aca="false">SUMIFS(Service_Consumables!$L$5:$L$856,Service_Consumables!$A$5:$A$856,$A73,Service_Consumables!$E$5:$E$856,O$5,Service_Consumables!$H$5:$H$856,"Auto-deduct")</f>
        <v>0</v>
      </c>
      <c r="P73" s="15" t="n">
        <f aca="false">SUMIFS(Service_Consumables!$L$5:$L$856,Service_Consumables!$A$5:$A$856,$A73,Service_Consumables!$E$5:$E$856,P$5,Service_Consumables!$H$5:$H$856,"Auto-deduct")</f>
        <v>1</v>
      </c>
      <c r="Q73" s="15" t="n">
        <f aca="false">SUMIFS(Service_Consumables!$L$5:$L$856,Service_Consumables!$A$5:$A$856,$A73,Service_Consumables!$E$5:$E$856,Q$5,Service_Consumables!$H$5:$H$856,"Auto-deduct")</f>
        <v>1</v>
      </c>
      <c r="R73" s="15" t="n">
        <f aca="false">SUMIFS(Service_Consumables!$L$5:$L$856,Service_Consumables!$A$5:$A$856,$A73,Service_Consumables!$E$5:$E$856,R$5,Service_Consumables!$H$5:$H$856,"Auto-deduct")</f>
        <v>0</v>
      </c>
      <c r="S73" s="15" t="n">
        <f aca="false">SUMIFS(Service_Consumables!$L$5:$L$856,Service_Consumables!$A$5:$A$856,$A73,Service_Consumables!$E$5:$E$856,S$5,Service_Consumables!$H$5:$H$856,"Auto-deduct")</f>
        <v>4</v>
      </c>
      <c r="T73" s="15" t="n">
        <f aca="false">SUMIFS(Service_Consumables!$L$5:$L$856,Service_Consumables!$A$5:$A$856,$A73,Service_Consumables!$E$5:$E$856,T$5,Service_Consumables!$H$5:$H$856,"Auto-deduct")</f>
        <v>0</v>
      </c>
      <c r="U73" s="15" t="n">
        <f aca="false">SUMIFS(Service_Consumables!$L$5:$L$856,Service_Consumables!$A$5:$A$856,$A73,Service_Consumables!$E$5:$E$856,U$5,Service_Consumables!$H$5:$H$856,"Auto-deduct")</f>
        <v>0</v>
      </c>
      <c r="V73" s="15" t="n">
        <f aca="false">SUMIFS(Service_Consumables!$L$5:$L$856,Service_Consumables!$A$5:$A$856,$A73,Service_Consumables!$E$5:$E$856,V$5,Service_Consumables!$H$5:$H$856,"Auto-deduct")</f>
        <v>5</v>
      </c>
      <c r="W73" s="15" t="n">
        <f aca="false">SUMIFS(Service_Consumables!$L$5:$L$856,Service_Consumables!$A$5:$A$856,$A73,Service_Consumables!$E$5:$E$856,W$5,Service_Consumables!$H$5:$H$856,"Auto-deduct")</f>
        <v>6</v>
      </c>
      <c r="X73" s="15" t="n">
        <f aca="false">SUMIFS(Service_Consumables!$L$5:$L$856,Service_Consumables!$A$5:$A$856,$A73,Service_Consumables!$E$5:$E$856,X$5,Service_Consumables!$H$5:$H$856,"Auto-deduct")</f>
        <v>0</v>
      </c>
      <c r="Y73" s="15" t="n">
        <f aca="false">SUMIFS(Service_Consumables!$L$5:$L$856,Service_Consumables!$A$5:$A$856,$A73,Service_Consumables!$E$5:$E$856,Y$5,Service_Consumables!$H$5:$H$856,"Auto-deduct")</f>
        <v>0</v>
      </c>
      <c r="Z73" s="15" t="n">
        <f aca="false">SUMIFS(Service_Consumables!$L$5:$L$856,Service_Consumables!$A$5:$A$856,$A73,Service_Consumables!$E$5:$E$856,Z$5,Service_Consumables!$H$5:$H$856,"Auto-deduct")</f>
        <v>0</v>
      </c>
      <c r="AA73" s="15" t="n">
        <f aca="false">SUMIFS(Service_Consumables!$L$5:$L$856,Service_Consumables!$A$5:$A$856,$A73,Service_Consumables!$E$5:$E$856,AA$5,Service_Consumables!$H$5:$H$856,"Auto-deduct")</f>
        <v>4</v>
      </c>
      <c r="AB73" s="15" t="n">
        <f aca="false">SUMIFS(Service_Consumables!$L$5:$L$856,Service_Consumables!$A$5:$A$856,$A73,Service_Consumables!$E$5:$E$856,AB$5,Service_Consumables!$H$5:$H$856,"Auto-deduct")</f>
        <v>0</v>
      </c>
      <c r="AC73" s="15" t="n">
        <f aca="false">SUMIFS(Service_Consumables!$L$5:$L$856,Service_Consumables!$A$5:$A$856,$A73,Service_Consumables!$E$5:$E$856,AC$5,Service_Consumables!$H$5:$H$856,"Auto-deduct")</f>
        <v>2</v>
      </c>
      <c r="AD73" s="15" t="n">
        <f aca="false">SUMIFS(Service_Consumables!$L$5:$L$856,Service_Consumables!$A$5:$A$856,$A73,Service_Consumables!$E$5:$E$856,AD$5,Service_Consumables!$H$5:$H$856,"Auto-deduct")</f>
        <v>5</v>
      </c>
      <c r="AE73" s="15" t="n">
        <f aca="false">SUMIFS(Service_Consumables!$L$5:$L$856,Service_Consumables!$A$5:$A$856,$A73,Service_Consumables!$E$5:$E$856,AE$5,Service_Consumables!$H$5:$H$856,"Auto-deduct")</f>
        <v>0</v>
      </c>
      <c r="AF73" s="15" t="n">
        <f aca="false">SUMIFS(Service_Consumables!$L$5:$L$856,Service_Consumables!$A$5:$A$856,$A73,Service_Consumables!$E$5:$E$856,AF$5,Service_Consumables!$H$5:$H$856,"Auto-deduct")</f>
        <v>5</v>
      </c>
      <c r="AG73" s="15" t="n">
        <f aca="false">SUMIFS(Service_Consumables!$L$5:$L$856,Service_Consumables!$A$5:$A$856,$A73,Service_Consumables!$E$5:$E$856,AG$5,Service_Consumables!$H$5:$H$856,"Auto-deduct")</f>
        <v>0</v>
      </c>
      <c r="AH73" s="15" t="n">
        <f aca="false">SUMIFS(Service_Consumables!$L$5:$L$856,Service_Consumables!$A$5:$A$856,$A73,Service_Consumables!$E$5:$E$856,AH$5,Service_Consumables!$H$5:$H$856,"Auto-deduct")</f>
        <v>0</v>
      </c>
      <c r="AI73" s="15" t="n">
        <f aca="false">SUMIFS(Service_Consumables!$L$5:$L$856,Service_Consumables!$A$5:$A$856,$A73,Service_Consumables!$E$5:$E$856,AI$5,Service_Consumables!$H$5:$H$856,"Auto-deduct")</f>
        <v>0</v>
      </c>
      <c r="AJ73" s="15" t="n">
        <f aca="false">SUMIFS(Service_Consumables!$L$5:$L$856,Service_Consumables!$A$5:$A$856,$A73,Service_Consumables!$E$5:$E$856,AJ$5,Service_Consumables!$H$5:$H$856,"Auto-deduct")</f>
        <v>0</v>
      </c>
      <c r="AK73" s="15" t="n">
        <f aca="false">SUMIFS(Service_Consumables!$L$5:$L$856,Service_Consumables!$A$5:$A$856,$A73,Service_Consumables!$E$5:$E$856,AK$5,Service_Consumables!$H$5:$H$856,"Auto-deduct")</f>
        <v>0</v>
      </c>
      <c r="AL73" s="15" t="n">
        <f aca="false">SUMIFS(Service_Consumables!$L$5:$L$856,Service_Consumables!$A$5:$A$856,$A73,Service_Consumables!$E$5:$E$856,AL$5,Service_Consumables!$H$5:$H$856,"Auto-deduct")</f>
        <v>0</v>
      </c>
      <c r="AM73" s="15" t="n">
        <f aca="false">SUMIFS(Service_Consumables!$L$5:$L$856,Service_Consumables!$A$5:$A$856,$A73,Service_Consumables!$E$5:$E$856,AM$5,Service_Consumables!$H$5:$H$856,"Auto-deduct")</f>
        <v>0</v>
      </c>
      <c r="AN73" s="15" t="n">
        <f aca="false">SUMIFS(Service_Consumables!$L$5:$L$856,Service_Consumables!$A$5:$A$856,$A73,Service_Consumables!$E$5:$E$856,AN$5,Service_Consumables!$H$5:$H$856,"Auto-deduct")</f>
        <v>0</v>
      </c>
      <c r="AO73" s="15" t="n">
        <f aca="false">SUMIFS(Service_Consumables!$L$5:$L$856,Service_Consumables!$A$5:$A$856,$A73,Service_Consumables!$E$5:$E$856,AO$5,Service_Consumables!$H$5:$H$856,"Auto-deduct")</f>
        <v>20</v>
      </c>
      <c r="AP73" s="15" t="n">
        <f aca="false">SUMIFS(Service_Consumables!$L$5:$L$856,Service_Consumables!$A$5:$A$856,$A73,Service_Consumables!$E$5:$E$856,AP$5,Service_Consumables!$H$5:$H$856,"Auto-deduct")</f>
        <v>0</v>
      </c>
      <c r="AQ73" s="15" t="n">
        <f aca="false">SUMIFS(Service_Consumables!$L$5:$L$856,Service_Consumables!$A$5:$A$856,$A73,Service_Consumables!$E$5:$E$856,AQ$5,Service_Consumables!$H$5:$H$856,"Auto-deduct")</f>
        <v>0</v>
      </c>
      <c r="AR73" s="15" t="n">
        <f aca="false">SUMIFS(Service_Consumables!$L$5:$L$856,Service_Consumables!$A$5:$A$856,$A73,Service_Consumables!$E$5:$E$856,AR$5,Service_Consumables!$H$5:$H$856,"Auto-deduct")</f>
        <v>0</v>
      </c>
      <c r="AS73" s="15" t="n">
        <f aca="false">SUMIFS(Service_Consumables!$L$5:$L$856,Service_Consumables!$A$5:$A$856,$A73,Service_Consumables!$E$5:$E$856,AS$5,Service_Consumables!$H$5:$H$856,"Auto-deduct")</f>
        <v>0</v>
      </c>
      <c r="AT73" s="15" t="n">
        <f aca="false">SUMIFS(Service_Consumables!$L$5:$L$856,Service_Consumables!$A$5:$A$856,$A73,Service_Consumables!$E$5:$E$856,AT$5,Service_Consumables!$H$5:$H$856,"Auto-deduct")</f>
        <v>0</v>
      </c>
      <c r="AU73" s="15" t="n">
        <f aca="false">SUMIFS(Service_Consumables!$L$5:$L$856,Service_Consumables!$A$5:$A$856,$A73,Service_Consumables!$E$5:$E$856,AU$5,Service_Consumables!$H$5:$H$856,"Auto-deduct")</f>
        <v>0</v>
      </c>
      <c r="AV73" s="15" t="n">
        <f aca="false">SUMIFS(Service_Consumables!$L$5:$L$856,Service_Consumables!$A$5:$A$856,$A73,Service_Consumables!$E$5:$E$856,AV$5,Service_Consumables!$H$5:$H$856,"Auto-deduct")</f>
        <v>0</v>
      </c>
      <c r="AW73" s="15" t="n">
        <f aca="false">SUMIFS(Service_Consumables!$L$5:$L$856,Service_Consumables!$A$5:$A$856,$A73,Service_Consumables!$E$5:$E$856,AW$5,Service_Consumables!$H$5:$H$856,"Auto-deduct")</f>
        <v>0</v>
      </c>
      <c r="AX73" s="15" t="n">
        <f aca="false">SUMIFS(Service_Consumables!$L$5:$L$856,Service_Consumables!$A$5:$A$856,$A73,Service_Consumables!$E$5:$E$856,AX$5,Service_Consumables!$H$5:$H$856,"Auto-deduct")</f>
        <v>0</v>
      </c>
      <c r="AY73" s="15" t="n">
        <f aca="false">SUMIFS(Service_Consumables!$L$5:$L$856,Service_Consumables!$A$5:$A$856,$A73,Service_Consumables!$E$5:$E$856,AY$5,Service_Consumables!$H$5:$H$856,"Auto-deduct")</f>
        <v>0</v>
      </c>
      <c r="AZ73" s="15" t="n">
        <f aca="false">SUMIFS(Service_Consumables!$L$5:$L$856,Service_Consumables!$A$5:$A$856,$A73,Service_Consumables!$E$5:$E$856,AZ$5,Service_Consumables!$H$5:$H$856,"Auto-deduct")</f>
        <v>0</v>
      </c>
      <c r="BA73" s="15" t="n">
        <f aca="false">SUMIFS(Service_Consumables!$L$5:$L$856,Service_Consumables!$A$5:$A$856,$A73,Service_Consumables!$E$5:$E$856,BA$5,Service_Consumables!$H$5:$H$856,"Auto-deduct")</f>
        <v>3</v>
      </c>
      <c r="BB73" s="15" t="n">
        <f aca="false">SUMIFS(Service_Consumables!$L$5:$L$856,Service_Consumables!$A$5:$A$856,$A73,Service_Consumables!$E$5:$E$856,BB$5,Service_Consumables!$H$5:$H$856,"Auto-deduct")</f>
        <v>0</v>
      </c>
      <c r="BC73" s="15" t="n">
        <f aca="false">SUMIFS(Service_Consumables!$L$5:$L$856,Service_Consumables!$A$5:$A$856,$A73,Service_Consumables!$E$5:$E$856,BC$5,Service_Consumables!$H$5:$H$856,"Auto-deduct")</f>
        <v>0</v>
      </c>
      <c r="BD73" s="15" t="n">
        <f aca="false">SUMIFS(Service_Consumables!$L$5:$L$856,Service_Consumables!$A$5:$A$856,$A73,Service_Consumables!$E$5:$E$856,BD$5,Service_Consumables!$H$5:$H$856,"Auto-deduct")</f>
        <v>0</v>
      </c>
      <c r="BE73" s="15" t="n">
        <f aca="false">SUMIFS(Service_Consumables!$L$5:$L$856,Service_Consumables!$A$5:$A$856,$A73,Service_Consumables!$E$5:$E$856,BE$5,Service_Consumables!$H$5:$H$856,"Auto-deduct")</f>
        <v>0</v>
      </c>
      <c r="BF73" s="15" t="n">
        <f aca="false">SUMIFS(Service_Consumables!$L$5:$L$856,Service_Consumables!$A$5:$A$856,$A73,Service_Consumables!$E$5:$E$856,BF$5,Service_Consumables!$H$5:$H$856,"Auto-deduct")</f>
        <v>0</v>
      </c>
      <c r="BG73" s="15" t="n">
        <f aca="false">SUMIFS(Service_Consumables!$L$5:$L$856,Service_Consumables!$A$5:$A$856,$A73,Service_Consumables!$E$5:$E$856,BG$5,Service_Consumables!$H$5:$H$856,"Auto-deduct")</f>
        <v>0</v>
      </c>
      <c r="BH73" s="15" t="n">
        <f aca="false">SUMIFS(Service_Consumables!$L$5:$L$856,Service_Consumables!$A$5:$A$856,$A73,Service_Consumables!$E$5:$E$856,BH$5,Service_Consumables!$H$5:$H$856,"Auto-deduct")</f>
        <v>0</v>
      </c>
      <c r="BI73" s="15" t="n">
        <f aca="false">SUMIFS(Service_Consumables!$L$5:$L$856,Service_Consumables!$A$5:$A$856,$A73,Service_Consumables!$E$5:$E$856,BI$5,Service_Consumables!$H$5:$H$856,"Auto-deduct")</f>
        <v>0</v>
      </c>
    </row>
    <row r="74" customFormat="false" ht="15" hidden="false" customHeight="false" outlineLevel="0" collapsed="false">
      <c r="A74" s="14" t="n">
        <f aca="false">Services!A73</f>
        <v>69</v>
      </c>
      <c r="B74" s="14" t="str">
        <f aca="false">Services!B73</f>
        <v>Chemical Peeling (TCA)</v>
      </c>
      <c r="C74" s="14" t="str">
        <f aca="false">Services!C73</f>
        <v>Thigh</v>
      </c>
      <c r="D74" s="15" t="n">
        <f aca="false">SUMIFS(Service_Consumables!$L$5:$L$856,Service_Consumables!$A$5:$A$856,$A74,Service_Consumables!$E$5:$E$856,D$5,Service_Consumables!$H$5:$H$856,"Auto-deduct")</f>
        <v>0</v>
      </c>
      <c r="E74" s="15" t="n">
        <f aca="false">SUMIFS(Service_Consumables!$L$5:$L$856,Service_Consumables!$A$5:$A$856,$A74,Service_Consumables!$E$5:$E$856,E$5,Service_Consumables!$H$5:$H$856,"Auto-deduct")</f>
        <v>0</v>
      </c>
      <c r="F74" s="15" t="n">
        <f aca="false">SUMIFS(Service_Consumables!$L$5:$L$856,Service_Consumables!$A$5:$A$856,$A74,Service_Consumables!$E$5:$E$856,F$5,Service_Consumables!$H$5:$H$856,"Auto-deduct")</f>
        <v>0</v>
      </c>
      <c r="G74" s="15" t="n">
        <f aca="false">SUMIFS(Service_Consumables!$L$5:$L$856,Service_Consumables!$A$5:$A$856,$A74,Service_Consumables!$E$5:$E$856,G$5,Service_Consumables!$H$5:$H$856,"Auto-deduct")</f>
        <v>0</v>
      </c>
      <c r="H74" s="15" t="n">
        <f aca="false">SUMIFS(Service_Consumables!$L$5:$L$856,Service_Consumables!$A$5:$A$856,$A74,Service_Consumables!$E$5:$E$856,H$5,Service_Consumables!$H$5:$H$856,"Auto-deduct")</f>
        <v>0</v>
      </c>
      <c r="I74" s="15" t="n">
        <f aca="false">SUMIFS(Service_Consumables!$L$5:$L$856,Service_Consumables!$A$5:$A$856,$A74,Service_Consumables!$E$5:$E$856,I$5,Service_Consumables!$H$5:$H$856,"Auto-deduct")</f>
        <v>0</v>
      </c>
      <c r="J74" s="15" t="n">
        <f aca="false">SUMIFS(Service_Consumables!$L$5:$L$856,Service_Consumables!$A$5:$A$856,$A74,Service_Consumables!$E$5:$E$856,J$5,Service_Consumables!$H$5:$H$856,"Auto-deduct")</f>
        <v>0</v>
      </c>
      <c r="K74" s="15" t="n">
        <f aca="false">SUMIFS(Service_Consumables!$L$5:$L$856,Service_Consumables!$A$5:$A$856,$A74,Service_Consumables!$E$5:$E$856,K$5,Service_Consumables!$H$5:$H$856,"Auto-deduct")</f>
        <v>0</v>
      </c>
      <c r="L74" s="15" t="n">
        <f aca="false">SUMIFS(Service_Consumables!$L$5:$L$856,Service_Consumables!$A$5:$A$856,$A74,Service_Consumables!$E$5:$E$856,L$5,Service_Consumables!$H$5:$H$856,"Auto-deduct")</f>
        <v>0</v>
      </c>
      <c r="M74" s="15" t="n">
        <f aca="false">SUMIFS(Service_Consumables!$L$5:$L$856,Service_Consumables!$A$5:$A$856,$A74,Service_Consumables!$E$5:$E$856,M$5,Service_Consumables!$H$5:$H$856,"Auto-deduct")</f>
        <v>0</v>
      </c>
      <c r="N74" s="15" t="n">
        <f aca="false">SUMIFS(Service_Consumables!$L$5:$L$856,Service_Consumables!$A$5:$A$856,$A74,Service_Consumables!$E$5:$E$856,N$5,Service_Consumables!$H$5:$H$856,"Auto-deduct")</f>
        <v>0</v>
      </c>
      <c r="O74" s="15" t="n">
        <f aca="false">SUMIFS(Service_Consumables!$L$5:$L$856,Service_Consumables!$A$5:$A$856,$A74,Service_Consumables!$E$5:$E$856,O$5,Service_Consumables!$H$5:$H$856,"Auto-deduct")</f>
        <v>0</v>
      </c>
      <c r="P74" s="15" t="n">
        <f aca="false">SUMIFS(Service_Consumables!$L$5:$L$856,Service_Consumables!$A$5:$A$856,$A74,Service_Consumables!$E$5:$E$856,P$5,Service_Consumables!$H$5:$H$856,"Auto-deduct")</f>
        <v>1</v>
      </c>
      <c r="Q74" s="15" t="n">
        <f aca="false">SUMIFS(Service_Consumables!$L$5:$L$856,Service_Consumables!$A$5:$A$856,$A74,Service_Consumables!$E$5:$E$856,Q$5,Service_Consumables!$H$5:$H$856,"Auto-deduct")</f>
        <v>1</v>
      </c>
      <c r="R74" s="15" t="n">
        <f aca="false">SUMIFS(Service_Consumables!$L$5:$L$856,Service_Consumables!$A$5:$A$856,$A74,Service_Consumables!$E$5:$E$856,R$5,Service_Consumables!$H$5:$H$856,"Auto-deduct")</f>
        <v>0</v>
      </c>
      <c r="S74" s="15" t="n">
        <f aca="false">SUMIFS(Service_Consumables!$L$5:$L$856,Service_Consumables!$A$5:$A$856,$A74,Service_Consumables!$E$5:$E$856,S$5,Service_Consumables!$H$5:$H$856,"Auto-deduct")</f>
        <v>8</v>
      </c>
      <c r="T74" s="15" t="n">
        <f aca="false">SUMIFS(Service_Consumables!$L$5:$L$856,Service_Consumables!$A$5:$A$856,$A74,Service_Consumables!$E$5:$E$856,T$5,Service_Consumables!$H$5:$H$856,"Auto-deduct")</f>
        <v>0</v>
      </c>
      <c r="U74" s="15" t="n">
        <f aca="false">SUMIFS(Service_Consumables!$L$5:$L$856,Service_Consumables!$A$5:$A$856,$A74,Service_Consumables!$E$5:$E$856,U$5,Service_Consumables!$H$5:$H$856,"Auto-deduct")</f>
        <v>0</v>
      </c>
      <c r="V74" s="15" t="n">
        <f aca="false">SUMIFS(Service_Consumables!$L$5:$L$856,Service_Consumables!$A$5:$A$856,$A74,Service_Consumables!$E$5:$E$856,V$5,Service_Consumables!$H$5:$H$856,"Auto-deduct")</f>
        <v>10</v>
      </c>
      <c r="W74" s="15" t="n">
        <f aca="false">SUMIFS(Service_Consumables!$L$5:$L$856,Service_Consumables!$A$5:$A$856,$A74,Service_Consumables!$E$5:$E$856,W$5,Service_Consumables!$H$5:$H$856,"Auto-deduct")</f>
        <v>12</v>
      </c>
      <c r="X74" s="15" t="n">
        <f aca="false">SUMIFS(Service_Consumables!$L$5:$L$856,Service_Consumables!$A$5:$A$856,$A74,Service_Consumables!$E$5:$E$856,X$5,Service_Consumables!$H$5:$H$856,"Auto-deduct")</f>
        <v>0</v>
      </c>
      <c r="Y74" s="15" t="n">
        <f aca="false">SUMIFS(Service_Consumables!$L$5:$L$856,Service_Consumables!$A$5:$A$856,$A74,Service_Consumables!$E$5:$E$856,Y$5,Service_Consumables!$H$5:$H$856,"Auto-deduct")</f>
        <v>0</v>
      </c>
      <c r="Z74" s="15" t="n">
        <f aca="false">SUMIFS(Service_Consumables!$L$5:$L$856,Service_Consumables!$A$5:$A$856,$A74,Service_Consumables!$E$5:$E$856,Z$5,Service_Consumables!$H$5:$H$856,"Auto-deduct")</f>
        <v>0</v>
      </c>
      <c r="AA74" s="15" t="n">
        <f aca="false">SUMIFS(Service_Consumables!$L$5:$L$856,Service_Consumables!$A$5:$A$856,$A74,Service_Consumables!$E$5:$E$856,AA$5,Service_Consumables!$H$5:$H$856,"Auto-deduct")</f>
        <v>8</v>
      </c>
      <c r="AB74" s="15" t="n">
        <f aca="false">SUMIFS(Service_Consumables!$L$5:$L$856,Service_Consumables!$A$5:$A$856,$A74,Service_Consumables!$E$5:$E$856,AB$5,Service_Consumables!$H$5:$H$856,"Auto-deduct")</f>
        <v>0</v>
      </c>
      <c r="AC74" s="15" t="n">
        <f aca="false">SUMIFS(Service_Consumables!$L$5:$L$856,Service_Consumables!$A$5:$A$856,$A74,Service_Consumables!$E$5:$E$856,AC$5,Service_Consumables!$H$5:$H$856,"Auto-deduct")</f>
        <v>4</v>
      </c>
      <c r="AD74" s="15" t="n">
        <f aca="false">SUMIFS(Service_Consumables!$L$5:$L$856,Service_Consumables!$A$5:$A$856,$A74,Service_Consumables!$E$5:$E$856,AD$5,Service_Consumables!$H$5:$H$856,"Auto-deduct")</f>
        <v>5</v>
      </c>
      <c r="AE74" s="15" t="n">
        <f aca="false">SUMIFS(Service_Consumables!$L$5:$L$856,Service_Consumables!$A$5:$A$856,$A74,Service_Consumables!$E$5:$E$856,AE$5,Service_Consumables!$H$5:$H$856,"Auto-deduct")</f>
        <v>0</v>
      </c>
      <c r="AF74" s="15" t="n">
        <f aca="false">SUMIFS(Service_Consumables!$L$5:$L$856,Service_Consumables!$A$5:$A$856,$A74,Service_Consumables!$E$5:$E$856,AF$5,Service_Consumables!$H$5:$H$856,"Auto-deduct")</f>
        <v>10</v>
      </c>
      <c r="AG74" s="15" t="n">
        <f aca="false">SUMIFS(Service_Consumables!$L$5:$L$856,Service_Consumables!$A$5:$A$856,$A74,Service_Consumables!$E$5:$E$856,AG$5,Service_Consumables!$H$5:$H$856,"Auto-deduct")</f>
        <v>0</v>
      </c>
      <c r="AH74" s="15" t="n">
        <f aca="false">SUMIFS(Service_Consumables!$L$5:$L$856,Service_Consumables!$A$5:$A$856,$A74,Service_Consumables!$E$5:$E$856,AH$5,Service_Consumables!$H$5:$H$856,"Auto-deduct")</f>
        <v>0</v>
      </c>
      <c r="AI74" s="15" t="n">
        <f aca="false">SUMIFS(Service_Consumables!$L$5:$L$856,Service_Consumables!$A$5:$A$856,$A74,Service_Consumables!$E$5:$E$856,AI$5,Service_Consumables!$H$5:$H$856,"Auto-deduct")</f>
        <v>0</v>
      </c>
      <c r="AJ74" s="15" t="n">
        <f aca="false">SUMIFS(Service_Consumables!$L$5:$L$856,Service_Consumables!$A$5:$A$856,$A74,Service_Consumables!$E$5:$E$856,AJ$5,Service_Consumables!$H$5:$H$856,"Auto-deduct")</f>
        <v>0</v>
      </c>
      <c r="AK74" s="15" t="n">
        <f aca="false">SUMIFS(Service_Consumables!$L$5:$L$856,Service_Consumables!$A$5:$A$856,$A74,Service_Consumables!$E$5:$E$856,AK$5,Service_Consumables!$H$5:$H$856,"Auto-deduct")</f>
        <v>0</v>
      </c>
      <c r="AL74" s="15" t="n">
        <f aca="false">SUMIFS(Service_Consumables!$L$5:$L$856,Service_Consumables!$A$5:$A$856,$A74,Service_Consumables!$E$5:$E$856,AL$5,Service_Consumables!$H$5:$H$856,"Auto-deduct")</f>
        <v>0</v>
      </c>
      <c r="AM74" s="15" t="n">
        <f aca="false">SUMIFS(Service_Consumables!$L$5:$L$856,Service_Consumables!$A$5:$A$856,$A74,Service_Consumables!$E$5:$E$856,AM$5,Service_Consumables!$H$5:$H$856,"Auto-deduct")</f>
        <v>0</v>
      </c>
      <c r="AN74" s="15" t="n">
        <f aca="false">SUMIFS(Service_Consumables!$L$5:$L$856,Service_Consumables!$A$5:$A$856,$A74,Service_Consumables!$E$5:$E$856,AN$5,Service_Consumables!$H$5:$H$856,"Auto-deduct")</f>
        <v>0</v>
      </c>
      <c r="AO74" s="15" t="n">
        <f aca="false">SUMIFS(Service_Consumables!$L$5:$L$856,Service_Consumables!$A$5:$A$856,$A74,Service_Consumables!$E$5:$E$856,AO$5,Service_Consumables!$H$5:$H$856,"Auto-deduct")</f>
        <v>40</v>
      </c>
      <c r="AP74" s="15" t="n">
        <f aca="false">SUMIFS(Service_Consumables!$L$5:$L$856,Service_Consumables!$A$5:$A$856,$A74,Service_Consumables!$E$5:$E$856,AP$5,Service_Consumables!$H$5:$H$856,"Auto-deduct")</f>
        <v>0</v>
      </c>
      <c r="AQ74" s="15" t="n">
        <f aca="false">SUMIFS(Service_Consumables!$L$5:$L$856,Service_Consumables!$A$5:$A$856,$A74,Service_Consumables!$E$5:$E$856,AQ$5,Service_Consumables!$H$5:$H$856,"Auto-deduct")</f>
        <v>0</v>
      </c>
      <c r="AR74" s="15" t="n">
        <f aca="false">SUMIFS(Service_Consumables!$L$5:$L$856,Service_Consumables!$A$5:$A$856,$A74,Service_Consumables!$E$5:$E$856,AR$5,Service_Consumables!$H$5:$H$856,"Auto-deduct")</f>
        <v>0</v>
      </c>
      <c r="AS74" s="15" t="n">
        <f aca="false">SUMIFS(Service_Consumables!$L$5:$L$856,Service_Consumables!$A$5:$A$856,$A74,Service_Consumables!$E$5:$E$856,AS$5,Service_Consumables!$H$5:$H$856,"Auto-deduct")</f>
        <v>0</v>
      </c>
      <c r="AT74" s="15" t="n">
        <f aca="false">SUMIFS(Service_Consumables!$L$5:$L$856,Service_Consumables!$A$5:$A$856,$A74,Service_Consumables!$E$5:$E$856,AT$5,Service_Consumables!$H$5:$H$856,"Auto-deduct")</f>
        <v>0</v>
      </c>
      <c r="AU74" s="15" t="n">
        <f aca="false">SUMIFS(Service_Consumables!$L$5:$L$856,Service_Consumables!$A$5:$A$856,$A74,Service_Consumables!$E$5:$E$856,AU$5,Service_Consumables!$H$5:$H$856,"Auto-deduct")</f>
        <v>0</v>
      </c>
      <c r="AV74" s="15" t="n">
        <f aca="false">SUMIFS(Service_Consumables!$L$5:$L$856,Service_Consumables!$A$5:$A$856,$A74,Service_Consumables!$E$5:$E$856,AV$5,Service_Consumables!$H$5:$H$856,"Auto-deduct")</f>
        <v>0</v>
      </c>
      <c r="AW74" s="15" t="n">
        <f aca="false">SUMIFS(Service_Consumables!$L$5:$L$856,Service_Consumables!$A$5:$A$856,$A74,Service_Consumables!$E$5:$E$856,AW$5,Service_Consumables!$H$5:$H$856,"Auto-deduct")</f>
        <v>0</v>
      </c>
      <c r="AX74" s="15" t="n">
        <f aca="false">SUMIFS(Service_Consumables!$L$5:$L$856,Service_Consumables!$A$5:$A$856,$A74,Service_Consumables!$E$5:$E$856,AX$5,Service_Consumables!$H$5:$H$856,"Auto-deduct")</f>
        <v>0</v>
      </c>
      <c r="AY74" s="15" t="n">
        <f aca="false">SUMIFS(Service_Consumables!$L$5:$L$856,Service_Consumables!$A$5:$A$856,$A74,Service_Consumables!$E$5:$E$856,AY$5,Service_Consumables!$H$5:$H$856,"Auto-deduct")</f>
        <v>0</v>
      </c>
      <c r="AZ74" s="15" t="n">
        <f aca="false">SUMIFS(Service_Consumables!$L$5:$L$856,Service_Consumables!$A$5:$A$856,$A74,Service_Consumables!$E$5:$E$856,AZ$5,Service_Consumables!$H$5:$H$856,"Auto-deduct")</f>
        <v>0</v>
      </c>
      <c r="BA74" s="15" t="n">
        <f aca="false">SUMIFS(Service_Consumables!$L$5:$L$856,Service_Consumables!$A$5:$A$856,$A74,Service_Consumables!$E$5:$E$856,BA$5,Service_Consumables!$H$5:$H$856,"Auto-deduct")</f>
        <v>6</v>
      </c>
      <c r="BB74" s="15" t="n">
        <f aca="false">SUMIFS(Service_Consumables!$L$5:$L$856,Service_Consumables!$A$5:$A$856,$A74,Service_Consumables!$E$5:$E$856,BB$5,Service_Consumables!$H$5:$H$856,"Auto-deduct")</f>
        <v>0</v>
      </c>
      <c r="BC74" s="15" t="n">
        <f aca="false">SUMIFS(Service_Consumables!$L$5:$L$856,Service_Consumables!$A$5:$A$856,$A74,Service_Consumables!$E$5:$E$856,BC$5,Service_Consumables!$H$5:$H$856,"Auto-deduct")</f>
        <v>0</v>
      </c>
      <c r="BD74" s="15" t="n">
        <f aca="false">SUMIFS(Service_Consumables!$L$5:$L$856,Service_Consumables!$A$5:$A$856,$A74,Service_Consumables!$E$5:$E$856,BD$5,Service_Consumables!$H$5:$H$856,"Auto-deduct")</f>
        <v>0</v>
      </c>
      <c r="BE74" s="15" t="n">
        <f aca="false">SUMIFS(Service_Consumables!$L$5:$L$856,Service_Consumables!$A$5:$A$856,$A74,Service_Consumables!$E$5:$E$856,BE$5,Service_Consumables!$H$5:$H$856,"Auto-deduct")</f>
        <v>0</v>
      </c>
      <c r="BF74" s="15" t="n">
        <f aca="false">SUMIFS(Service_Consumables!$L$5:$L$856,Service_Consumables!$A$5:$A$856,$A74,Service_Consumables!$E$5:$E$856,BF$5,Service_Consumables!$H$5:$H$856,"Auto-deduct")</f>
        <v>0</v>
      </c>
      <c r="BG74" s="15" t="n">
        <f aca="false">SUMIFS(Service_Consumables!$L$5:$L$856,Service_Consumables!$A$5:$A$856,$A74,Service_Consumables!$E$5:$E$856,BG$5,Service_Consumables!$H$5:$H$856,"Auto-deduct")</f>
        <v>0</v>
      </c>
      <c r="BH74" s="15" t="n">
        <f aca="false">SUMIFS(Service_Consumables!$L$5:$L$856,Service_Consumables!$A$5:$A$856,$A74,Service_Consumables!$E$5:$E$856,BH$5,Service_Consumables!$H$5:$H$856,"Auto-deduct")</f>
        <v>0</v>
      </c>
      <c r="BI74" s="15" t="n">
        <f aca="false">SUMIFS(Service_Consumables!$L$5:$L$856,Service_Consumables!$A$5:$A$856,$A74,Service_Consumables!$E$5:$E$856,BI$5,Service_Consumables!$H$5:$H$856,"Auto-deduct")</f>
        <v>0</v>
      </c>
    </row>
    <row r="75" customFormat="false" ht="15" hidden="false" customHeight="false" outlineLevel="0" collapsed="false">
      <c r="A75" s="14" t="n">
        <f aca="false">Services!A74</f>
        <v>70</v>
      </c>
      <c r="B75" s="14" t="str">
        <f aca="false">Services!B74</f>
        <v>Chemical Peeling (TCA)</v>
      </c>
      <c r="C75" s="14" t="str">
        <f aca="false">Services!C74</f>
        <v>Lower Legs</v>
      </c>
      <c r="D75" s="15" t="n">
        <f aca="false">SUMIFS(Service_Consumables!$L$5:$L$856,Service_Consumables!$A$5:$A$856,$A75,Service_Consumables!$E$5:$E$856,D$5,Service_Consumables!$H$5:$H$856,"Auto-deduct")</f>
        <v>0</v>
      </c>
      <c r="E75" s="15" t="n">
        <f aca="false">SUMIFS(Service_Consumables!$L$5:$L$856,Service_Consumables!$A$5:$A$856,$A75,Service_Consumables!$E$5:$E$856,E$5,Service_Consumables!$H$5:$H$856,"Auto-deduct")</f>
        <v>0</v>
      </c>
      <c r="F75" s="15" t="n">
        <f aca="false">SUMIFS(Service_Consumables!$L$5:$L$856,Service_Consumables!$A$5:$A$856,$A75,Service_Consumables!$E$5:$E$856,F$5,Service_Consumables!$H$5:$H$856,"Auto-deduct")</f>
        <v>0</v>
      </c>
      <c r="G75" s="15" t="n">
        <f aca="false">SUMIFS(Service_Consumables!$L$5:$L$856,Service_Consumables!$A$5:$A$856,$A75,Service_Consumables!$E$5:$E$856,G$5,Service_Consumables!$H$5:$H$856,"Auto-deduct")</f>
        <v>0</v>
      </c>
      <c r="H75" s="15" t="n">
        <f aca="false">SUMIFS(Service_Consumables!$L$5:$L$856,Service_Consumables!$A$5:$A$856,$A75,Service_Consumables!$E$5:$E$856,H$5,Service_Consumables!$H$5:$H$856,"Auto-deduct")</f>
        <v>0</v>
      </c>
      <c r="I75" s="15" t="n">
        <f aca="false">SUMIFS(Service_Consumables!$L$5:$L$856,Service_Consumables!$A$5:$A$856,$A75,Service_Consumables!$E$5:$E$856,I$5,Service_Consumables!$H$5:$H$856,"Auto-deduct")</f>
        <v>0</v>
      </c>
      <c r="J75" s="15" t="n">
        <f aca="false">SUMIFS(Service_Consumables!$L$5:$L$856,Service_Consumables!$A$5:$A$856,$A75,Service_Consumables!$E$5:$E$856,J$5,Service_Consumables!$H$5:$H$856,"Auto-deduct")</f>
        <v>0</v>
      </c>
      <c r="K75" s="15" t="n">
        <f aca="false">SUMIFS(Service_Consumables!$L$5:$L$856,Service_Consumables!$A$5:$A$856,$A75,Service_Consumables!$E$5:$E$856,K$5,Service_Consumables!$H$5:$H$856,"Auto-deduct")</f>
        <v>0</v>
      </c>
      <c r="L75" s="15" t="n">
        <f aca="false">SUMIFS(Service_Consumables!$L$5:$L$856,Service_Consumables!$A$5:$A$856,$A75,Service_Consumables!$E$5:$E$856,L$5,Service_Consumables!$H$5:$H$856,"Auto-deduct")</f>
        <v>0</v>
      </c>
      <c r="M75" s="15" t="n">
        <f aca="false">SUMIFS(Service_Consumables!$L$5:$L$856,Service_Consumables!$A$5:$A$856,$A75,Service_Consumables!$E$5:$E$856,M$5,Service_Consumables!$H$5:$H$856,"Auto-deduct")</f>
        <v>0</v>
      </c>
      <c r="N75" s="15" t="n">
        <f aca="false">SUMIFS(Service_Consumables!$L$5:$L$856,Service_Consumables!$A$5:$A$856,$A75,Service_Consumables!$E$5:$E$856,N$5,Service_Consumables!$H$5:$H$856,"Auto-deduct")</f>
        <v>0</v>
      </c>
      <c r="O75" s="15" t="n">
        <f aca="false">SUMIFS(Service_Consumables!$L$5:$L$856,Service_Consumables!$A$5:$A$856,$A75,Service_Consumables!$E$5:$E$856,O$5,Service_Consumables!$H$5:$H$856,"Auto-deduct")</f>
        <v>0</v>
      </c>
      <c r="P75" s="15" t="n">
        <f aca="false">SUMIFS(Service_Consumables!$L$5:$L$856,Service_Consumables!$A$5:$A$856,$A75,Service_Consumables!$E$5:$E$856,P$5,Service_Consumables!$H$5:$H$856,"Auto-deduct")</f>
        <v>1</v>
      </c>
      <c r="Q75" s="15" t="n">
        <f aca="false">SUMIFS(Service_Consumables!$L$5:$L$856,Service_Consumables!$A$5:$A$856,$A75,Service_Consumables!$E$5:$E$856,Q$5,Service_Consumables!$H$5:$H$856,"Auto-deduct")</f>
        <v>1</v>
      </c>
      <c r="R75" s="15" t="n">
        <f aca="false">SUMIFS(Service_Consumables!$L$5:$L$856,Service_Consumables!$A$5:$A$856,$A75,Service_Consumables!$E$5:$E$856,R$5,Service_Consumables!$H$5:$H$856,"Auto-deduct")</f>
        <v>0</v>
      </c>
      <c r="S75" s="15" t="n">
        <f aca="false">SUMIFS(Service_Consumables!$L$5:$L$856,Service_Consumables!$A$5:$A$856,$A75,Service_Consumables!$E$5:$E$856,S$5,Service_Consumables!$H$5:$H$856,"Auto-deduct")</f>
        <v>8</v>
      </c>
      <c r="T75" s="15" t="n">
        <f aca="false">SUMIFS(Service_Consumables!$L$5:$L$856,Service_Consumables!$A$5:$A$856,$A75,Service_Consumables!$E$5:$E$856,T$5,Service_Consumables!$H$5:$H$856,"Auto-deduct")</f>
        <v>0</v>
      </c>
      <c r="U75" s="15" t="n">
        <f aca="false">SUMIFS(Service_Consumables!$L$5:$L$856,Service_Consumables!$A$5:$A$856,$A75,Service_Consumables!$E$5:$E$856,U$5,Service_Consumables!$H$5:$H$856,"Auto-deduct")</f>
        <v>0</v>
      </c>
      <c r="V75" s="15" t="n">
        <f aca="false">SUMIFS(Service_Consumables!$L$5:$L$856,Service_Consumables!$A$5:$A$856,$A75,Service_Consumables!$E$5:$E$856,V$5,Service_Consumables!$H$5:$H$856,"Auto-deduct")</f>
        <v>10</v>
      </c>
      <c r="W75" s="15" t="n">
        <f aca="false">SUMIFS(Service_Consumables!$L$5:$L$856,Service_Consumables!$A$5:$A$856,$A75,Service_Consumables!$E$5:$E$856,W$5,Service_Consumables!$H$5:$H$856,"Auto-deduct")</f>
        <v>12</v>
      </c>
      <c r="X75" s="15" t="n">
        <f aca="false">SUMIFS(Service_Consumables!$L$5:$L$856,Service_Consumables!$A$5:$A$856,$A75,Service_Consumables!$E$5:$E$856,X$5,Service_Consumables!$H$5:$H$856,"Auto-deduct")</f>
        <v>0</v>
      </c>
      <c r="Y75" s="15" t="n">
        <f aca="false">SUMIFS(Service_Consumables!$L$5:$L$856,Service_Consumables!$A$5:$A$856,$A75,Service_Consumables!$E$5:$E$856,Y$5,Service_Consumables!$H$5:$H$856,"Auto-deduct")</f>
        <v>0</v>
      </c>
      <c r="Z75" s="15" t="n">
        <f aca="false">SUMIFS(Service_Consumables!$L$5:$L$856,Service_Consumables!$A$5:$A$856,$A75,Service_Consumables!$E$5:$E$856,Z$5,Service_Consumables!$H$5:$H$856,"Auto-deduct")</f>
        <v>0</v>
      </c>
      <c r="AA75" s="15" t="n">
        <f aca="false">SUMIFS(Service_Consumables!$L$5:$L$856,Service_Consumables!$A$5:$A$856,$A75,Service_Consumables!$E$5:$E$856,AA$5,Service_Consumables!$H$5:$H$856,"Auto-deduct")</f>
        <v>8</v>
      </c>
      <c r="AB75" s="15" t="n">
        <f aca="false">SUMIFS(Service_Consumables!$L$5:$L$856,Service_Consumables!$A$5:$A$856,$A75,Service_Consumables!$E$5:$E$856,AB$5,Service_Consumables!$H$5:$H$856,"Auto-deduct")</f>
        <v>0</v>
      </c>
      <c r="AC75" s="15" t="n">
        <f aca="false">SUMIFS(Service_Consumables!$L$5:$L$856,Service_Consumables!$A$5:$A$856,$A75,Service_Consumables!$E$5:$E$856,AC$5,Service_Consumables!$H$5:$H$856,"Auto-deduct")</f>
        <v>4</v>
      </c>
      <c r="AD75" s="15" t="n">
        <f aca="false">SUMIFS(Service_Consumables!$L$5:$L$856,Service_Consumables!$A$5:$A$856,$A75,Service_Consumables!$E$5:$E$856,AD$5,Service_Consumables!$H$5:$H$856,"Auto-deduct")</f>
        <v>5</v>
      </c>
      <c r="AE75" s="15" t="n">
        <f aca="false">SUMIFS(Service_Consumables!$L$5:$L$856,Service_Consumables!$A$5:$A$856,$A75,Service_Consumables!$E$5:$E$856,AE$5,Service_Consumables!$H$5:$H$856,"Auto-deduct")</f>
        <v>0</v>
      </c>
      <c r="AF75" s="15" t="n">
        <f aca="false">SUMIFS(Service_Consumables!$L$5:$L$856,Service_Consumables!$A$5:$A$856,$A75,Service_Consumables!$E$5:$E$856,AF$5,Service_Consumables!$H$5:$H$856,"Auto-deduct")</f>
        <v>10</v>
      </c>
      <c r="AG75" s="15" t="n">
        <f aca="false">SUMIFS(Service_Consumables!$L$5:$L$856,Service_Consumables!$A$5:$A$856,$A75,Service_Consumables!$E$5:$E$856,AG$5,Service_Consumables!$H$5:$H$856,"Auto-deduct")</f>
        <v>0</v>
      </c>
      <c r="AH75" s="15" t="n">
        <f aca="false">SUMIFS(Service_Consumables!$L$5:$L$856,Service_Consumables!$A$5:$A$856,$A75,Service_Consumables!$E$5:$E$856,AH$5,Service_Consumables!$H$5:$H$856,"Auto-deduct")</f>
        <v>0</v>
      </c>
      <c r="AI75" s="15" t="n">
        <f aca="false">SUMIFS(Service_Consumables!$L$5:$L$856,Service_Consumables!$A$5:$A$856,$A75,Service_Consumables!$E$5:$E$856,AI$5,Service_Consumables!$H$5:$H$856,"Auto-deduct")</f>
        <v>0</v>
      </c>
      <c r="AJ75" s="15" t="n">
        <f aca="false">SUMIFS(Service_Consumables!$L$5:$L$856,Service_Consumables!$A$5:$A$856,$A75,Service_Consumables!$E$5:$E$856,AJ$5,Service_Consumables!$H$5:$H$856,"Auto-deduct")</f>
        <v>0</v>
      </c>
      <c r="AK75" s="15" t="n">
        <f aca="false">SUMIFS(Service_Consumables!$L$5:$L$856,Service_Consumables!$A$5:$A$856,$A75,Service_Consumables!$E$5:$E$856,AK$5,Service_Consumables!$H$5:$H$856,"Auto-deduct")</f>
        <v>0</v>
      </c>
      <c r="AL75" s="15" t="n">
        <f aca="false">SUMIFS(Service_Consumables!$L$5:$L$856,Service_Consumables!$A$5:$A$856,$A75,Service_Consumables!$E$5:$E$856,AL$5,Service_Consumables!$H$5:$H$856,"Auto-deduct")</f>
        <v>0</v>
      </c>
      <c r="AM75" s="15" t="n">
        <f aca="false">SUMIFS(Service_Consumables!$L$5:$L$856,Service_Consumables!$A$5:$A$856,$A75,Service_Consumables!$E$5:$E$856,AM$5,Service_Consumables!$H$5:$H$856,"Auto-deduct")</f>
        <v>0</v>
      </c>
      <c r="AN75" s="15" t="n">
        <f aca="false">SUMIFS(Service_Consumables!$L$5:$L$856,Service_Consumables!$A$5:$A$856,$A75,Service_Consumables!$E$5:$E$856,AN$5,Service_Consumables!$H$5:$H$856,"Auto-deduct")</f>
        <v>0</v>
      </c>
      <c r="AO75" s="15" t="n">
        <f aca="false">SUMIFS(Service_Consumables!$L$5:$L$856,Service_Consumables!$A$5:$A$856,$A75,Service_Consumables!$E$5:$E$856,AO$5,Service_Consumables!$H$5:$H$856,"Auto-deduct")</f>
        <v>40</v>
      </c>
      <c r="AP75" s="15" t="n">
        <f aca="false">SUMIFS(Service_Consumables!$L$5:$L$856,Service_Consumables!$A$5:$A$856,$A75,Service_Consumables!$E$5:$E$856,AP$5,Service_Consumables!$H$5:$H$856,"Auto-deduct")</f>
        <v>0</v>
      </c>
      <c r="AQ75" s="15" t="n">
        <f aca="false">SUMIFS(Service_Consumables!$L$5:$L$856,Service_Consumables!$A$5:$A$856,$A75,Service_Consumables!$E$5:$E$856,AQ$5,Service_Consumables!$H$5:$H$856,"Auto-deduct")</f>
        <v>0</v>
      </c>
      <c r="AR75" s="15" t="n">
        <f aca="false">SUMIFS(Service_Consumables!$L$5:$L$856,Service_Consumables!$A$5:$A$856,$A75,Service_Consumables!$E$5:$E$856,AR$5,Service_Consumables!$H$5:$H$856,"Auto-deduct")</f>
        <v>0</v>
      </c>
      <c r="AS75" s="15" t="n">
        <f aca="false">SUMIFS(Service_Consumables!$L$5:$L$856,Service_Consumables!$A$5:$A$856,$A75,Service_Consumables!$E$5:$E$856,AS$5,Service_Consumables!$H$5:$H$856,"Auto-deduct")</f>
        <v>0</v>
      </c>
      <c r="AT75" s="15" t="n">
        <f aca="false">SUMIFS(Service_Consumables!$L$5:$L$856,Service_Consumables!$A$5:$A$856,$A75,Service_Consumables!$E$5:$E$856,AT$5,Service_Consumables!$H$5:$H$856,"Auto-deduct")</f>
        <v>0</v>
      </c>
      <c r="AU75" s="15" t="n">
        <f aca="false">SUMIFS(Service_Consumables!$L$5:$L$856,Service_Consumables!$A$5:$A$856,$A75,Service_Consumables!$E$5:$E$856,AU$5,Service_Consumables!$H$5:$H$856,"Auto-deduct")</f>
        <v>0</v>
      </c>
      <c r="AV75" s="15" t="n">
        <f aca="false">SUMIFS(Service_Consumables!$L$5:$L$856,Service_Consumables!$A$5:$A$856,$A75,Service_Consumables!$E$5:$E$856,AV$5,Service_Consumables!$H$5:$H$856,"Auto-deduct")</f>
        <v>0</v>
      </c>
      <c r="AW75" s="15" t="n">
        <f aca="false">SUMIFS(Service_Consumables!$L$5:$L$856,Service_Consumables!$A$5:$A$856,$A75,Service_Consumables!$E$5:$E$856,AW$5,Service_Consumables!$H$5:$H$856,"Auto-deduct")</f>
        <v>0</v>
      </c>
      <c r="AX75" s="15" t="n">
        <f aca="false">SUMIFS(Service_Consumables!$L$5:$L$856,Service_Consumables!$A$5:$A$856,$A75,Service_Consumables!$E$5:$E$856,AX$5,Service_Consumables!$H$5:$H$856,"Auto-deduct")</f>
        <v>0</v>
      </c>
      <c r="AY75" s="15" t="n">
        <f aca="false">SUMIFS(Service_Consumables!$L$5:$L$856,Service_Consumables!$A$5:$A$856,$A75,Service_Consumables!$E$5:$E$856,AY$5,Service_Consumables!$H$5:$H$856,"Auto-deduct")</f>
        <v>0</v>
      </c>
      <c r="AZ75" s="15" t="n">
        <f aca="false">SUMIFS(Service_Consumables!$L$5:$L$856,Service_Consumables!$A$5:$A$856,$A75,Service_Consumables!$E$5:$E$856,AZ$5,Service_Consumables!$H$5:$H$856,"Auto-deduct")</f>
        <v>0</v>
      </c>
      <c r="BA75" s="15" t="n">
        <f aca="false">SUMIFS(Service_Consumables!$L$5:$L$856,Service_Consumables!$A$5:$A$856,$A75,Service_Consumables!$E$5:$E$856,BA$5,Service_Consumables!$H$5:$H$856,"Auto-deduct")</f>
        <v>6</v>
      </c>
      <c r="BB75" s="15" t="n">
        <f aca="false">SUMIFS(Service_Consumables!$L$5:$L$856,Service_Consumables!$A$5:$A$856,$A75,Service_Consumables!$E$5:$E$856,BB$5,Service_Consumables!$H$5:$H$856,"Auto-deduct")</f>
        <v>0</v>
      </c>
      <c r="BC75" s="15" t="n">
        <f aca="false">SUMIFS(Service_Consumables!$L$5:$L$856,Service_Consumables!$A$5:$A$856,$A75,Service_Consumables!$E$5:$E$856,BC$5,Service_Consumables!$H$5:$H$856,"Auto-deduct")</f>
        <v>0</v>
      </c>
      <c r="BD75" s="15" t="n">
        <f aca="false">SUMIFS(Service_Consumables!$L$5:$L$856,Service_Consumables!$A$5:$A$856,$A75,Service_Consumables!$E$5:$E$856,BD$5,Service_Consumables!$H$5:$H$856,"Auto-deduct")</f>
        <v>0</v>
      </c>
      <c r="BE75" s="15" t="n">
        <f aca="false">SUMIFS(Service_Consumables!$L$5:$L$856,Service_Consumables!$A$5:$A$856,$A75,Service_Consumables!$E$5:$E$856,BE$5,Service_Consumables!$H$5:$H$856,"Auto-deduct")</f>
        <v>0</v>
      </c>
      <c r="BF75" s="15" t="n">
        <f aca="false">SUMIFS(Service_Consumables!$L$5:$L$856,Service_Consumables!$A$5:$A$856,$A75,Service_Consumables!$E$5:$E$856,BF$5,Service_Consumables!$H$5:$H$856,"Auto-deduct")</f>
        <v>0</v>
      </c>
      <c r="BG75" s="15" t="n">
        <f aca="false">SUMIFS(Service_Consumables!$L$5:$L$856,Service_Consumables!$A$5:$A$856,$A75,Service_Consumables!$E$5:$E$856,BG$5,Service_Consumables!$H$5:$H$856,"Auto-deduct")</f>
        <v>0</v>
      </c>
      <c r="BH75" s="15" t="n">
        <f aca="false">SUMIFS(Service_Consumables!$L$5:$L$856,Service_Consumables!$A$5:$A$856,$A75,Service_Consumables!$E$5:$E$856,BH$5,Service_Consumables!$H$5:$H$856,"Auto-deduct")</f>
        <v>0</v>
      </c>
      <c r="BI75" s="15" t="n">
        <f aca="false">SUMIFS(Service_Consumables!$L$5:$L$856,Service_Consumables!$A$5:$A$856,$A75,Service_Consumables!$E$5:$E$856,BI$5,Service_Consumables!$H$5:$H$856,"Auto-deduct")</f>
        <v>0</v>
      </c>
    </row>
    <row r="76" customFormat="false" ht="15" hidden="false" customHeight="false" outlineLevel="0" collapsed="false">
      <c r="A76" s="14" t="n">
        <f aca="false">Services!A75</f>
        <v>71</v>
      </c>
      <c r="B76" s="14" t="str">
        <f aca="false">Services!B75</f>
        <v>Chemical Peeling (TCA)</v>
      </c>
      <c r="C76" s="14" t="str">
        <f aca="false">Services!C75</f>
        <v>Full Legs</v>
      </c>
      <c r="D76" s="15" t="n">
        <f aca="false">SUMIFS(Service_Consumables!$L$5:$L$856,Service_Consumables!$A$5:$A$856,$A76,Service_Consumables!$E$5:$E$856,D$5,Service_Consumables!$H$5:$H$856,"Auto-deduct")</f>
        <v>0</v>
      </c>
      <c r="E76" s="15" t="n">
        <f aca="false">SUMIFS(Service_Consumables!$L$5:$L$856,Service_Consumables!$A$5:$A$856,$A76,Service_Consumables!$E$5:$E$856,E$5,Service_Consumables!$H$5:$H$856,"Auto-deduct")</f>
        <v>0</v>
      </c>
      <c r="F76" s="15" t="n">
        <f aca="false">SUMIFS(Service_Consumables!$L$5:$L$856,Service_Consumables!$A$5:$A$856,$A76,Service_Consumables!$E$5:$E$856,F$5,Service_Consumables!$H$5:$H$856,"Auto-deduct")</f>
        <v>0</v>
      </c>
      <c r="G76" s="15" t="n">
        <f aca="false">SUMIFS(Service_Consumables!$L$5:$L$856,Service_Consumables!$A$5:$A$856,$A76,Service_Consumables!$E$5:$E$856,G$5,Service_Consumables!$H$5:$H$856,"Auto-deduct")</f>
        <v>0</v>
      </c>
      <c r="H76" s="15" t="n">
        <f aca="false">SUMIFS(Service_Consumables!$L$5:$L$856,Service_Consumables!$A$5:$A$856,$A76,Service_Consumables!$E$5:$E$856,H$5,Service_Consumables!$H$5:$H$856,"Auto-deduct")</f>
        <v>0</v>
      </c>
      <c r="I76" s="15" t="n">
        <f aca="false">SUMIFS(Service_Consumables!$L$5:$L$856,Service_Consumables!$A$5:$A$856,$A76,Service_Consumables!$E$5:$E$856,I$5,Service_Consumables!$H$5:$H$856,"Auto-deduct")</f>
        <v>0</v>
      </c>
      <c r="J76" s="15" t="n">
        <f aca="false">SUMIFS(Service_Consumables!$L$5:$L$856,Service_Consumables!$A$5:$A$856,$A76,Service_Consumables!$E$5:$E$856,J$5,Service_Consumables!$H$5:$H$856,"Auto-deduct")</f>
        <v>0</v>
      </c>
      <c r="K76" s="15" t="n">
        <f aca="false">SUMIFS(Service_Consumables!$L$5:$L$856,Service_Consumables!$A$5:$A$856,$A76,Service_Consumables!$E$5:$E$856,K$5,Service_Consumables!$H$5:$H$856,"Auto-deduct")</f>
        <v>0</v>
      </c>
      <c r="L76" s="15" t="n">
        <f aca="false">SUMIFS(Service_Consumables!$L$5:$L$856,Service_Consumables!$A$5:$A$856,$A76,Service_Consumables!$E$5:$E$856,L$5,Service_Consumables!$H$5:$H$856,"Auto-deduct")</f>
        <v>0</v>
      </c>
      <c r="M76" s="15" t="n">
        <f aca="false">SUMIFS(Service_Consumables!$L$5:$L$856,Service_Consumables!$A$5:$A$856,$A76,Service_Consumables!$E$5:$E$856,M$5,Service_Consumables!$H$5:$H$856,"Auto-deduct")</f>
        <v>0</v>
      </c>
      <c r="N76" s="15" t="n">
        <f aca="false">SUMIFS(Service_Consumables!$L$5:$L$856,Service_Consumables!$A$5:$A$856,$A76,Service_Consumables!$E$5:$E$856,N$5,Service_Consumables!$H$5:$H$856,"Auto-deduct")</f>
        <v>0</v>
      </c>
      <c r="O76" s="15" t="n">
        <f aca="false">SUMIFS(Service_Consumables!$L$5:$L$856,Service_Consumables!$A$5:$A$856,$A76,Service_Consumables!$E$5:$E$856,O$5,Service_Consumables!$H$5:$H$856,"Auto-deduct")</f>
        <v>0</v>
      </c>
      <c r="P76" s="15" t="n">
        <f aca="false">SUMIFS(Service_Consumables!$L$5:$L$856,Service_Consumables!$A$5:$A$856,$A76,Service_Consumables!$E$5:$E$856,P$5,Service_Consumables!$H$5:$H$856,"Auto-deduct")</f>
        <v>1</v>
      </c>
      <c r="Q76" s="15" t="n">
        <f aca="false">SUMIFS(Service_Consumables!$L$5:$L$856,Service_Consumables!$A$5:$A$856,$A76,Service_Consumables!$E$5:$E$856,Q$5,Service_Consumables!$H$5:$H$856,"Auto-deduct")</f>
        <v>1</v>
      </c>
      <c r="R76" s="15" t="n">
        <f aca="false">SUMIFS(Service_Consumables!$L$5:$L$856,Service_Consumables!$A$5:$A$856,$A76,Service_Consumables!$E$5:$E$856,R$5,Service_Consumables!$H$5:$H$856,"Auto-deduct")</f>
        <v>0</v>
      </c>
      <c r="S76" s="15" t="n">
        <f aca="false">SUMIFS(Service_Consumables!$L$5:$L$856,Service_Consumables!$A$5:$A$856,$A76,Service_Consumables!$E$5:$E$856,S$5,Service_Consumables!$H$5:$H$856,"Auto-deduct")</f>
        <v>12</v>
      </c>
      <c r="T76" s="15" t="n">
        <f aca="false">SUMIFS(Service_Consumables!$L$5:$L$856,Service_Consumables!$A$5:$A$856,$A76,Service_Consumables!$E$5:$E$856,T$5,Service_Consumables!$H$5:$H$856,"Auto-deduct")</f>
        <v>0</v>
      </c>
      <c r="U76" s="15" t="n">
        <f aca="false">SUMIFS(Service_Consumables!$L$5:$L$856,Service_Consumables!$A$5:$A$856,$A76,Service_Consumables!$E$5:$E$856,U$5,Service_Consumables!$H$5:$H$856,"Auto-deduct")</f>
        <v>0</v>
      </c>
      <c r="V76" s="15" t="n">
        <f aca="false">SUMIFS(Service_Consumables!$L$5:$L$856,Service_Consumables!$A$5:$A$856,$A76,Service_Consumables!$E$5:$E$856,V$5,Service_Consumables!$H$5:$H$856,"Auto-deduct")</f>
        <v>15</v>
      </c>
      <c r="W76" s="15" t="n">
        <f aca="false">SUMIFS(Service_Consumables!$L$5:$L$856,Service_Consumables!$A$5:$A$856,$A76,Service_Consumables!$E$5:$E$856,W$5,Service_Consumables!$H$5:$H$856,"Auto-deduct")</f>
        <v>18</v>
      </c>
      <c r="X76" s="15" t="n">
        <f aca="false">SUMIFS(Service_Consumables!$L$5:$L$856,Service_Consumables!$A$5:$A$856,$A76,Service_Consumables!$E$5:$E$856,X$5,Service_Consumables!$H$5:$H$856,"Auto-deduct")</f>
        <v>0</v>
      </c>
      <c r="Y76" s="15" t="n">
        <f aca="false">SUMIFS(Service_Consumables!$L$5:$L$856,Service_Consumables!$A$5:$A$856,$A76,Service_Consumables!$E$5:$E$856,Y$5,Service_Consumables!$H$5:$H$856,"Auto-deduct")</f>
        <v>0</v>
      </c>
      <c r="Z76" s="15" t="n">
        <f aca="false">SUMIFS(Service_Consumables!$L$5:$L$856,Service_Consumables!$A$5:$A$856,$A76,Service_Consumables!$E$5:$E$856,Z$5,Service_Consumables!$H$5:$H$856,"Auto-deduct")</f>
        <v>0</v>
      </c>
      <c r="AA76" s="15" t="n">
        <f aca="false">SUMIFS(Service_Consumables!$L$5:$L$856,Service_Consumables!$A$5:$A$856,$A76,Service_Consumables!$E$5:$E$856,AA$5,Service_Consumables!$H$5:$H$856,"Auto-deduct")</f>
        <v>12</v>
      </c>
      <c r="AB76" s="15" t="n">
        <f aca="false">SUMIFS(Service_Consumables!$L$5:$L$856,Service_Consumables!$A$5:$A$856,$A76,Service_Consumables!$E$5:$E$856,AB$5,Service_Consumables!$H$5:$H$856,"Auto-deduct")</f>
        <v>0</v>
      </c>
      <c r="AC76" s="15" t="n">
        <f aca="false">SUMIFS(Service_Consumables!$L$5:$L$856,Service_Consumables!$A$5:$A$856,$A76,Service_Consumables!$E$5:$E$856,AC$5,Service_Consumables!$H$5:$H$856,"Auto-deduct")</f>
        <v>6</v>
      </c>
      <c r="AD76" s="15" t="n">
        <f aca="false">SUMIFS(Service_Consumables!$L$5:$L$856,Service_Consumables!$A$5:$A$856,$A76,Service_Consumables!$E$5:$E$856,AD$5,Service_Consumables!$H$5:$H$856,"Auto-deduct")</f>
        <v>5</v>
      </c>
      <c r="AE76" s="15" t="n">
        <f aca="false">SUMIFS(Service_Consumables!$L$5:$L$856,Service_Consumables!$A$5:$A$856,$A76,Service_Consumables!$E$5:$E$856,AE$5,Service_Consumables!$H$5:$H$856,"Auto-deduct")</f>
        <v>0</v>
      </c>
      <c r="AF76" s="15" t="n">
        <f aca="false">SUMIFS(Service_Consumables!$L$5:$L$856,Service_Consumables!$A$5:$A$856,$A76,Service_Consumables!$E$5:$E$856,AF$5,Service_Consumables!$H$5:$H$856,"Auto-deduct")</f>
        <v>15</v>
      </c>
      <c r="AG76" s="15" t="n">
        <f aca="false">SUMIFS(Service_Consumables!$L$5:$L$856,Service_Consumables!$A$5:$A$856,$A76,Service_Consumables!$E$5:$E$856,AG$5,Service_Consumables!$H$5:$H$856,"Auto-deduct")</f>
        <v>0</v>
      </c>
      <c r="AH76" s="15" t="n">
        <f aca="false">SUMIFS(Service_Consumables!$L$5:$L$856,Service_Consumables!$A$5:$A$856,$A76,Service_Consumables!$E$5:$E$856,AH$5,Service_Consumables!$H$5:$H$856,"Auto-deduct")</f>
        <v>0</v>
      </c>
      <c r="AI76" s="15" t="n">
        <f aca="false">SUMIFS(Service_Consumables!$L$5:$L$856,Service_Consumables!$A$5:$A$856,$A76,Service_Consumables!$E$5:$E$856,AI$5,Service_Consumables!$H$5:$H$856,"Auto-deduct")</f>
        <v>0</v>
      </c>
      <c r="AJ76" s="15" t="n">
        <f aca="false">SUMIFS(Service_Consumables!$L$5:$L$856,Service_Consumables!$A$5:$A$856,$A76,Service_Consumables!$E$5:$E$856,AJ$5,Service_Consumables!$H$5:$H$856,"Auto-deduct")</f>
        <v>0</v>
      </c>
      <c r="AK76" s="15" t="n">
        <f aca="false">SUMIFS(Service_Consumables!$L$5:$L$856,Service_Consumables!$A$5:$A$856,$A76,Service_Consumables!$E$5:$E$856,AK$5,Service_Consumables!$H$5:$H$856,"Auto-deduct")</f>
        <v>0</v>
      </c>
      <c r="AL76" s="15" t="n">
        <f aca="false">SUMIFS(Service_Consumables!$L$5:$L$856,Service_Consumables!$A$5:$A$856,$A76,Service_Consumables!$E$5:$E$856,AL$5,Service_Consumables!$H$5:$H$856,"Auto-deduct")</f>
        <v>0</v>
      </c>
      <c r="AM76" s="15" t="n">
        <f aca="false">SUMIFS(Service_Consumables!$L$5:$L$856,Service_Consumables!$A$5:$A$856,$A76,Service_Consumables!$E$5:$E$856,AM$5,Service_Consumables!$H$5:$H$856,"Auto-deduct")</f>
        <v>0</v>
      </c>
      <c r="AN76" s="15" t="n">
        <f aca="false">SUMIFS(Service_Consumables!$L$5:$L$856,Service_Consumables!$A$5:$A$856,$A76,Service_Consumables!$E$5:$E$856,AN$5,Service_Consumables!$H$5:$H$856,"Auto-deduct")</f>
        <v>0</v>
      </c>
      <c r="AO76" s="15" t="n">
        <f aca="false">SUMIFS(Service_Consumables!$L$5:$L$856,Service_Consumables!$A$5:$A$856,$A76,Service_Consumables!$E$5:$E$856,AO$5,Service_Consumables!$H$5:$H$856,"Auto-deduct")</f>
        <v>60</v>
      </c>
      <c r="AP76" s="15" t="n">
        <f aca="false">SUMIFS(Service_Consumables!$L$5:$L$856,Service_Consumables!$A$5:$A$856,$A76,Service_Consumables!$E$5:$E$856,AP$5,Service_Consumables!$H$5:$H$856,"Auto-deduct")</f>
        <v>0</v>
      </c>
      <c r="AQ76" s="15" t="n">
        <f aca="false">SUMIFS(Service_Consumables!$L$5:$L$856,Service_Consumables!$A$5:$A$856,$A76,Service_Consumables!$E$5:$E$856,AQ$5,Service_Consumables!$H$5:$H$856,"Auto-deduct")</f>
        <v>0</v>
      </c>
      <c r="AR76" s="15" t="n">
        <f aca="false">SUMIFS(Service_Consumables!$L$5:$L$856,Service_Consumables!$A$5:$A$856,$A76,Service_Consumables!$E$5:$E$856,AR$5,Service_Consumables!$H$5:$H$856,"Auto-deduct")</f>
        <v>0</v>
      </c>
      <c r="AS76" s="15" t="n">
        <f aca="false">SUMIFS(Service_Consumables!$L$5:$L$856,Service_Consumables!$A$5:$A$856,$A76,Service_Consumables!$E$5:$E$856,AS$5,Service_Consumables!$H$5:$H$856,"Auto-deduct")</f>
        <v>0</v>
      </c>
      <c r="AT76" s="15" t="n">
        <f aca="false">SUMIFS(Service_Consumables!$L$5:$L$856,Service_Consumables!$A$5:$A$856,$A76,Service_Consumables!$E$5:$E$856,AT$5,Service_Consumables!$H$5:$H$856,"Auto-deduct")</f>
        <v>0</v>
      </c>
      <c r="AU76" s="15" t="n">
        <f aca="false">SUMIFS(Service_Consumables!$L$5:$L$856,Service_Consumables!$A$5:$A$856,$A76,Service_Consumables!$E$5:$E$856,AU$5,Service_Consumables!$H$5:$H$856,"Auto-deduct")</f>
        <v>0</v>
      </c>
      <c r="AV76" s="15" t="n">
        <f aca="false">SUMIFS(Service_Consumables!$L$5:$L$856,Service_Consumables!$A$5:$A$856,$A76,Service_Consumables!$E$5:$E$856,AV$5,Service_Consumables!$H$5:$H$856,"Auto-deduct")</f>
        <v>0</v>
      </c>
      <c r="AW76" s="15" t="n">
        <f aca="false">SUMIFS(Service_Consumables!$L$5:$L$856,Service_Consumables!$A$5:$A$856,$A76,Service_Consumables!$E$5:$E$856,AW$5,Service_Consumables!$H$5:$H$856,"Auto-deduct")</f>
        <v>0</v>
      </c>
      <c r="AX76" s="15" t="n">
        <f aca="false">SUMIFS(Service_Consumables!$L$5:$L$856,Service_Consumables!$A$5:$A$856,$A76,Service_Consumables!$E$5:$E$856,AX$5,Service_Consumables!$H$5:$H$856,"Auto-deduct")</f>
        <v>0</v>
      </c>
      <c r="AY76" s="15" t="n">
        <f aca="false">SUMIFS(Service_Consumables!$L$5:$L$856,Service_Consumables!$A$5:$A$856,$A76,Service_Consumables!$E$5:$E$856,AY$5,Service_Consumables!$H$5:$H$856,"Auto-deduct")</f>
        <v>0</v>
      </c>
      <c r="AZ76" s="15" t="n">
        <f aca="false">SUMIFS(Service_Consumables!$L$5:$L$856,Service_Consumables!$A$5:$A$856,$A76,Service_Consumables!$E$5:$E$856,AZ$5,Service_Consumables!$H$5:$H$856,"Auto-deduct")</f>
        <v>0</v>
      </c>
      <c r="BA76" s="15" t="n">
        <f aca="false">SUMIFS(Service_Consumables!$L$5:$L$856,Service_Consumables!$A$5:$A$856,$A76,Service_Consumables!$E$5:$E$856,BA$5,Service_Consumables!$H$5:$H$856,"Auto-deduct")</f>
        <v>9</v>
      </c>
      <c r="BB76" s="15" t="n">
        <f aca="false">SUMIFS(Service_Consumables!$L$5:$L$856,Service_Consumables!$A$5:$A$856,$A76,Service_Consumables!$E$5:$E$856,BB$5,Service_Consumables!$H$5:$H$856,"Auto-deduct")</f>
        <v>0</v>
      </c>
      <c r="BC76" s="15" t="n">
        <f aca="false">SUMIFS(Service_Consumables!$L$5:$L$856,Service_Consumables!$A$5:$A$856,$A76,Service_Consumables!$E$5:$E$856,BC$5,Service_Consumables!$H$5:$H$856,"Auto-deduct")</f>
        <v>0</v>
      </c>
      <c r="BD76" s="15" t="n">
        <f aca="false">SUMIFS(Service_Consumables!$L$5:$L$856,Service_Consumables!$A$5:$A$856,$A76,Service_Consumables!$E$5:$E$856,BD$5,Service_Consumables!$H$5:$H$856,"Auto-deduct")</f>
        <v>0</v>
      </c>
      <c r="BE76" s="15" t="n">
        <f aca="false">SUMIFS(Service_Consumables!$L$5:$L$856,Service_Consumables!$A$5:$A$856,$A76,Service_Consumables!$E$5:$E$856,BE$5,Service_Consumables!$H$5:$H$856,"Auto-deduct")</f>
        <v>0</v>
      </c>
      <c r="BF76" s="15" t="n">
        <f aca="false">SUMIFS(Service_Consumables!$L$5:$L$856,Service_Consumables!$A$5:$A$856,$A76,Service_Consumables!$E$5:$E$856,BF$5,Service_Consumables!$H$5:$H$856,"Auto-deduct")</f>
        <v>0</v>
      </c>
      <c r="BG76" s="15" t="n">
        <f aca="false">SUMIFS(Service_Consumables!$L$5:$L$856,Service_Consumables!$A$5:$A$856,$A76,Service_Consumables!$E$5:$E$856,BG$5,Service_Consumables!$H$5:$H$856,"Auto-deduct")</f>
        <v>0</v>
      </c>
      <c r="BH76" s="15" t="n">
        <f aca="false">SUMIFS(Service_Consumables!$L$5:$L$856,Service_Consumables!$A$5:$A$856,$A76,Service_Consumables!$E$5:$E$856,BH$5,Service_Consumables!$H$5:$H$856,"Auto-deduct")</f>
        <v>0</v>
      </c>
      <c r="BI76" s="15" t="n">
        <f aca="false">SUMIFS(Service_Consumables!$L$5:$L$856,Service_Consumables!$A$5:$A$856,$A76,Service_Consumables!$E$5:$E$856,BI$5,Service_Consumables!$H$5:$H$856,"Auto-deduct")</f>
        <v>0</v>
      </c>
    </row>
    <row r="77" customFormat="false" ht="15" hidden="false" customHeight="false" outlineLevel="0" collapsed="false">
      <c r="A77" s="14" t="n">
        <f aca="false">Services!A76</f>
        <v>72</v>
      </c>
      <c r="B77" s="14" t="str">
        <f aca="false">Services!B76</f>
        <v>Chemical Peeling (TCA)</v>
      </c>
      <c r="C77" s="14" t="str">
        <f aca="false">Services!C76</f>
        <v>Whole Body</v>
      </c>
      <c r="D77" s="15" t="n">
        <f aca="false">SUMIFS(Service_Consumables!$L$5:$L$856,Service_Consumables!$A$5:$A$856,$A77,Service_Consumables!$E$5:$E$856,D$5,Service_Consumables!$H$5:$H$856,"Auto-deduct")</f>
        <v>0</v>
      </c>
      <c r="E77" s="15" t="n">
        <f aca="false">SUMIFS(Service_Consumables!$L$5:$L$856,Service_Consumables!$A$5:$A$856,$A77,Service_Consumables!$E$5:$E$856,E$5,Service_Consumables!$H$5:$H$856,"Auto-deduct")</f>
        <v>0</v>
      </c>
      <c r="F77" s="15" t="n">
        <f aca="false">SUMIFS(Service_Consumables!$L$5:$L$856,Service_Consumables!$A$5:$A$856,$A77,Service_Consumables!$E$5:$E$856,F$5,Service_Consumables!$H$5:$H$856,"Auto-deduct")</f>
        <v>0</v>
      </c>
      <c r="G77" s="15" t="n">
        <f aca="false">SUMIFS(Service_Consumables!$L$5:$L$856,Service_Consumables!$A$5:$A$856,$A77,Service_Consumables!$E$5:$E$856,G$5,Service_Consumables!$H$5:$H$856,"Auto-deduct")</f>
        <v>0</v>
      </c>
      <c r="H77" s="15" t="n">
        <f aca="false">SUMIFS(Service_Consumables!$L$5:$L$856,Service_Consumables!$A$5:$A$856,$A77,Service_Consumables!$E$5:$E$856,H$5,Service_Consumables!$H$5:$H$856,"Auto-deduct")</f>
        <v>0</v>
      </c>
      <c r="I77" s="15" t="n">
        <f aca="false">SUMIFS(Service_Consumables!$L$5:$L$856,Service_Consumables!$A$5:$A$856,$A77,Service_Consumables!$E$5:$E$856,I$5,Service_Consumables!$H$5:$H$856,"Auto-deduct")</f>
        <v>0</v>
      </c>
      <c r="J77" s="15" t="n">
        <f aca="false">SUMIFS(Service_Consumables!$L$5:$L$856,Service_Consumables!$A$5:$A$856,$A77,Service_Consumables!$E$5:$E$856,J$5,Service_Consumables!$H$5:$H$856,"Auto-deduct")</f>
        <v>0</v>
      </c>
      <c r="K77" s="15" t="n">
        <f aca="false">SUMIFS(Service_Consumables!$L$5:$L$856,Service_Consumables!$A$5:$A$856,$A77,Service_Consumables!$E$5:$E$856,K$5,Service_Consumables!$H$5:$H$856,"Auto-deduct")</f>
        <v>0</v>
      </c>
      <c r="L77" s="15" t="n">
        <f aca="false">SUMIFS(Service_Consumables!$L$5:$L$856,Service_Consumables!$A$5:$A$856,$A77,Service_Consumables!$E$5:$E$856,L$5,Service_Consumables!$H$5:$H$856,"Auto-deduct")</f>
        <v>0</v>
      </c>
      <c r="M77" s="15" t="n">
        <f aca="false">SUMIFS(Service_Consumables!$L$5:$L$856,Service_Consumables!$A$5:$A$856,$A77,Service_Consumables!$E$5:$E$856,M$5,Service_Consumables!$H$5:$H$856,"Auto-deduct")</f>
        <v>0</v>
      </c>
      <c r="N77" s="15" t="n">
        <f aca="false">SUMIFS(Service_Consumables!$L$5:$L$856,Service_Consumables!$A$5:$A$856,$A77,Service_Consumables!$E$5:$E$856,N$5,Service_Consumables!$H$5:$H$856,"Auto-deduct")</f>
        <v>0</v>
      </c>
      <c r="O77" s="15" t="n">
        <f aca="false">SUMIFS(Service_Consumables!$L$5:$L$856,Service_Consumables!$A$5:$A$856,$A77,Service_Consumables!$E$5:$E$856,O$5,Service_Consumables!$H$5:$H$856,"Auto-deduct")</f>
        <v>0</v>
      </c>
      <c r="P77" s="15" t="n">
        <f aca="false">SUMIFS(Service_Consumables!$L$5:$L$856,Service_Consumables!$A$5:$A$856,$A77,Service_Consumables!$E$5:$E$856,P$5,Service_Consumables!$H$5:$H$856,"Auto-deduct")</f>
        <v>1</v>
      </c>
      <c r="Q77" s="15" t="n">
        <f aca="false">SUMIFS(Service_Consumables!$L$5:$L$856,Service_Consumables!$A$5:$A$856,$A77,Service_Consumables!$E$5:$E$856,Q$5,Service_Consumables!$H$5:$H$856,"Auto-deduct")</f>
        <v>1</v>
      </c>
      <c r="R77" s="15" t="n">
        <f aca="false">SUMIFS(Service_Consumables!$L$5:$L$856,Service_Consumables!$A$5:$A$856,$A77,Service_Consumables!$E$5:$E$856,R$5,Service_Consumables!$H$5:$H$856,"Auto-deduct")</f>
        <v>0</v>
      </c>
      <c r="S77" s="15" t="n">
        <f aca="false">SUMIFS(Service_Consumables!$L$5:$L$856,Service_Consumables!$A$5:$A$856,$A77,Service_Consumables!$E$5:$E$856,S$5,Service_Consumables!$H$5:$H$856,"Auto-deduct")</f>
        <v>32</v>
      </c>
      <c r="T77" s="15" t="n">
        <f aca="false">SUMIFS(Service_Consumables!$L$5:$L$856,Service_Consumables!$A$5:$A$856,$A77,Service_Consumables!$E$5:$E$856,T$5,Service_Consumables!$H$5:$H$856,"Auto-deduct")</f>
        <v>0</v>
      </c>
      <c r="U77" s="15" t="n">
        <f aca="false">SUMIFS(Service_Consumables!$L$5:$L$856,Service_Consumables!$A$5:$A$856,$A77,Service_Consumables!$E$5:$E$856,U$5,Service_Consumables!$H$5:$H$856,"Auto-deduct")</f>
        <v>0</v>
      </c>
      <c r="V77" s="15" t="n">
        <f aca="false">SUMIFS(Service_Consumables!$L$5:$L$856,Service_Consumables!$A$5:$A$856,$A77,Service_Consumables!$E$5:$E$856,V$5,Service_Consumables!$H$5:$H$856,"Auto-deduct")</f>
        <v>40</v>
      </c>
      <c r="W77" s="15" t="n">
        <f aca="false">SUMIFS(Service_Consumables!$L$5:$L$856,Service_Consumables!$A$5:$A$856,$A77,Service_Consumables!$E$5:$E$856,W$5,Service_Consumables!$H$5:$H$856,"Auto-deduct")</f>
        <v>48</v>
      </c>
      <c r="X77" s="15" t="n">
        <f aca="false">SUMIFS(Service_Consumables!$L$5:$L$856,Service_Consumables!$A$5:$A$856,$A77,Service_Consumables!$E$5:$E$856,X$5,Service_Consumables!$H$5:$H$856,"Auto-deduct")</f>
        <v>0</v>
      </c>
      <c r="Y77" s="15" t="n">
        <f aca="false">SUMIFS(Service_Consumables!$L$5:$L$856,Service_Consumables!$A$5:$A$856,$A77,Service_Consumables!$E$5:$E$856,Y$5,Service_Consumables!$H$5:$H$856,"Auto-deduct")</f>
        <v>0</v>
      </c>
      <c r="Z77" s="15" t="n">
        <f aca="false">SUMIFS(Service_Consumables!$L$5:$L$856,Service_Consumables!$A$5:$A$856,$A77,Service_Consumables!$E$5:$E$856,Z$5,Service_Consumables!$H$5:$H$856,"Auto-deduct")</f>
        <v>0</v>
      </c>
      <c r="AA77" s="15" t="n">
        <f aca="false">SUMIFS(Service_Consumables!$L$5:$L$856,Service_Consumables!$A$5:$A$856,$A77,Service_Consumables!$E$5:$E$856,AA$5,Service_Consumables!$H$5:$H$856,"Auto-deduct")</f>
        <v>32</v>
      </c>
      <c r="AB77" s="15" t="n">
        <f aca="false">SUMIFS(Service_Consumables!$L$5:$L$856,Service_Consumables!$A$5:$A$856,$A77,Service_Consumables!$E$5:$E$856,AB$5,Service_Consumables!$H$5:$H$856,"Auto-deduct")</f>
        <v>0</v>
      </c>
      <c r="AC77" s="15" t="n">
        <f aca="false">SUMIFS(Service_Consumables!$L$5:$L$856,Service_Consumables!$A$5:$A$856,$A77,Service_Consumables!$E$5:$E$856,AC$5,Service_Consumables!$H$5:$H$856,"Auto-deduct")</f>
        <v>16</v>
      </c>
      <c r="AD77" s="15" t="n">
        <f aca="false">SUMIFS(Service_Consumables!$L$5:$L$856,Service_Consumables!$A$5:$A$856,$A77,Service_Consumables!$E$5:$E$856,AD$5,Service_Consumables!$H$5:$H$856,"Auto-deduct")</f>
        <v>5</v>
      </c>
      <c r="AE77" s="15" t="n">
        <f aca="false">SUMIFS(Service_Consumables!$L$5:$L$856,Service_Consumables!$A$5:$A$856,$A77,Service_Consumables!$E$5:$E$856,AE$5,Service_Consumables!$H$5:$H$856,"Auto-deduct")</f>
        <v>0</v>
      </c>
      <c r="AF77" s="15" t="n">
        <f aca="false">SUMIFS(Service_Consumables!$L$5:$L$856,Service_Consumables!$A$5:$A$856,$A77,Service_Consumables!$E$5:$E$856,AF$5,Service_Consumables!$H$5:$H$856,"Auto-deduct")</f>
        <v>40</v>
      </c>
      <c r="AG77" s="15" t="n">
        <f aca="false">SUMIFS(Service_Consumables!$L$5:$L$856,Service_Consumables!$A$5:$A$856,$A77,Service_Consumables!$E$5:$E$856,AG$5,Service_Consumables!$H$5:$H$856,"Auto-deduct")</f>
        <v>0</v>
      </c>
      <c r="AH77" s="15" t="n">
        <f aca="false">SUMIFS(Service_Consumables!$L$5:$L$856,Service_Consumables!$A$5:$A$856,$A77,Service_Consumables!$E$5:$E$856,AH$5,Service_Consumables!$H$5:$H$856,"Auto-deduct")</f>
        <v>0</v>
      </c>
      <c r="AI77" s="15" t="n">
        <f aca="false">SUMIFS(Service_Consumables!$L$5:$L$856,Service_Consumables!$A$5:$A$856,$A77,Service_Consumables!$E$5:$E$856,AI$5,Service_Consumables!$H$5:$H$856,"Auto-deduct")</f>
        <v>0</v>
      </c>
      <c r="AJ77" s="15" t="n">
        <f aca="false">SUMIFS(Service_Consumables!$L$5:$L$856,Service_Consumables!$A$5:$A$856,$A77,Service_Consumables!$E$5:$E$856,AJ$5,Service_Consumables!$H$5:$H$856,"Auto-deduct")</f>
        <v>0</v>
      </c>
      <c r="AK77" s="15" t="n">
        <f aca="false">SUMIFS(Service_Consumables!$L$5:$L$856,Service_Consumables!$A$5:$A$856,$A77,Service_Consumables!$E$5:$E$856,AK$5,Service_Consumables!$H$5:$H$856,"Auto-deduct")</f>
        <v>0</v>
      </c>
      <c r="AL77" s="15" t="n">
        <f aca="false">SUMIFS(Service_Consumables!$L$5:$L$856,Service_Consumables!$A$5:$A$856,$A77,Service_Consumables!$E$5:$E$856,AL$5,Service_Consumables!$H$5:$H$856,"Auto-deduct")</f>
        <v>0</v>
      </c>
      <c r="AM77" s="15" t="n">
        <f aca="false">SUMIFS(Service_Consumables!$L$5:$L$856,Service_Consumables!$A$5:$A$856,$A77,Service_Consumables!$E$5:$E$856,AM$5,Service_Consumables!$H$5:$H$856,"Auto-deduct")</f>
        <v>0</v>
      </c>
      <c r="AN77" s="15" t="n">
        <f aca="false">SUMIFS(Service_Consumables!$L$5:$L$856,Service_Consumables!$A$5:$A$856,$A77,Service_Consumables!$E$5:$E$856,AN$5,Service_Consumables!$H$5:$H$856,"Auto-deduct")</f>
        <v>0</v>
      </c>
      <c r="AO77" s="15" t="n">
        <f aca="false">SUMIFS(Service_Consumables!$L$5:$L$856,Service_Consumables!$A$5:$A$856,$A77,Service_Consumables!$E$5:$E$856,AO$5,Service_Consumables!$H$5:$H$856,"Auto-deduct")</f>
        <v>160</v>
      </c>
      <c r="AP77" s="15" t="n">
        <f aca="false">SUMIFS(Service_Consumables!$L$5:$L$856,Service_Consumables!$A$5:$A$856,$A77,Service_Consumables!$E$5:$E$856,AP$5,Service_Consumables!$H$5:$H$856,"Auto-deduct")</f>
        <v>0</v>
      </c>
      <c r="AQ77" s="15" t="n">
        <f aca="false">SUMIFS(Service_Consumables!$L$5:$L$856,Service_Consumables!$A$5:$A$856,$A77,Service_Consumables!$E$5:$E$856,AQ$5,Service_Consumables!$H$5:$H$856,"Auto-deduct")</f>
        <v>0</v>
      </c>
      <c r="AR77" s="15" t="n">
        <f aca="false">SUMIFS(Service_Consumables!$L$5:$L$856,Service_Consumables!$A$5:$A$856,$A77,Service_Consumables!$E$5:$E$856,AR$5,Service_Consumables!$H$5:$H$856,"Auto-deduct")</f>
        <v>0</v>
      </c>
      <c r="AS77" s="15" t="n">
        <f aca="false">SUMIFS(Service_Consumables!$L$5:$L$856,Service_Consumables!$A$5:$A$856,$A77,Service_Consumables!$E$5:$E$856,AS$5,Service_Consumables!$H$5:$H$856,"Auto-deduct")</f>
        <v>0</v>
      </c>
      <c r="AT77" s="15" t="n">
        <f aca="false">SUMIFS(Service_Consumables!$L$5:$L$856,Service_Consumables!$A$5:$A$856,$A77,Service_Consumables!$E$5:$E$856,AT$5,Service_Consumables!$H$5:$H$856,"Auto-deduct")</f>
        <v>0</v>
      </c>
      <c r="AU77" s="15" t="n">
        <f aca="false">SUMIFS(Service_Consumables!$L$5:$L$856,Service_Consumables!$A$5:$A$856,$A77,Service_Consumables!$E$5:$E$856,AU$5,Service_Consumables!$H$5:$H$856,"Auto-deduct")</f>
        <v>0</v>
      </c>
      <c r="AV77" s="15" t="n">
        <f aca="false">SUMIFS(Service_Consumables!$L$5:$L$856,Service_Consumables!$A$5:$A$856,$A77,Service_Consumables!$E$5:$E$856,AV$5,Service_Consumables!$H$5:$H$856,"Auto-deduct")</f>
        <v>0</v>
      </c>
      <c r="AW77" s="15" t="n">
        <f aca="false">SUMIFS(Service_Consumables!$L$5:$L$856,Service_Consumables!$A$5:$A$856,$A77,Service_Consumables!$E$5:$E$856,AW$5,Service_Consumables!$H$5:$H$856,"Auto-deduct")</f>
        <v>0</v>
      </c>
      <c r="AX77" s="15" t="n">
        <f aca="false">SUMIFS(Service_Consumables!$L$5:$L$856,Service_Consumables!$A$5:$A$856,$A77,Service_Consumables!$E$5:$E$856,AX$5,Service_Consumables!$H$5:$H$856,"Auto-deduct")</f>
        <v>0</v>
      </c>
      <c r="AY77" s="15" t="n">
        <f aca="false">SUMIFS(Service_Consumables!$L$5:$L$856,Service_Consumables!$A$5:$A$856,$A77,Service_Consumables!$E$5:$E$856,AY$5,Service_Consumables!$H$5:$H$856,"Auto-deduct")</f>
        <v>0</v>
      </c>
      <c r="AZ77" s="15" t="n">
        <f aca="false">SUMIFS(Service_Consumables!$L$5:$L$856,Service_Consumables!$A$5:$A$856,$A77,Service_Consumables!$E$5:$E$856,AZ$5,Service_Consumables!$H$5:$H$856,"Auto-deduct")</f>
        <v>0</v>
      </c>
      <c r="BA77" s="15" t="n">
        <f aca="false">SUMIFS(Service_Consumables!$L$5:$L$856,Service_Consumables!$A$5:$A$856,$A77,Service_Consumables!$E$5:$E$856,BA$5,Service_Consumables!$H$5:$H$856,"Auto-deduct")</f>
        <v>24</v>
      </c>
      <c r="BB77" s="15" t="n">
        <f aca="false">SUMIFS(Service_Consumables!$L$5:$L$856,Service_Consumables!$A$5:$A$856,$A77,Service_Consumables!$E$5:$E$856,BB$5,Service_Consumables!$H$5:$H$856,"Auto-deduct")</f>
        <v>0</v>
      </c>
      <c r="BC77" s="15" t="n">
        <f aca="false">SUMIFS(Service_Consumables!$L$5:$L$856,Service_Consumables!$A$5:$A$856,$A77,Service_Consumables!$E$5:$E$856,BC$5,Service_Consumables!$H$5:$H$856,"Auto-deduct")</f>
        <v>0</v>
      </c>
      <c r="BD77" s="15" t="n">
        <f aca="false">SUMIFS(Service_Consumables!$L$5:$L$856,Service_Consumables!$A$5:$A$856,$A77,Service_Consumables!$E$5:$E$856,BD$5,Service_Consumables!$H$5:$H$856,"Auto-deduct")</f>
        <v>0</v>
      </c>
      <c r="BE77" s="15" t="n">
        <f aca="false">SUMIFS(Service_Consumables!$L$5:$L$856,Service_Consumables!$A$5:$A$856,$A77,Service_Consumables!$E$5:$E$856,BE$5,Service_Consumables!$H$5:$H$856,"Auto-deduct")</f>
        <v>0</v>
      </c>
      <c r="BF77" s="15" t="n">
        <f aca="false">SUMIFS(Service_Consumables!$L$5:$L$856,Service_Consumables!$A$5:$A$856,$A77,Service_Consumables!$E$5:$E$856,BF$5,Service_Consumables!$H$5:$H$856,"Auto-deduct")</f>
        <v>0</v>
      </c>
      <c r="BG77" s="15" t="n">
        <f aca="false">SUMIFS(Service_Consumables!$L$5:$L$856,Service_Consumables!$A$5:$A$856,$A77,Service_Consumables!$E$5:$E$856,BG$5,Service_Consumables!$H$5:$H$856,"Auto-deduct")</f>
        <v>0</v>
      </c>
      <c r="BH77" s="15" t="n">
        <f aca="false">SUMIFS(Service_Consumables!$L$5:$L$856,Service_Consumables!$A$5:$A$856,$A77,Service_Consumables!$E$5:$E$856,BH$5,Service_Consumables!$H$5:$H$856,"Auto-deduct")</f>
        <v>0</v>
      </c>
      <c r="BI77" s="15" t="n">
        <f aca="false">SUMIFS(Service_Consumables!$L$5:$L$856,Service_Consumables!$A$5:$A$856,$A77,Service_Consumables!$E$5:$E$856,BI$5,Service_Consumables!$H$5:$H$856,"Auto-deduct")</f>
        <v>0</v>
      </c>
    </row>
    <row r="78" customFormat="false" ht="15" hidden="false" customHeight="false" outlineLevel="0" collapsed="false">
      <c r="A78" s="14" t="n">
        <f aca="false">Services!A77</f>
        <v>73</v>
      </c>
      <c r="B78" s="14" t="str">
        <f aca="false">Services!B77</f>
        <v>Body Tightening / Fat Reduction</v>
      </c>
      <c r="C78" s="14" t="str">
        <f aca="false">Services!C77</f>
        <v>Body Tightening Tummy</v>
      </c>
      <c r="D78" s="15" t="n">
        <f aca="false">SUMIFS(Service_Consumables!$L$5:$L$856,Service_Consumables!$A$5:$A$856,$A78,Service_Consumables!$E$5:$E$856,D$5,Service_Consumables!$H$5:$H$856,"Auto-deduct")</f>
        <v>0</v>
      </c>
      <c r="E78" s="15" t="n">
        <f aca="false">SUMIFS(Service_Consumables!$L$5:$L$856,Service_Consumables!$A$5:$A$856,$A78,Service_Consumables!$E$5:$E$856,E$5,Service_Consumables!$H$5:$H$856,"Auto-deduct")</f>
        <v>0</v>
      </c>
      <c r="F78" s="15" t="n">
        <f aca="false">SUMIFS(Service_Consumables!$L$5:$L$856,Service_Consumables!$A$5:$A$856,$A78,Service_Consumables!$E$5:$E$856,F$5,Service_Consumables!$H$5:$H$856,"Auto-deduct")</f>
        <v>0</v>
      </c>
      <c r="G78" s="15" t="n">
        <f aca="false">SUMIFS(Service_Consumables!$L$5:$L$856,Service_Consumables!$A$5:$A$856,$A78,Service_Consumables!$E$5:$E$856,G$5,Service_Consumables!$H$5:$H$856,"Auto-deduct")</f>
        <v>0</v>
      </c>
      <c r="H78" s="15" t="n">
        <f aca="false">SUMIFS(Service_Consumables!$L$5:$L$856,Service_Consumables!$A$5:$A$856,$A78,Service_Consumables!$E$5:$E$856,H$5,Service_Consumables!$H$5:$H$856,"Auto-deduct")</f>
        <v>0</v>
      </c>
      <c r="I78" s="15" t="n">
        <f aca="false">SUMIFS(Service_Consumables!$L$5:$L$856,Service_Consumables!$A$5:$A$856,$A78,Service_Consumables!$E$5:$E$856,I$5,Service_Consumables!$H$5:$H$856,"Auto-deduct")</f>
        <v>0</v>
      </c>
      <c r="J78" s="15" t="n">
        <f aca="false">SUMIFS(Service_Consumables!$L$5:$L$856,Service_Consumables!$A$5:$A$856,$A78,Service_Consumables!$E$5:$E$856,J$5,Service_Consumables!$H$5:$H$856,"Auto-deduct")</f>
        <v>0</v>
      </c>
      <c r="K78" s="15" t="n">
        <f aca="false">SUMIFS(Service_Consumables!$L$5:$L$856,Service_Consumables!$A$5:$A$856,$A78,Service_Consumables!$E$5:$E$856,K$5,Service_Consumables!$H$5:$H$856,"Auto-deduct")</f>
        <v>0</v>
      </c>
      <c r="L78" s="15" t="n">
        <f aca="false">SUMIFS(Service_Consumables!$L$5:$L$856,Service_Consumables!$A$5:$A$856,$A78,Service_Consumables!$E$5:$E$856,L$5,Service_Consumables!$H$5:$H$856,"Auto-deduct")</f>
        <v>0</v>
      </c>
      <c r="M78" s="15" t="n">
        <f aca="false">SUMIFS(Service_Consumables!$L$5:$L$856,Service_Consumables!$A$5:$A$856,$A78,Service_Consumables!$E$5:$E$856,M$5,Service_Consumables!$H$5:$H$856,"Auto-deduct")</f>
        <v>0</v>
      </c>
      <c r="N78" s="15" t="n">
        <f aca="false">SUMIFS(Service_Consumables!$L$5:$L$856,Service_Consumables!$A$5:$A$856,$A78,Service_Consumables!$E$5:$E$856,N$5,Service_Consumables!$H$5:$H$856,"Auto-deduct")</f>
        <v>0</v>
      </c>
      <c r="O78" s="15" t="n">
        <f aca="false">SUMIFS(Service_Consumables!$L$5:$L$856,Service_Consumables!$A$5:$A$856,$A78,Service_Consumables!$E$5:$E$856,O$5,Service_Consumables!$H$5:$H$856,"Auto-deduct")</f>
        <v>0</v>
      </c>
      <c r="P78" s="15" t="n">
        <f aca="false">SUMIFS(Service_Consumables!$L$5:$L$856,Service_Consumables!$A$5:$A$856,$A78,Service_Consumables!$E$5:$E$856,P$5,Service_Consumables!$H$5:$H$856,"Auto-deduct")</f>
        <v>1</v>
      </c>
      <c r="Q78" s="15" t="n">
        <f aca="false">SUMIFS(Service_Consumables!$L$5:$L$856,Service_Consumables!$A$5:$A$856,$A78,Service_Consumables!$E$5:$E$856,Q$5,Service_Consumables!$H$5:$H$856,"Auto-deduct")</f>
        <v>1</v>
      </c>
      <c r="R78" s="15" t="n">
        <f aca="false">SUMIFS(Service_Consumables!$L$5:$L$856,Service_Consumables!$A$5:$A$856,$A78,Service_Consumables!$E$5:$E$856,R$5,Service_Consumables!$H$5:$H$856,"Auto-deduct")</f>
        <v>0</v>
      </c>
      <c r="S78" s="15" t="n">
        <f aca="false">SUMIFS(Service_Consumables!$L$5:$L$856,Service_Consumables!$A$5:$A$856,$A78,Service_Consumables!$E$5:$E$856,S$5,Service_Consumables!$H$5:$H$856,"Auto-deduct")</f>
        <v>4</v>
      </c>
      <c r="T78" s="15" t="n">
        <f aca="false">SUMIFS(Service_Consumables!$L$5:$L$856,Service_Consumables!$A$5:$A$856,$A78,Service_Consumables!$E$5:$E$856,T$5,Service_Consumables!$H$5:$H$856,"Auto-deduct")</f>
        <v>0</v>
      </c>
      <c r="U78" s="15" t="n">
        <f aca="false">SUMIFS(Service_Consumables!$L$5:$L$856,Service_Consumables!$A$5:$A$856,$A78,Service_Consumables!$E$5:$E$856,U$5,Service_Consumables!$H$5:$H$856,"Auto-deduct")</f>
        <v>10</v>
      </c>
      <c r="V78" s="15" t="n">
        <f aca="false">SUMIFS(Service_Consumables!$L$5:$L$856,Service_Consumables!$A$5:$A$856,$A78,Service_Consumables!$E$5:$E$856,V$5,Service_Consumables!$H$5:$H$856,"Auto-deduct")</f>
        <v>0</v>
      </c>
      <c r="W78" s="15" t="n">
        <f aca="false">SUMIFS(Service_Consumables!$L$5:$L$856,Service_Consumables!$A$5:$A$856,$A78,Service_Consumables!$E$5:$E$856,W$5,Service_Consumables!$H$5:$H$856,"Auto-deduct")</f>
        <v>0</v>
      </c>
      <c r="X78" s="15" t="n">
        <f aca="false">SUMIFS(Service_Consumables!$L$5:$L$856,Service_Consumables!$A$5:$A$856,$A78,Service_Consumables!$E$5:$E$856,X$5,Service_Consumables!$H$5:$H$856,"Auto-deduct")</f>
        <v>0</v>
      </c>
      <c r="Y78" s="15" t="n">
        <f aca="false">SUMIFS(Service_Consumables!$L$5:$L$856,Service_Consumables!$A$5:$A$856,$A78,Service_Consumables!$E$5:$E$856,Y$5,Service_Consumables!$H$5:$H$856,"Auto-deduct")</f>
        <v>0</v>
      </c>
      <c r="Z78" s="15" t="n">
        <f aca="false">SUMIFS(Service_Consumables!$L$5:$L$856,Service_Consumables!$A$5:$A$856,$A78,Service_Consumables!$E$5:$E$856,Z$5,Service_Consumables!$H$5:$H$856,"Auto-deduct")</f>
        <v>0</v>
      </c>
      <c r="AA78" s="15" t="n">
        <f aca="false">SUMIFS(Service_Consumables!$L$5:$L$856,Service_Consumables!$A$5:$A$856,$A78,Service_Consumables!$E$5:$E$856,AA$5,Service_Consumables!$H$5:$H$856,"Auto-deduct")</f>
        <v>0</v>
      </c>
      <c r="AB78" s="15" t="n">
        <f aca="false">SUMIFS(Service_Consumables!$L$5:$L$856,Service_Consumables!$A$5:$A$856,$A78,Service_Consumables!$E$5:$E$856,AB$5,Service_Consumables!$H$5:$H$856,"Auto-deduct")</f>
        <v>0</v>
      </c>
      <c r="AC78" s="15" t="n">
        <f aca="false">SUMIFS(Service_Consumables!$L$5:$L$856,Service_Consumables!$A$5:$A$856,$A78,Service_Consumables!$E$5:$E$856,AC$5,Service_Consumables!$H$5:$H$856,"Auto-deduct")</f>
        <v>6</v>
      </c>
      <c r="AD78" s="15" t="n">
        <f aca="false">SUMIFS(Service_Consumables!$L$5:$L$856,Service_Consumables!$A$5:$A$856,$A78,Service_Consumables!$E$5:$E$856,AD$5,Service_Consumables!$H$5:$H$856,"Auto-deduct")</f>
        <v>15</v>
      </c>
      <c r="AE78" s="15" t="n">
        <f aca="false">SUMIFS(Service_Consumables!$L$5:$L$856,Service_Consumables!$A$5:$A$856,$A78,Service_Consumables!$E$5:$E$856,AE$5,Service_Consumables!$H$5:$H$856,"Auto-deduct")</f>
        <v>0</v>
      </c>
      <c r="AF78" s="15" t="n">
        <f aca="false">SUMIFS(Service_Consumables!$L$5:$L$856,Service_Consumables!$A$5:$A$856,$A78,Service_Consumables!$E$5:$E$856,AF$5,Service_Consumables!$H$5:$H$856,"Auto-deduct")</f>
        <v>0</v>
      </c>
      <c r="AG78" s="15" t="n">
        <f aca="false">SUMIFS(Service_Consumables!$L$5:$L$856,Service_Consumables!$A$5:$A$856,$A78,Service_Consumables!$E$5:$E$856,AG$5,Service_Consumables!$H$5:$H$856,"Auto-deduct")</f>
        <v>0</v>
      </c>
      <c r="AH78" s="15" t="n">
        <f aca="false">SUMIFS(Service_Consumables!$L$5:$L$856,Service_Consumables!$A$5:$A$856,$A78,Service_Consumables!$E$5:$E$856,AH$5,Service_Consumables!$H$5:$H$856,"Auto-deduct")</f>
        <v>0</v>
      </c>
      <c r="AI78" s="15" t="n">
        <f aca="false">SUMIFS(Service_Consumables!$L$5:$L$856,Service_Consumables!$A$5:$A$856,$A78,Service_Consumables!$E$5:$E$856,AI$5,Service_Consumables!$H$5:$H$856,"Auto-deduct")</f>
        <v>0</v>
      </c>
      <c r="AJ78" s="15" t="n">
        <f aca="false">SUMIFS(Service_Consumables!$L$5:$L$856,Service_Consumables!$A$5:$A$856,$A78,Service_Consumables!$E$5:$E$856,AJ$5,Service_Consumables!$H$5:$H$856,"Auto-deduct")</f>
        <v>0</v>
      </c>
      <c r="AK78" s="15" t="n">
        <f aca="false">SUMIFS(Service_Consumables!$L$5:$L$856,Service_Consumables!$A$5:$A$856,$A78,Service_Consumables!$E$5:$E$856,AK$5,Service_Consumables!$H$5:$H$856,"Auto-deduct")</f>
        <v>0</v>
      </c>
      <c r="AL78" s="15" t="n">
        <f aca="false">SUMIFS(Service_Consumables!$L$5:$L$856,Service_Consumables!$A$5:$A$856,$A78,Service_Consumables!$E$5:$E$856,AL$5,Service_Consumables!$H$5:$H$856,"Auto-deduct")</f>
        <v>0</v>
      </c>
      <c r="AM78" s="15" t="n">
        <f aca="false">SUMIFS(Service_Consumables!$L$5:$L$856,Service_Consumables!$A$5:$A$856,$A78,Service_Consumables!$E$5:$E$856,AM$5,Service_Consumables!$H$5:$H$856,"Auto-deduct")</f>
        <v>0</v>
      </c>
      <c r="AN78" s="15" t="n">
        <f aca="false">SUMIFS(Service_Consumables!$L$5:$L$856,Service_Consumables!$A$5:$A$856,$A78,Service_Consumables!$E$5:$E$856,AN$5,Service_Consumables!$H$5:$H$856,"Auto-deduct")</f>
        <v>0</v>
      </c>
      <c r="AO78" s="15" t="n">
        <f aca="false">SUMIFS(Service_Consumables!$L$5:$L$856,Service_Consumables!$A$5:$A$856,$A78,Service_Consumables!$E$5:$E$856,AO$5,Service_Consumables!$H$5:$H$856,"Auto-deduct")</f>
        <v>0</v>
      </c>
      <c r="AP78" s="15" t="n">
        <f aca="false">SUMIFS(Service_Consumables!$L$5:$L$856,Service_Consumables!$A$5:$A$856,$A78,Service_Consumables!$E$5:$E$856,AP$5,Service_Consumables!$H$5:$H$856,"Auto-deduct")</f>
        <v>20</v>
      </c>
      <c r="AQ78" s="15" t="n">
        <f aca="false">SUMIFS(Service_Consumables!$L$5:$L$856,Service_Consumables!$A$5:$A$856,$A78,Service_Consumables!$E$5:$E$856,AQ$5,Service_Consumables!$H$5:$H$856,"Auto-deduct")</f>
        <v>0</v>
      </c>
      <c r="AR78" s="15" t="n">
        <f aca="false">SUMIFS(Service_Consumables!$L$5:$L$856,Service_Consumables!$A$5:$A$856,$A78,Service_Consumables!$E$5:$E$856,AR$5,Service_Consumables!$H$5:$H$856,"Auto-deduct")</f>
        <v>0</v>
      </c>
      <c r="AS78" s="15" t="n">
        <f aca="false">SUMIFS(Service_Consumables!$L$5:$L$856,Service_Consumables!$A$5:$A$856,$A78,Service_Consumables!$E$5:$E$856,AS$5,Service_Consumables!$H$5:$H$856,"Auto-deduct")</f>
        <v>0</v>
      </c>
      <c r="AT78" s="15" t="n">
        <f aca="false">SUMIFS(Service_Consumables!$L$5:$L$856,Service_Consumables!$A$5:$A$856,$A78,Service_Consumables!$E$5:$E$856,AT$5,Service_Consumables!$H$5:$H$856,"Auto-deduct")</f>
        <v>0</v>
      </c>
      <c r="AU78" s="15" t="n">
        <f aca="false">SUMIFS(Service_Consumables!$L$5:$L$856,Service_Consumables!$A$5:$A$856,$A78,Service_Consumables!$E$5:$E$856,AU$5,Service_Consumables!$H$5:$H$856,"Auto-deduct")</f>
        <v>0</v>
      </c>
      <c r="AV78" s="15" t="n">
        <f aca="false">SUMIFS(Service_Consumables!$L$5:$L$856,Service_Consumables!$A$5:$A$856,$A78,Service_Consumables!$E$5:$E$856,AV$5,Service_Consumables!$H$5:$H$856,"Auto-deduct")</f>
        <v>0</v>
      </c>
      <c r="AW78" s="15" t="n">
        <f aca="false">SUMIFS(Service_Consumables!$L$5:$L$856,Service_Consumables!$A$5:$A$856,$A78,Service_Consumables!$E$5:$E$856,AW$5,Service_Consumables!$H$5:$H$856,"Auto-deduct")</f>
        <v>0</v>
      </c>
      <c r="AX78" s="15" t="n">
        <f aca="false">SUMIFS(Service_Consumables!$L$5:$L$856,Service_Consumables!$A$5:$A$856,$A78,Service_Consumables!$E$5:$E$856,AX$5,Service_Consumables!$H$5:$H$856,"Auto-deduct")</f>
        <v>0</v>
      </c>
      <c r="AY78" s="15" t="n">
        <f aca="false">SUMIFS(Service_Consumables!$L$5:$L$856,Service_Consumables!$A$5:$A$856,$A78,Service_Consumables!$E$5:$E$856,AY$5,Service_Consumables!$H$5:$H$856,"Auto-deduct")</f>
        <v>0</v>
      </c>
      <c r="AZ78" s="15" t="n">
        <f aca="false">SUMIFS(Service_Consumables!$L$5:$L$856,Service_Consumables!$A$5:$A$856,$A78,Service_Consumables!$E$5:$E$856,AZ$5,Service_Consumables!$H$5:$H$856,"Auto-deduct")</f>
        <v>0</v>
      </c>
      <c r="BA78" s="15" t="n">
        <f aca="false">SUMIFS(Service_Consumables!$L$5:$L$856,Service_Consumables!$A$5:$A$856,$A78,Service_Consumables!$E$5:$E$856,BA$5,Service_Consumables!$H$5:$H$856,"Auto-deduct")</f>
        <v>0</v>
      </c>
      <c r="BB78" s="15" t="n">
        <f aca="false">SUMIFS(Service_Consumables!$L$5:$L$856,Service_Consumables!$A$5:$A$856,$A78,Service_Consumables!$E$5:$E$856,BB$5,Service_Consumables!$H$5:$H$856,"Auto-deduct")</f>
        <v>0</v>
      </c>
      <c r="BC78" s="15" t="n">
        <f aca="false">SUMIFS(Service_Consumables!$L$5:$L$856,Service_Consumables!$A$5:$A$856,$A78,Service_Consumables!$E$5:$E$856,BC$5,Service_Consumables!$H$5:$H$856,"Auto-deduct")</f>
        <v>0</v>
      </c>
      <c r="BD78" s="15" t="n">
        <f aca="false">SUMIFS(Service_Consumables!$L$5:$L$856,Service_Consumables!$A$5:$A$856,$A78,Service_Consumables!$E$5:$E$856,BD$5,Service_Consumables!$H$5:$H$856,"Auto-deduct")</f>
        <v>0</v>
      </c>
      <c r="BE78" s="15" t="n">
        <f aca="false">SUMIFS(Service_Consumables!$L$5:$L$856,Service_Consumables!$A$5:$A$856,$A78,Service_Consumables!$E$5:$E$856,BE$5,Service_Consumables!$H$5:$H$856,"Auto-deduct")</f>
        <v>0</v>
      </c>
      <c r="BF78" s="15" t="n">
        <f aca="false">SUMIFS(Service_Consumables!$L$5:$L$856,Service_Consumables!$A$5:$A$856,$A78,Service_Consumables!$E$5:$E$856,BF$5,Service_Consumables!$H$5:$H$856,"Auto-deduct")</f>
        <v>0</v>
      </c>
      <c r="BG78" s="15" t="n">
        <f aca="false">SUMIFS(Service_Consumables!$L$5:$L$856,Service_Consumables!$A$5:$A$856,$A78,Service_Consumables!$E$5:$E$856,BG$5,Service_Consumables!$H$5:$H$856,"Auto-deduct")</f>
        <v>0</v>
      </c>
      <c r="BH78" s="15" t="n">
        <f aca="false">SUMIFS(Service_Consumables!$L$5:$L$856,Service_Consumables!$A$5:$A$856,$A78,Service_Consumables!$E$5:$E$856,BH$5,Service_Consumables!$H$5:$H$856,"Auto-deduct")</f>
        <v>0</v>
      </c>
      <c r="BI78" s="15" t="n">
        <f aca="false">SUMIFS(Service_Consumables!$L$5:$L$856,Service_Consumables!$A$5:$A$856,$A78,Service_Consumables!$E$5:$E$856,BI$5,Service_Consumables!$H$5:$H$856,"Auto-deduct")</f>
        <v>0</v>
      </c>
    </row>
    <row r="79" customFormat="false" ht="15" hidden="false" customHeight="false" outlineLevel="0" collapsed="false">
      <c r="A79" s="14" t="n">
        <f aca="false">Services!A78</f>
        <v>74</v>
      </c>
      <c r="B79" s="14" t="str">
        <f aca="false">Services!B78</f>
        <v>Body Tightening / Fat Reduction</v>
      </c>
      <c r="C79" s="14" t="str">
        <f aca="false">Services!C78</f>
        <v>Body Fat Reduction Tummy</v>
      </c>
      <c r="D79" s="15" t="n">
        <f aca="false">SUMIFS(Service_Consumables!$L$5:$L$856,Service_Consumables!$A$5:$A$856,$A79,Service_Consumables!$E$5:$E$856,D$5,Service_Consumables!$H$5:$H$856,"Auto-deduct")</f>
        <v>0</v>
      </c>
      <c r="E79" s="15" t="n">
        <f aca="false">SUMIFS(Service_Consumables!$L$5:$L$856,Service_Consumables!$A$5:$A$856,$A79,Service_Consumables!$E$5:$E$856,E$5,Service_Consumables!$H$5:$H$856,"Auto-deduct")</f>
        <v>0</v>
      </c>
      <c r="F79" s="15" t="n">
        <f aca="false">SUMIFS(Service_Consumables!$L$5:$L$856,Service_Consumables!$A$5:$A$856,$A79,Service_Consumables!$E$5:$E$856,F$5,Service_Consumables!$H$5:$H$856,"Auto-deduct")</f>
        <v>0</v>
      </c>
      <c r="G79" s="15" t="n">
        <f aca="false">SUMIFS(Service_Consumables!$L$5:$L$856,Service_Consumables!$A$5:$A$856,$A79,Service_Consumables!$E$5:$E$856,G$5,Service_Consumables!$H$5:$H$856,"Auto-deduct")</f>
        <v>0</v>
      </c>
      <c r="H79" s="15" t="n">
        <f aca="false">SUMIFS(Service_Consumables!$L$5:$L$856,Service_Consumables!$A$5:$A$856,$A79,Service_Consumables!$E$5:$E$856,H$5,Service_Consumables!$H$5:$H$856,"Auto-deduct")</f>
        <v>0</v>
      </c>
      <c r="I79" s="15" t="n">
        <f aca="false">SUMIFS(Service_Consumables!$L$5:$L$856,Service_Consumables!$A$5:$A$856,$A79,Service_Consumables!$E$5:$E$856,I$5,Service_Consumables!$H$5:$H$856,"Auto-deduct")</f>
        <v>0</v>
      </c>
      <c r="J79" s="15" t="n">
        <f aca="false">SUMIFS(Service_Consumables!$L$5:$L$856,Service_Consumables!$A$5:$A$856,$A79,Service_Consumables!$E$5:$E$856,J$5,Service_Consumables!$H$5:$H$856,"Auto-deduct")</f>
        <v>0</v>
      </c>
      <c r="K79" s="15" t="n">
        <f aca="false">SUMIFS(Service_Consumables!$L$5:$L$856,Service_Consumables!$A$5:$A$856,$A79,Service_Consumables!$E$5:$E$856,K$5,Service_Consumables!$H$5:$H$856,"Auto-deduct")</f>
        <v>0</v>
      </c>
      <c r="L79" s="15" t="n">
        <f aca="false">SUMIFS(Service_Consumables!$L$5:$L$856,Service_Consumables!$A$5:$A$856,$A79,Service_Consumables!$E$5:$E$856,L$5,Service_Consumables!$H$5:$H$856,"Auto-deduct")</f>
        <v>0</v>
      </c>
      <c r="M79" s="15" t="n">
        <f aca="false">SUMIFS(Service_Consumables!$L$5:$L$856,Service_Consumables!$A$5:$A$856,$A79,Service_Consumables!$E$5:$E$856,M$5,Service_Consumables!$H$5:$H$856,"Auto-deduct")</f>
        <v>0</v>
      </c>
      <c r="N79" s="15" t="n">
        <f aca="false">SUMIFS(Service_Consumables!$L$5:$L$856,Service_Consumables!$A$5:$A$856,$A79,Service_Consumables!$E$5:$E$856,N$5,Service_Consumables!$H$5:$H$856,"Auto-deduct")</f>
        <v>0</v>
      </c>
      <c r="O79" s="15" t="n">
        <f aca="false">SUMIFS(Service_Consumables!$L$5:$L$856,Service_Consumables!$A$5:$A$856,$A79,Service_Consumables!$E$5:$E$856,O$5,Service_Consumables!$H$5:$H$856,"Auto-deduct")</f>
        <v>0</v>
      </c>
      <c r="P79" s="15" t="n">
        <f aca="false">SUMIFS(Service_Consumables!$L$5:$L$856,Service_Consumables!$A$5:$A$856,$A79,Service_Consumables!$E$5:$E$856,P$5,Service_Consumables!$H$5:$H$856,"Auto-deduct")</f>
        <v>1</v>
      </c>
      <c r="Q79" s="15" t="n">
        <f aca="false">SUMIFS(Service_Consumables!$L$5:$L$856,Service_Consumables!$A$5:$A$856,$A79,Service_Consumables!$E$5:$E$856,Q$5,Service_Consumables!$H$5:$H$856,"Auto-deduct")</f>
        <v>1</v>
      </c>
      <c r="R79" s="15" t="n">
        <f aca="false">SUMIFS(Service_Consumables!$L$5:$L$856,Service_Consumables!$A$5:$A$856,$A79,Service_Consumables!$E$5:$E$856,R$5,Service_Consumables!$H$5:$H$856,"Auto-deduct")</f>
        <v>0</v>
      </c>
      <c r="S79" s="15" t="n">
        <f aca="false">SUMIFS(Service_Consumables!$L$5:$L$856,Service_Consumables!$A$5:$A$856,$A79,Service_Consumables!$E$5:$E$856,S$5,Service_Consumables!$H$5:$H$856,"Auto-deduct")</f>
        <v>4</v>
      </c>
      <c r="T79" s="15" t="n">
        <f aca="false">SUMIFS(Service_Consumables!$L$5:$L$856,Service_Consumables!$A$5:$A$856,$A79,Service_Consumables!$E$5:$E$856,T$5,Service_Consumables!$H$5:$H$856,"Auto-deduct")</f>
        <v>0</v>
      </c>
      <c r="U79" s="15" t="n">
        <f aca="false">SUMIFS(Service_Consumables!$L$5:$L$856,Service_Consumables!$A$5:$A$856,$A79,Service_Consumables!$E$5:$E$856,U$5,Service_Consumables!$H$5:$H$856,"Auto-deduct")</f>
        <v>10</v>
      </c>
      <c r="V79" s="15" t="n">
        <f aca="false">SUMIFS(Service_Consumables!$L$5:$L$856,Service_Consumables!$A$5:$A$856,$A79,Service_Consumables!$E$5:$E$856,V$5,Service_Consumables!$H$5:$H$856,"Auto-deduct")</f>
        <v>0</v>
      </c>
      <c r="W79" s="15" t="n">
        <f aca="false">SUMIFS(Service_Consumables!$L$5:$L$856,Service_Consumables!$A$5:$A$856,$A79,Service_Consumables!$E$5:$E$856,W$5,Service_Consumables!$H$5:$H$856,"Auto-deduct")</f>
        <v>0</v>
      </c>
      <c r="X79" s="15" t="n">
        <f aca="false">SUMIFS(Service_Consumables!$L$5:$L$856,Service_Consumables!$A$5:$A$856,$A79,Service_Consumables!$E$5:$E$856,X$5,Service_Consumables!$H$5:$H$856,"Auto-deduct")</f>
        <v>0</v>
      </c>
      <c r="Y79" s="15" t="n">
        <f aca="false">SUMIFS(Service_Consumables!$L$5:$L$856,Service_Consumables!$A$5:$A$856,$A79,Service_Consumables!$E$5:$E$856,Y$5,Service_Consumables!$H$5:$H$856,"Auto-deduct")</f>
        <v>0</v>
      </c>
      <c r="Z79" s="15" t="n">
        <f aca="false">SUMIFS(Service_Consumables!$L$5:$L$856,Service_Consumables!$A$5:$A$856,$A79,Service_Consumables!$E$5:$E$856,Z$5,Service_Consumables!$H$5:$H$856,"Auto-deduct")</f>
        <v>0</v>
      </c>
      <c r="AA79" s="15" t="n">
        <f aca="false">SUMIFS(Service_Consumables!$L$5:$L$856,Service_Consumables!$A$5:$A$856,$A79,Service_Consumables!$E$5:$E$856,AA$5,Service_Consumables!$H$5:$H$856,"Auto-deduct")</f>
        <v>0</v>
      </c>
      <c r="AB79" s="15" t="n">
        <f aca="false">SUMIFS(Service_Consumables!$L$5:$L$856,Service_Consumables!$A$5:$A$856,$A79,Service_Consumables!$E$5:$E$856,AB$5,Service_Consumables!$H$5:$H$856,"Auto-deduct")</f>
        <v>0</v>
      </c>
      <c r="AC79" s="15" t="n">
        <f aca="false">SUMIFS(Service_Consumables!$L$5:$L$856,Service_Consumables!$A$5:$A$856,$A79,Service_Consumables!$E$5:$E$856,AC$5,Service_Consumables!$H$5:$H$856,"Auto-deduct")</f>
        <v>6</v>
      </c>
      <c r="AD79" s="15" t="n">
        <f aca="false">SUMIFS(Service_Consumables!$L$5:$L$856,Service_Consumables!$A$5:$A$856,$A79,Service_Consumables!$E$5:$E$856,AD$5,Service_Consumables!$H$5:$H$856,"Auto-deduct")</f>
        <v>15</v>
      </c>
      <c r="AE79" s="15" t="n">
        <f aca="false">SUMIFS(Service_Consumables!$L$5:$L$856,Service_Consumables!$A$5:$A$856,$A79,Service_Consumables!$E$5:$E$856,AE$5,Service_Consumables!$H$5:$H$856,"Auto-deduct")</f>
        <v>0</v>
      </c>
      <c r="AF79" s="15" t="n">
        <f aca="false">SUMIFS(Service_Consumables!$L$5:$L$856,Service_Consumables!$A$5:$A$856,$A79,Service_Consumables!$E$5:$E$856,AF$5,Service_Consumables!$H$5:$H$856,"Auto-deduct")</f>
        <v>0</v>
      </c>
      <c r="AG79" s="15" t="n">
        <f aca="false">SUMIFS(Service_Consumables!$L$5:$L$856,Service_Consumables!$A$5:$A$856,$A79,Service_Consumables!$E$5:$E$856,AG$5,Service_Consumables!$H$5:$H$856,"Auto-deduct")</f>
        <v>0</v>
      </c>
      <c r="AH79" s="15" t="n">
        <f aca="false">SUMIFS(Service_Consumables!$L$5:$L$856,Service_Consumables!$A$5:$A$856,$A79,Service_Consumables!$E$5:$E$856,AH$5,Service_Consumables!$H$5:$H$856,"Auto-deduct")</f>
        <v>0</v>
      </c>
      <c r="AI79" s="15" t="n">
        <f aca="false">SUMIFS(Service_Consumables!$L$5:$L$856,Service_Consumables!$A$5:$A$856,$A79,Service_Consumables!$E$5:$E$856,AI$5,Service_Consumables!$H$5:$H$856,"Auto-deduct")</f>
        <v>0</v>
      </c>
      <c r="AJ79" s="15" t="n">
        <f aca="false">SUMIFS(Service_Consumables!$L$5:$L$856,Service_Consumables!$A$5:$A$856,$A79,Service_Consumables!$E$5:$E$856,AJ$5,Service_Consumables!$H$5:$H$856,"Auto-deduct")</f>
        <v>0</v>
      </c>
      <c r="AK79" s="15" t="n">
        <f aca="false">SUMIFS(Service_Consumables!$L$5:$L$856,Service_Consumables!$A$5:$A$856,$A79,Service_Consumables!$E$5:$E$856,AK$5,Service_Consumables!$H$5:$H$856,"Auto-deduct")</f>
        <v>0</v>
      </c>
      <c r="AL79" s="15" t="n">
        <f aca="false">SUMIFS(Service_Consumables!$L$5:$L$856,Service_Consumables!$A$5:$A$856,$A79,Service_Consumables!$E$5:$E$856,AL$5,Service_Consumables!$H$5:$H$856,"Auto-deduct")</f>
        <v>0</v>
      </c>
      <c r="AM79" s="15" t="n">
        <f aca="false">SUMIFS(Service_Consumables!$L$5:$L$856,Service_Consumables!$A$5:$A$856,$A79,Service_Consumables!$E$5:$E$856,AM$5,Service_Consumables!$H$5:$H$856,"Auto-deduct")</f>
        <v>0</v>
      </c>
      <c r="AN79" s="15" t="n">
        <f aca="false">SUMIFS(Service_Consumables!$L$5:$L$856,Service_Consumables!$A$5:$A$856,$A79,Service_Consumables!$E$5:$E$856,AN$5,Service_Consumables!$H$5:$H$856,"Auto-deduct")</f>
        <v>0</v>
      </c>
      <c r="AO79" s="15" t="n">
        <f aca="false">SUMIFS(Service_Consumables!$L$5:$L$856,Service_Consumables!$A$5:$A$856,$A79,Service_Consumables!$E$5:$E$856,AO$5,Service_Consumables!$H$5:$H$856,"Auto-deduct")</f>
        <v>0</v>
      </c>
      <c r="AP79" s="15" t="n">
        <f aca="false">SUMIFS(Service_Consumables!$L$5:$L$856,Service_Consumables!$A$5:$A$856,$A79,Service_Consumables!$E$5:$E$856,AP$5,Service_Consumables!$H$5:$H$856,"Auto-deduct")</f>
        <v>0</v>
      </c>
      <c r="AQ79" s="15" t="n">
        <f aca="false">SUMIFS(Service_Consumables!$L$5:$L$856,Service_Consumables!$A$5:$A$856,$A79,Service_Consumables!$E$5:$E$856,AQ$5,Service_Consumables!$H$5:$H$856,"Auto-deduct")</f>
        <v>30</v>
      </c>
      <c r="AR79" s="15" t="n">
        <f aca="false">SUMIFS(Service_Consumables!$L$5:$L$856,Service_Consumables!$A$5:$A$856,$A79,Service_Consumables!$E$5:$E$856,AR$5,Service_Consumables!$H$5:$H$856,"Auto-deduct")</f>
        <v>0</v>
      </c>
      <c r="AS79" s="15" t="n">
        <f aca="false">SUMIFS(Service_Consumables!$L$5:$L$856,Service_Consumables!$A$5:$A$856,$A79,Service_Consumables!$E$5:$E$856,AS$5,Service_Consumables!$H$5:$H$856,"Auto-deduct")</f>
        <v>0</v>
      </c>
      <c r="AT79" s="15" t="n">
        <f aca="false">SUMIFS(Service_Consumables!$L$5:$L$856,Service_Consumables!$A$5:$A$856,$A79,Service_Consumables!$E$5:$E$856,AT$5,Service_Consumables!$H$5:$H$856,"Auto-deduct")</f>
        <v>0</v>
      </c>
      <c r="AU79" s="15" t="n">
        <f aca="false">SUMIFS(Service_Consumables!$L$5:$L$856,Service_Consumables!$A$5:$A$856,$A79,Service_Consumables!$E$5:$E$856,AU$5,Service_Consumables!$H$5:$H$856,"Auto-deduct")</f>
        <v>0</v>
      </c>
      <c r="AV79" s="15" t="n">
        <f aca="false">SUMIFS(Service_Consumables!$L$5:$L$856,Service_Consumables!$A$5:$A$856,$A79,Service_Consumables!$E$5:$E$856,AV$5,Service_Consumables!$H$5:$H$856,"Auto-deduct")</f>
        <v>0</v>
      </c>
      <c r="AW79" s="15" t="n">
        <f aca="false">SUMIFS(Service_Consumables!$L$5:$L$856,Service_Consumables!$A$5:$A$856,$A79,Service_Consumables!$E$5:$E$856,AW$5,Service_Consumables!$H$5:$H$856,"Auto-deduct")</f>
        <v>0</v>
      </c>
      <c r="AX79" s="15" t="n">
        <f aca="false">SUMIFS(Service_Consumables!$L$5:$L$856,Service_Consumables!$A$5:$A$856,$A79,Service_Consumables!$E$5:$E$856,AX$5,Service_Consumables!$H$5:$H$856,"Auto-deduct")</f>
        <v>0</v>
      </c>
      <c r="AY79" s="15" t="n">
        <f aca="false">SUMIFS(Service_Consumables!$L$5:$L$856,Service_Consumables!$A$5:$A$856,$A79,Service_Consumables!$E$5:$E$856,AY$5,Service_Consumables!$H$5:$H$856,"Auto-deduct")</f>
        <v>0</v>
      </c>
      <c r="AZ79" s="15" t="n">
        <f aca="false">SUMIFS(Service_Consumables!$L$5:$L$856,Service_Consumables!$A$5:$A$856,$A79,Service_Consumables!$E$5:$E$856,AZ$5,Service_Consumables!$H$5:$H$856,"Auto-deduct")</f>
        <v>0</v>
      </c>
      <c r="BA79" s="15" t="n">
        <f aca="false">SUMIFS(Service_Consumables!$L$5:$L$856,Service_Consumables!$A$5:$A$856,$A79,Service_Consumables!$E$5:$E$856,BA$5,Service_Consumables!$H$5:$H$856,"Auto-deduct")</f>
        <v>0</v>
      </c>
      <c r="BB79" s="15" t="n">
        <f aca="false">SUMIFS(Service_Consumables!$L$5:$L$856,Service_Consumables!$A$5:$A$856,$A79,Service_Consumables!$E$5:$E$856,BB$5,Service_Consumables!$H$5:$H$856,"Auto-deduct")</f>
        <v>0</v>
      </c>
      <c r="BC79" s="15" t="n">
        <f aca="false">SUMIFS(Service_Consumables!$L$5:$L$856,Service_Consumables!$A$5:$A$856,$A79,Service_Consumables!$E$5:$E$856,BC$5,Service_Consumables!$H$5:$H$856,"Auto-deduct")</f>
        <v>0</v>
      </c>
      <c r="BD79" s="15" t="n">
        <f aca="false">SUMIFS(Service_Consumables!$L$5:$L$856,Service_Consumables!$A$5:$A$856,$A79,Service_Consumables!$E$5:$E$856,BD$5,Service_Consumables!$H$5:$H$856,"Auto-deduct")</f>
        <v>0</v>
      </c>
      <c r="BE79" s="15" t="n">
        <f aca="false">SUMIFS(Service_Consumables!$L$5:$L$856,Service_Consumables!$A$5:$A$856,$A79,Service_Consumables!$E$5:$E$856,BE$5,Service_Consumables!$H$5:$H$856,"Auto-deduct")</f>
        <v>0</v>
      </c>
      <c r="BF79" s="15" t="n">
        <f aca="false">SUMIFS(Service_Consumables!$L$5:$L$856,Service_Consumables!$A$5:$A$856,$A79,Service_Consumables!$E$5:$E$856,BF$5,Service_Consumables!$H$5:$H$856,"Auto-deduct")</f>
        <v>0</v>
      </c>
      <c r="BG79" s="15" t="n">
        <f aca="false">SUMIFS(Service_Consumables!$L$5:$L$856,Service_Consumables!$A$5:$A$856,$A79,Service_Consumables!$E$5:$E$856,BG$5,Service_Consumables!$H$5:$H$856,"Auto-deduct")</f>
        <v>0</v>
      </c>
      <c r="BH79" s="15" t="n">
        <f aca="false">SUMIFS(Service_Consumables!$L$5:$L$856,Service_Consumables!$A$5:$A$856,$A79,Service_Consumables!$E$5:$E$856,BH$5,Service_Consumables!$H$5:$H$856,"Auto-deduct")</f>
        <v>0</v>
      </c>
      <c r="BI79" s="15" t="n">
        <f aca="false">SUMIFS(Service_Consumables!$L$5:$L$856,Service_Consumables!$A$5:$A$856,$A79,Service_Consumables!$E$5:$E$856,BI$5,Service_Consumables!$H$5:$H$856,"Auto-deduct")</f>
        <v>0</v>
      </c>
    </row>
    <row r="80" customFormat="false" ht="15" hidden="false" customHeight="false" outlineLevel="0" collapsed="false">
      <c r="A80" s="14" t="n">
        <f aca="false">Services!A79</f>
        <v>75</v>
      </c>
      <c r="B80" s="14" t="str">
        <f aca="false">Services!B79</f>
        <v>Body Tightening / Fat Reduction</v>
      </c>
      <c r="C80" s="14" t="str">
        <f aca="false">Services!C79</f>
        <v>BT w/ BFR Tummy</v>
      </c>
      <c r="D80" s="15" t="n">
        <f aca="false">SUMIFS(Service_Consumables!$L$5:$L$856,Service_Consumables!$A$5:$A$856,$A80,Service_Consumables!$E$5:$E$856,D$5,Service_Consumables!$H$5:$H$856,"Auto-deduct")</f>
        <v>0</v>
      </c>
      <c r="E80" s="15" t="n">
        <f aca="false">SUMIFS(Service_Consumables!$L$5:$L$856,Service_Consumables!$A$5:$A$856,$A80,Service_Consumables!$E$5:$E$856,E$5,Service_Consumables!$H$5:$H$856,"Auto-deduct")</f>
        <v>0</v>
      </c>
      <c r="F80" s="15" t="n">
        <f aca="false">SUMIFS(Service_Consumables!$L$5:$L$856,Service_Consumables!$A$5:$A$856,$A80,Service_Consumables!$E$5:$E$856,F$5,Service_Consumables!$H$5:$H$856,"Auto-deduct")</f>
        <v>0</v>
      </c>
      <c r="G80" s="15" t="n">
        <f aca="false">SUMIFS(Service_Consumables!$L$5:$L$856,Service_Consumables!$A$5:$A$856,$A80,Service_Consumables!$E$5:$E$856,G$5,Service_Consumables!$H$5:$H$856,"Auto-deduct")</f>
        <v>0</v>
      </c>
      <c r="H80" s="15" t="n">
        <f aca="false">SUMIFS(Service_Consumables!$L$5:$L$856,Service_Consumables!$A$5:$A$856,$A80,Service_Consumables!$E$5:$E$856,H$5,Service_Consumables!$H$5:$H$856,"Auto-deduct")</f>
        <v>0</v>
      </c>
      <c r="I80" s="15" t="n">
        <f aca="false">SUMIFS(Service_Consumables!$L$5:$L$856,Service_Consumables!$A$5:$A$856,$A80,Service_Consumables!$E$5:$E$856,I$5,Service_Consumables!$H$5:$H$856,"Auto-deduct")</f>
        <v>0</v>
      </c>
      <c r="J80" s="15" t="n">
        <f aca="false">SUMIFS(Service_Consumables!$L$5:$L$856,Service_Consumables!$A$5:$A$856,$A80,Service_Consumables!$E$5:$E$856,J$5,Service_Consumables!$H$5:$H$856,"Auto-deduct")</f>
        <v>0</v>
      </c>
      <c r="K80" s="15" t="n">
        <f aca="false">SUMIFS(Service_Consumables!$L$5:$L$856,Service_Consumables!$A$5:$A$856,$A80,Service_Consumables!$E$5:$E$856,K$5,Service_Consumables!$H$5:$H$856,"Auto-deduct")</f>
        <v>0</v>
      </c>
      <c r="L80" s="15" t="n">
        <f aca="false">SUMIFS(Service_Consumables!$L$5:$L$856,Service_Consumables!$A$5:$A$856,$A80,Service_Consumables!$E$5:$E$856,L$5,Service_Consumables!$H$5:$H$856,"Auto-deduct")</f>
        <v>0</v>
      </c>
      <c r="M80" s="15" t="n">
        <f aca="false">SUMIFS(Service_Consumables!$L$5:$L$856,Service_Consumables!$A$5:$A$856,$A80,Service_Consumables!$E$5:$E$856,M$5,Service_Consumables!$H$5:$H$856,"Auto-deduct")</f>
        <v>0</v>
      </c>
      <c r="N80" s="15" t="n">
        <f aca="false">SUMIFS(Service_Consumables!$L$5:$L$856,Service_Consumables!$A$5:$A$856,$A80,Service_Consumables!$E$5:$E$856,N$5,Service_Consumables!$H$5:$H$856,"Auto-deduct")</f>
        <v>0</v>
      </c>
      <c r="O80" s="15" t="n">
        <f aca="false">SUMIFS(Service_Consumables!$L$5:$L$856,Service_Consumables!$A$5:$A$856,$A80,Service_Consumables!$E$5:$E$856,O$5,Service_Consumables!$H$5:$H$856,"Auto-deduct")</f>
        <v>0</v>
      </c>
      <c r="P80" s="15" t="n">
        <f aca="false">SUMIFS(Service_Consumables!$L$5:$L$856,Service_Consumables!$A$5:$A$856,$A80,Service_Consumables!$E$5:$E$856,P$5,Service_Consumables!$H$5:$H$856,"Auto-deduct")</f>
        <v>1</v>
      </c>
      <c r="Q80" s="15" t="n">
        <f aca="false">SUMIFS(Service_Consumables!$L$5:$L$856,Service_Consumables!$A$5:$A$856,$A80,Service_Consumables!$E$5:$E$856,Q$5,Service_Consumables!$H$5:$H$856,"Auto-deduct")</f>
        <v>1</v>
      </c>
      <c r="R80" s="15" t="n">
        <f aca="false">SUMIFS(Service_Consumables!$L$5:$L$856,Service_Consumables!$A$5:$A$856,$A80,Service_Consumables!$E$5:$E$856,R$5,Service_Consumables!$H$5:$H$856,"Auto-deduct")</f>
        <v>0</v>
      </c>
      <c r="S80" s="15" t="n">
        <f aca="false">SUMIFS(Service_Consumables!$L$5:$L$856,Service_Consumables!$A$5:$A$856,$A80,Service_Consumables!$E$5:$E$856,S$5,Service_Consumables!$H$5:$H$856,"Auto-deduct")</f>
        <v>4</v>
      </c>
      <c r="T80" s="15" t="n">
        <f aca="false">SUMIFS(Service_Consumables!$L$5:$L$856,Service_Consumables!$A$5:$A$856,$A80,Service_Consumables!$E$5:$E$856,T$5,Service_Consumables!$H$5:$H$856,"Auto-deduct")</f>
        <v>0</v>
      </c>
      <c r="U80" s="15" t="n">
        <f aca="false">SUMIFS(Service_Consumables!$L$5:$L$856,Service_Consumables!$A$5:$A$856,$A80,Service_Consumables!$E$5:$E$856,U$5,Service_Consumables!$H$5:$H$856,"Auto-deduct")</f>
        <v>12</v>
      </c>
      <c r="V80" s="15" t="n">
        <f aca="false">SUMIFS(Service_Consumables!$L$5:$L$856,Service_Consumables!$A$5:$A$856,$A80,Service_Consumables!$E$5:$E$856,V$5,Service_Consumables!$H$5:$H$856,"Auto-deduct")</f>
        <v>0</v>
      </c>
      <c r="W80" s="15" t="n">
        <f aca="false">SUMIFS(Service_Consumables!$L$5:$L$856,Service_Consumables!$A$5:$A$856,$A80,Service_Consumables!$E$5:$E$856,W$5,Service_Consumables!$H$5:$H$856,"Auto-deduct")</f>
        <v>0</v>
      </c>
      <c r="X80" s="15" t="n">
        <f aca="false">SUMIFS(Service_Consumables!$L$5:$L$856,Service_Consumables!$A$5:$A$856,$A80,Service_Consumables!$E$5:$E$856,X$5,Service_Consumables!$H$5:$H$856,"Auto-deduct")</f>
        <v>0</v>
      </c>
      <c r="Y80" s="15" t="n">
        <f aca="false">SUMIFS(Service_Consumables!$L$5:$L$856,Service_Consumables!$A$5:$A$856,$A80,Service_Consumables!$E$5:$E$856,Y$5,Service_Consumables!$H$5:$H$856,"Auto-deduct")</f>
        <v>0</v>
      </c>
      <c r="Z80" s="15" t="n">
        <f aca="false">SUMIFS(Service_Consumables!$L$5:$L$856,Service_Consumables!$A$5:$A$856,$A80,Service_Consumables!$E$5:$E$856,Z$5,Service_Consumables!$H$5:$H$856,"Auto-deduct")</f>
        <v>0</v>
      </c>
      <c r="AA80" s="15" t="n">
        <f aca="false">SUMIFS(Service_Consumables!$L$5:$L$856,Service_Consumables!$A$5:$A$856,$A80,Service_Consumables!$E$5:$E$856,AA$5,Service_Consumables!$H$5:$H$856,"Auto-deduct")</f>
        <v>0</v>
      </c>
      <c r="AB80" s="15" t="n">
        <f aca="false">SUMIFS(Service_Consumables!$L$5:$L$856,Service_Consumables!$A$5:$A$856,$A80,Service_Consumables!$E$5:$E$856,AB$5,Service_Consumables!$H$5:$H$856,"Auto-deduct")</f>
        <v>0</v>
      </c>
      <c r="AC80" s="15" t="n">
        <f aca="false">SUMIFS(Service_Consumables!$L$5:$L$856,Service_Consumables!$A$5:$A$856,$A80,Service_Consumables!$E$5:$E$856,AC$5,Service_Consumables!$H$5:$H$856,"Auto-deduct")</f>
        <v>6</v>
      </c>
      <c r="AD80" s="15" t="n">
        <f aca="false">SUMIFS(Service_Consumables!$L$5:$L$856,Service_Consumables!$A$5:$A$856,$A80,Service_Consumables!$E$5:$E$856,AD$5,Service_Consumables!$H$5:$H$856,"Auto-deduct")</f>
        <v>15</v>
      </c>
      <c r="AE80" s="15" t="n">
        <f aca="false">SUMIFS(Service_Consumables!$L$5:$L$856,Service_Consumables!$A$5:$A$856,$A80,Service_Consumables!$E$5:$E$856,AE$5,Service_Consumables!$H$5:$H$856,"Auto-deduct")</f>
        <v>0</v>
      </c>
      <c r="AF80" s="15" t="n">
        <f aca="false">SUMIFS(Service_Consumables!$L$5:$L$856,Service_Consumables!$A$5:$A$856,$A80,Service_Consumables!$E$5:$E$856,AF$5,Service_Consumables!$H$5:$H$856,"Auto-deduct")</f>
        <v>0</v>
      </c>
      <c r="AG80" s="15" t="n">
        <f aca="false">SUMIFS(Service_Consumables!$L$5:$L$856,Service_Consumables!$A$5:$A$856,$A80,Service_Consumables!$E$5:$E$856,AG$5,Service_Consumables!$H$5:$H$856,"Auto-deduct")</f>
        <v>0</v>
      </c>
      <c r="AH80" s="15" t="n">
        <f aca="false">SUMIFS(Service_Consumables!$L$5:$L$856,Service_Consumables!$A$5:$A$856,$A80,Service_Consumables!$E$5:$E$856,AH$5,Service_Consumables!$H$5:$H$856,"Auto-deduct")</f>
        <v>0</v>
      </c>
      <c r="AI80" s="15" t="n">
        <f aca="false">SUMIFS(Service_Consumables!$L$5:$L$856,Service_Consumables!$A$5:$A$856,$A80,Service_Consumables!$E$5:$E$856,AI$5,Service_Consumables!$H$5:$H$856,"Auto-deduct")</f>
        <v>0</v>
      </c>
      <c r="AJ80" s="15" t="n">
        <f aca="false">SUMIFS(Service_Consumables!$L$5:$L$856,Service_Consumables!$A$5:$A$856,$A80,Service_Consumables!$E$5:$E$856,AJ$5,Service_Consumables!$H$5:$H$856,"Auto-deduct")</f>
        <v>0</v>
      </c>
      <c r="AK80" s="15" t="n">
        <f aca="false">SUMIFS(Service_Consumables!$L$5:$L$856,Service_Consumables!$A$5:$A$856,$A80,Service_Consumables!$E$5:$E$856,AK$5,Service_Consumables!$H$5:$H$856,"Auto-deduct")</f>
        <v>0</v>
      </c>
      <c r="AL80" s="15" t="n">
        <f aca="false">SUMIFS(Service_Consumables!$L$5:$L$856,Service_Consumables!$A$5:$A$856,$A80,Service_Consumables!$E$5:$E$856,AL$5,Service_Consumables!$H$5:$H$856,"Auto-deduct")</f>
        <v>0</v>
      </c>
      <c r="AM80" s="15" t="n">
        <f aca="false">SUMIFS(Service_Consumables!$L$5:$L$856,Service_Consumables!$A$5:$A$856,$A80,Service_Consumables!$E$5:$E$856,AM$5,Service_Consumables!$H$5:$H$856,"Auto-deduct")</f>
        <v>0</v>
      </c>
      <c r="AN80" s="15" t="n">
        <f aca="false">SUMIFS(Service_Consumables!$L$5:$L$856,Service_Consumables!$A$5:$A$856,$A80,Service_Consumables!$E$5:$E$856,AN$5,Service_Consumables!$H$5:$H$856,"Auto-deduct")</f>
        <v>0</v>
      </c>
      <c r="AO80" s="15" t="n">
        <f aca="false">SUMIFS(Service_Consumables!$L$5:$L$856,Service_Consumables!$A$5:$A$856,$A80,Service_Consumables!$E$5:$E$856,AO$5,Service_Consumables!$H$5:$H$856,"Auto-deduct")</f>
        <v>0</v>
      </c>
      <c r="AP80" s="15" t="n">
        <f aca="false">SUMIFS(Service_Consumables!$L$5:$L$856,Service_Consumables!$A$5:$A$856,$A80,Service_Consumables!$E$5:$E$856,AP$5,Service_Consumables!$H$5:$H$856,"Auto-deduct")</f>
        <v>20</v>
      </c>
      <c r="AQ80" s="15" t="n">
        <f aca="false">SUMIFS(Service_Consumables!$L$5:$L$856,Service_Consumables!$A$5:$A$856,$A80,Service_Consumables!$E$5:$E$856,AQ$5,Service_Consumables!$H$5:$H$856,"Auto-deduct")</f>
        <v>30</v>
      </c>
      <c r="AR80" s="15" t="n">
        <f aca="false">SUMIFS(Service_Consumables!$L$5:$L$856,Service_Consumables!$A$5:$A$856,$A80,Service_Consumables!$E$5:$E$856,AR$5,Service_Consumables!$H$5:$H$856,"Auto-deduct")</f>
        <v>0</v>
      </c>
      <c r="AS80" s="15" t="n">
        <f aca="false">SUMIFS(Service_Consumables!$L$5:$L$856,Service_Consumables!$A$5:$A$856,$A80,Service_Consumables!$E$5:$E$856,AS$5,Service_Consumables!$H$5:$H$856,"Auto-deduct")</f>
        <v>0</v>
      </c>
      <c r="AT80" s="15" t="n">
        <f aca="false">SUMIFS(Service_Consumables!$L$5:$L$856,Service_Consumables!$A$5:$A$856,$A80,Service_Consumables!$E$5:$E$856,AT$5,Service_Consumables!$H$5:$H$856,"Auto-deduct")</f>
        <v>0</v>
      </c>
      <c r="AU80" s="15" t="n">
        <f aca="false">SUMIFS(Service_Consumables!$L$5:$L$856,Service_Consumables!$A$5:$A$856,$A80,Service_Consumables!$E$5:$E$856,AU$5,Service_Consumables!$H$5:$H$856,"Auto-deduct")</f>
        <v>0</v>
      </c>
      <c r="AV80" s="15" t="n">
        <f aca="false">SUMIFS(Service_Consumables!$L$5:$L$856,Service_Consumables!$A$5:$A$856,$A80,Service_Consumables!$E$5:$E$856,AV$5,Service_Consumables!$H$5:$H$856,"Auto-deduct")</f>
        <v>0</v>
      </c>
      <c r="AW80" s="15" t="n">
        <f aca="false">SUMIFS(Service_Consumables!$L$5:$L$856,Service_Consumables!$A$5:$A$856,$A80,Service_Consumables!$E$5:$E$856,AW$5,Service_Consumables!$H$5:$H$856,"Auto-deduct")</f>
        <v>0</v>
      </c>
      <c r="AX80" s="15" t="n">
        <f aca="false">SUMIFS(Service_Consumables!$L$5:$L$856,Service_Consumables!$A$5:$A$856,$A80,Service_Consumables!$E$5:$E$856,AX$5,Service_Consumables!$H$5:$H$856,"Auto-deduct")</f>
        <v>0</v>
      </c>
      <c r="AY80" s="15" t="n">
        <f aca="false">SUMIFS(Service_Consumables!$L$5:$L$856,Service_Consumables!$A$5:$A$856,$A80,Service_Consumables!$E$5:$E$856,AY$5,Service_Consumables!$H$5:$H$856,"Auto-deduct")</f>
        <v>0</v>
      </c>
      <c r="AZ80" s="15" t="n">
        <f aca="false">SUMIFS(Service_Consumables!$L$5:$L$856,Service_Consumables!$A$5:$A$856,$A80,Service_Consumables!$E$5:$E$856,AZ$5,Service_Consumables!$H$5:$H$856,"Auto-deduct")</f>
        <v>0</v>
      </c>
      <c r="BA80" s="15" t="n">
        <f aca="false">SUMIFS(Service_Consumables!$L$5:$L$856,Service_Consumables!$A$5:$A$856,$A80,Service_Consumables!$E$5:$E$856,BA$5,Service_Consumables!$H$5:$H$856,"Auto-deduct")</f>
        <v>0</v>
      </c>
      <c r="BB80" s="15" t="n">
        <f aca="false">SUMIFS(Service_Consumables!$L$5:$L$856,Service_Consumables!$A$5:$A$856,$A80,Service_Consumables!$E$5:$E$856,BB$5,Service_Consumables!$H$5:$H$856,"Auto-deduct")</f>
        <v>0</v>
      </c>
      <c r="BC80" s="15" t="n">
        <f aca="false">SUMIFS(Service_Consumables!$L$5:$L$856,Service_Consumables!$A$5:$A$856,$A80,Service_Consumables!$E$5:$E$856,BC$5,Service_Consumables!$H$5:$H$856,"Auto-deduct")</f>
        <v>0</v>
      </c>
      <c r="BD80" s="15" t="n">
        <f aca="false">SUMIFS(Service_Consumables!$L$5:$L$856,Service_Consumables!$A$5:$A$856,$A80,Service_Consumables!$E$5:$E$856,BD$5,Service_Consumables!$H$5:$H$856,"Auto-deduct")</f>
        <v>0</v>
      </c>
      <c r="BE80" s="15" t="n">
        <f aca="false">SUMIFS(Service_Consumables!$L$5:$L$856,Service_Consumables!$A$5:$A$856,$A80,Service_Consumables!$E$5:$E$856,BE$5,Service_Consumables!$H$5:$H$856,"Auto-deduct")</f>
        <v>0</v>
      </c>
      <c r="BF80" s="15" t="n">
        <f aca="false">SUMIFS(Service_Consumables!$L$5:$L$856,Service_Consumables!$A$5:$A$856,$A80,Service_Consumables!$E$5:$E$856,BF$5,Service_Consumables!$H$5:$H$856,"Auto-deduct")</f>
        <v>0</v>
      </c>
      <c r="BG80" s="15" t="n">
        <f aca="false">SUMIFS(Service_Consumables!$L$5:$L$856,Service_Consumables!$A$5:$A$856,$A80,Service_Consumables!$E$5:$E$856,BG$5,Service_Consumables!$H$5:$H$856,"Auto-deduct")</f>
        <v>0</v>
      </c>
      <c r="BH80" s="15" t="n">
        <f aca="false">SUMIFS(Service_Consumables!$L$5:$L$856,Service_Consumables!$A$5:$A$856,$A80,Service_Consumables!$E$5:$E$856,BH$5,Service_Consumables!$H$5:$H$856,"Auto-deduct")</f>
        <v>0</v>
      </c>
      <c r="BI80" s="15" t="n">
        <f aca="false">SUMIFS(Service_Consumables!$L$5:$L$856,Service_Consumables!$A$5:$A$856,$A80,Service_Consumables!$E$5:$E$856,BI$5,Service_Consumables!$H$5:$H$856,"Auto-deduct")</f>
        <v>0</v>
      </c>
    </row>
    <row r="81" customFormat="false" ht="15" hidden="false" customHeight="false" outlineLevel="0" collapsed="false">
      <c r="A81" s="14" t="n">
        <f aca="false">Services!A80</f>
        <v>76</v>
      </c>
      <c r="B81" s="14" t="str">
        <f aca="false">Services!B80</f>
        <v>Body Tightening / Fat Reduction</v>
      </c>
      <c r="C81" s="14" t="str">
        <f aca="false">Services!C80</f>
        <v>Body Tightening Arms</v>
      </c>
      <c r="D81" s="15" t="n">
        <f aca="false">SUMIFS(Service_Consumables!$L$5:$L$856,Service_Consumables!$A$5:$A$856,$A81,Service_Consumables!$E$5:$E$856,D$5,Service_Consumables!$H$5:$H$856,"Auto-deduct")</f>
        <v>0</v>
      </c>
      <c r="E81" s="15" t="n">
        <f aca="false">SUMIFS(Service_Consumables!$L$5:$L$856,Service_Consumables!$A$5:$A$856,$A81,Service_Consumables!$E$5:$E$856,E$5,Service_Consumables!$H$5:$H$856,"Auto-deduct")</f>
        <v>0</v>
      </c>
      <c r="F81" s="15" t="n">
        <f aca="false">SUMIFS(Service_Consumables!$L$5:$L$856,Service_Consumables!$A$5:$A$856,$A81,Service_Consumables!$E$5:$E$856,F$5,Service_Consumables!$H$5:$H$856,"Auto-deduct")</f>
        <v>0</v>
      </c>
      <c r="G81" s="15" t="n">
        <f aca="false">SUMIFS(Service_Consumables!$L$5:$L$856,Service_Consumables!$A$5:$A$856,$A81,Service_Consumables!$E$5:$E$856,G$5,Service_Consumables!$H$5:$H$856,"Auto-deduct")</f>
        <v>0</v>
      </c>
      <c r="H81" s="15" t="n">
        <f aca="false">SUMIFS(Service_Consumables!$L$5:$L$856,Service_Consumables!$A$5:$A$856,$A81,Service_Consumables!$E$5:$E$856,H$5,Service_Consumables!$H$5:$H$856,"Auto-deduct")</f>
        <v>0</v>
      </c>
      <c r="I81" s="15" t="n">
        <f aca="false">SUMIFS(Service_Consumables!$L$5:$L$856,Service_Consumables!$A$5:$A$856,$A81,Service_Consumables!$E$5:$E$856,I$5,Service_Consumables!$H$5:$H$856,"Auto-deduct")</f>
        <v>0</v>
      </c>
      <c r="J81" s="15" t="n">
        <f aca="false">SUMIFS(Service_Consumables!$L$5:$L$856,Service_Consumables!$A$5:$A$856,$A81,Service_Consumables!$E$5:$E$856,J$5,Service_Consumables!$H$5:$H$856,"Auto-deduct")</f>
        <v>0</v>
      </c>
      <c r="K81" s="15" t="n">
        <f aca="false">SUMIFS(Service_Consumables!$L$5:$L$856,Service_Consumables!$A$5:$A$856,$A81,Service_Consumables!$E$5:$E$856,K$5,Service_Consumables!$H$5:$H$856,"Auto-deduct")</f>
        <v>0</v>
      </c>
      <c r="L81" s="15" t="n">
        <f aca="false">SUMIFS(Service_Consumables!$L$5:$L$856,Service_Consumables!$A$5:$A$856,$A81,Service_Consumables!$E$5:$E$856,L$5,Service_Consumables!$H$5:$H$856,"Auto-deduct")</f>
        <v>0</v>
      </c>
      <c r="M81" s="15" t="n">
        <f aca="false">SUMIFS(Service_Consumables!$L$5:$L$856,Service_Consumables!$A$5:$A$856,$A81,Service_Consumables!$E$5:$E$856,M$5,Service_Consumables!$H$5:$H$856,"Auto-deduct")</f>
        <v>0</v>
      </c>
      <c r="N81" s="15" t="n">
        <f aca="false">SUMIFS(Service_Consumables!$L$5:$L$856,Service_Consumables!$A$5:$A$856,$A81,Service_Consumables!$E$5:$E$856,N$5,Service_Consumables!$H$5:$H$856,"Auto-deduct")</f>
        <v>0</v>
      </c>
      <c r="O81" s="15" t="n">
        <f aca="false">SUMIFS(Service_Consumables!$L$5:$L$856,Service_Consumables!$A$5:$A$856,$A81,Service_Consumables!$E$5:$E$856,O$5,Service_Consumables!$H$5:$H$856,"Auto-deduct")</f>
        <v>0</v>
      </c>
      <c r="P81" s="15" t="n">
        <f aca="false">SUMIFS(Service_Consumables!$L$5:$L$856,Service_Consumables!$A$5:$A$856,$A81,Service_Consumables!$E$5:$E$856,P$5,Service_Consumables!$H$5:$H$856,"Auto-deduct")</f>
        <v>1</v>
      </c>
      <c r="Q81" s="15" t="n">
        <f aca="false">SUMIFS(Service_Consumables!$L$5:$L$856,Service_Consumables!$A$5:$A$856,$A81,Service_Consumables!$E$5:$E$856,Q$5,Service_Consumables!$H$5:$H$856,"Auto-deduct")</f>
        <v>1</v>
      </c>
      <c r="R81" s="15" t="n">
        <f aca="false">SUMIFS(Service_Consumables!$L$5:$L$856,Service_Consumables!$A$5:$A$856,$A81,Service_Consumables!$E$5:$E$856,R$5,Service_Consumables!$H$5:$H$856,"Auto-deduct")</f>
        <v>0</v>
      </c>
      <c r="S81" s="15" t="n">
        <f aca="false">SUMIFS(Service_Consumables!$L$5:$L$856,Service_Consumables!$A$5:$A$856,$A81,Service_Consumables!$E$5:$E$856,S$5,Service_Consumables!$H$5:$H$856,"Auto-deduct")</f>
        <v>4</v>
      </c>
      <c r="T81" s="15" t="n">
        <f aca="false">SUMIFS(Service_Consumables!$L$5:$L$856,Service_Consumables!$A$5:$A$856,$A81,Service_Consumables!$E$5:$E$856,T$5,Service_Consumables!$H$5:$H$856,"Auto-deduct")</f>
        <v>0</v>
      </c>
      <c r="U81" s="15" t="n">
        <f aca="false">SUMIFS(Service_Consumables!$L$5:$L$856,Service_Consumables!$A$5:$A$856,$A81,Service_Consumables!$E$5:$E$856,U$5,Service_Consumables!$H$5:$H$856,"Auto-deduct")</f>
        <v>6.5</v>
      </c>
      <c r="V81" s="15" t="n">
        <f aca="false">SUMIFS(Service_Consumables!$L$5:$L$856,Service_Consumables!$A$5:$A$856,$A81,Service_Consumables!$E$5:$E$856,V$5,Service_Consumables!$H$5:$H$856,"Auto-deduct")</f>
        <v>0</v>
      </c>
      <c r="W81" s="15" t="n">
        <f aca="false">SUMIFS(Service_Consumables!$L$5:$L$856,Service_Consumables!$A$5:$A$856,$A81,Service_Consumables!$E$5:$E$856,W$5,Service_Consumables!$H$5:$H$856,"Auto-deduct")</f>
        <v>0</v>
      </c>
      <c r="X81" s="15" t="n">
        <f aca="false">SUMIFS(Service_Consumables!$L$5:$L$856,Service_Consumables!$A$5:$A$856,$A81,Service_Consumables!$E$5:$E$856,X$5,Service_Consumables!$H$5:$H$856,"Auto-deduct")</f>
        <v>0</v>
      </c>
      <c r="Y81" s="15" t="n">
        <f aca="false">SUMIFS(Service_Consumables!$L$5:$L$856,Service_Consumables!$A$5:$A$856,$A81,Service_Consumables!$E$5:$E$856,Y$5,Service_Consumables!$H$5:$H$856,"Auto-deduct")</f>
        <v>0</v>
      </c>
      <c r="Z81" s="15" t="n">
        <f aca="false">SUMIFS(Service_Consumables!$L$5:$L$856,Service_Consumables!$A$5:$A$856,$A81,Service_Consumables!$E$5:$E$856,Z$5,Service_Consumables!$H$5:$H$856,"Auto-deduct")</f>
        <v>0</v>
      </c>
      <c r="AA81" s="15" t="n">
        <f aca="false">SUMIFS(Service_Consumables!$L$5:$L$856,Service_Consumables!$A$5:$A$856,$A81,Service_Consumables!$E$5:$E$856,AA$5,Service_Consumables!$H$5:$H$856,"Auto-deduct")</f>
        <v>0</v>
      </c>
      <c r="AB81" s="15" t="n">
        <f aca="false">SUMIFS(Service_Consumables!$L$5:$L$856,Service_Consumables!$A$5:$A$856,$A81,Service_Consumables!$E$5:$E$856,AB$5,Service_Consumables!$H$5:$H$856,"Auto-deduct")</f>
        <v>0</v>
      </c>
      <c r="AC81" s="15" t="n">
        <f aca="false">SUMIFS(Service_Consumables!$L$5:$L$856,Service_Consumables!$A$5:$A$856,$A81,Service_Consumables!$E$5:$E$856,AC$5,Service_Consumables!$H$5:$H$856,"Auto-deduct")</f>
        <v>5</v>
      </c>
      <c r="AD81" s="15" t="n">
        <f aca="false">SUMIFS(Service_Consumables!$L$5:$L$856,Service_Consumables!$A$5:$A$856,$A81,Service_Consumables!$E$5:$E$856,AD$5,Service_Consumables!$H$5:$H$856,"Auto-deduct")</f>
        <v>11.5</v>
      </c>
      <c r="AE81" s="15" t="n">
        <f aca="false">SUMIFS(Service_Consumables!$L$5:$L$856,Service_Consumables!$A$5:$A$856,$A81,Service_Consumables!$E$5:$E$856,AE$5,Service_Consumables!$H$5:$H$856,"Auto-deduct")</f>
        <v>0</v>
      </c>
      <c r="AF81" s="15" t="n">
        <f aca="false">SUMIFS(Service_Consumables!$L$5:$L$856,Service_Consumables!$A$5:$A$856,$A81,Service_Consumables!$E$5:$E$856,AF$5,Service_Consumables!$H$5:$H$856,"Auto-deduct")</f>
        <v>0</v>
      </c>
      <c r="AG81" s="15" t="n">
        <f aca="false">SUMIFS(Service_Consumables!$L$5:$L$856,Service_Consumables!$A$5:$A$856,$A81,Service_Consumables!$E$5:$E$856,AG$5,Service_Consumables!$H$5:$H$856,"Auto-deduct")</f>
        <v>0</v>
      </c>
      <c r="AH81" s="15" t="n">
        <f aca="false">SUMIFS(Service_Consumables!$L$5:$L$856,Service_Consumables!$A$5:$A$856,$A81,Service_Consumables!$E$5:$E$856,AH$5,Service_Consumables!$H$5:$H$856,"Auto-deduct")</f>
        <v>0</v>
      </c>
      <c r="AI81" s="15" t="n">
        <f aca="false">SUMIFS(Service_Consumables!$L$5:$L$856,Service_Consumables!$A$5:$A$856,$A81,Service_Consumables!$E$5:$E$856,AI$5,Service_Consumables!$H$5:$H$856,"Auto-deduct")</f>
        <v>0</v>
      </c>
      <c r="AJ81" s="15" t="n">
        <f aca="false">SUMIFS(Service_Consumables!$L$5:$L$856,Service_Consumables!$A$5:$A$856,$A81,Service_Consumables!$E$5:$E$856,AJ$5,Service_Consumables!$H$5:$H$856,"Auto-deduct")</f>
        <v>0</v>
      </c>
      <c r="AK81" s="15" t="n">
        <f aca="false">SUMIFS(Service_Consumables!$L$5:$L$856,Service_Consumables!$A$5:$A$856,$A81,Service_Consumables!$E$5:$E$856,AK$5,Service_Consumables!$H$5:$H$856,"Auto-deduct")</f>
        <v>0</v>
      </c>
      <c r="AL81" s="15" t="n">
        <f aca="false">SUMIFS(Service_Consumables!$L$5:$L$856,Service_Consumables!$A$5:$A$856,$A81,Service_Consumables!$E$5:$E$856,AL$5,Service_Consumables!$H$5:$H$856,"Auto-deduct")</f>
        <v>0</v>
      </c>
      <c r="AM81" s="15" t="n">
        <f aca="false">SUMIFS(Service_Consumables!$L$5:$L$856,Service_Consumables!$A$5:$A$856,$A81,Service_Consumables!$E$5:$E$856,AM$5,Service_Consumables!$H$5:$H$856,"Auto-deduct")</f>
        <v>0</v>
      </c>
      <c r="AN81" s="15" t="n">
        <f aca="false">SUMIFS(Service_Consumables!$L$5:$L$856,Service_Consumables!$A$5:$A$856,$A81,Service_Consumables!$E$5:$E$856,AN$5,Service_Consumables!$H$5:$H$856,"Auto-deduct")</f>
        <v>0</v>
      </c>
      <c r="AO81" s="15" t="n">
        <f aca="false">SUMIFS(Service_Consumables!$L$5:$L$856,Service_Consumables!$A$5:$A$856,$A81,Service_Consumables!$E$5:$E$856,AO$5,Service_Consumables!$H$5:$H$856,"Auto-deduct")</f>
        <v>0</v>
      </c>
      <c r="AP81" s="15" t="n">
        <f aca="false">SUMIFS(Service_Consumables!$L$5:$L$856,Service_Consumables!$A$5:$A$856,$A81,Service_Consumables!$E$5:$E$856,AP$5,Service_Consumables!$H$5:$H$856,"Auto-deduct")</f>
        <v>13</v>
      </c>
      <c r="AQ81" s="15" t="n">
        <f aca="false">SUMIFS(Service_Consumables!$L$5:$L$856,Service_Consumables!$A$5:$A$856,$A81,Service_Consumables!$E$5:$E$856,AQ$5,Service_Consumables!$H$5:$H$856,"Auto-deduct")</f>
        <v>0</v>
      </c>
      <c r="AR81" s="15" t="n">
        <f aca="false">SUMIFS(Service_Consumables!$L$5:$L$856,Service_Consumables!$A$5:$A$856,$A81,Service_Consumables!$E$5:$E$856,AR$5,Service_Consumables!$H$5:$H$856,"Auto-deduct")</f>
        <v>0</v>
      </c>
      <c r="AS81" s="15" t="n">
        <f aca="false">SUMIFS(Service_Consumables!$L$5:$L$856,Service_Consumables!$A$5:$A$856,$A81,Service_Consumables!$E$5:$E$856,AS$5,Service_Consumables!$H$5:$H$856,"Auto-deduct")</f>
        <v>0</v>
      </c>
      <c r="AT81" s="15" t="n">
        <f aca="false">SUMIFS(Service_Consumables!$L$5:$L$856,Service_Consumables!$A$5:$A$856,$A81,Service_Consumables!$E$5:$E$856,AT$5,Service_Consumables!$H$5:$H$856,"Auto-deduct")</f>
        <v>0</v>
      </c>
      <c r="AU81" s="15" t="n">
        <f aca="false">SUMIFS(Service_Consumables!$L$5:$L$856,Service_Consumables!$A$5:$A$856,$A81,Service_Consumables!$E$5:$E$856,AU$5,Service_Consumables!$H$5:$H$856,"Auto-deduct")</f>
        <v>0</v>
      </c>
      <c r="AV81" s="15" t="n">
        <f aca="false">SUMIFS(Service_Consumables!$L$5:$L$856,Service_Consumables!$A$5:$A$856,$A81,Service_Consumables!$E$5:$E$856,AV$5,Service_Consumables!$H$5:$H$856,"Auto-deduct")</f>
        <v>0</v>
      </c>
      <c r="AW81" s="15" t="n">
        <f aca="false">SUMIFS(Service_Consumables!$L$5:$L$856,Service_Consumables!$A$5:$A$856,$A81,Service_Consumables!$E$5:$E$856,AW$5,Service_Consumables!$H$5:$H$856,"Auto-deduct")</f>
        <v>0</v>
      </c>
      <c r="AX81" s="15" t="n">
        <f aca="false">SUMIFS(Service_Consumables!$L$5:$L$856,Service_Consumables!$A$5:$A$856,$A81,Service_Consumables!$E$5:$E$856,AX$5,Service_Consumables!$H$5:$H$856,"Auto-deduct")</f>
        <v>0</v>
      </c>
      <c r="AY81" s="15" t="n">
        <f aca="false">SUMIFS(Service_Consumables!$L$5:$L$856,Service_Consumables!$A$5:$A$856,$A81,Service_Consumables!$E$5:$E$856,AY$5,Service_Consumables!$H$5:$H$856,"Auto-deduct")</f>
        <v>0</v>
      </c>
      <c r="AZ81" s="15" t="n">
        <f aca="false">SUMIFS(Service_Consumables!$L$5:$L$856,Service_Consumables!$A$5:$A$856,$A81,Service_Consumables!$E$5:$E$856,AZ$5,Service_Consumables!$H$5:$H$856,"Auto-deduct")</f>
        <v>0</v>
      </c>
      <c r="BA81" s="15" t="n">
        <f aca="false">SUMIFS(Service_Consumables!$L$5:$L$856,Service_Consumables!$A$5:$A$856,$A81,Service_Consumables!$E$5:$E$856,BA$5,Service_Consumables!$H$5:$H$856,"Auto-deduct")</f>
        <v>0</v>
      </c>
      <c r="BB81" s="15" t="n">
        <f aca="false">SUMIFS(Service_Consumables!$L$5:$L$856,Service_Consumables!$A$5:$A$856,$A81,Service_Consumables!$E$5:$E$856,BB$5,Service_Consumables!$H$5:$H$856,"Auto-deduct")</f>
        <v>0</v>
      </c>
      <c r="BC81" s="15" t="n">
        <f aca="false">SUMIFS(Service_Consumables!$L$5:$L$856,Service_Consumables!$A$5:$A$856,$A81,Service_Consumables!$E$5:$E$856,BC$5,Service_Consumables!$H$5:$H$856,"Auto-deduct")</f>
        <v>0</v>
      </c>
      <c r="BD81" s="15" t="n">
        <f aca="false">SUMIFS(Service_Consumables!$L$5:$L$856,Service_Consumables!$A$5:$A$856,$A81,Service_Consumables!$E$5:$E$856,BD$5,Service_Consumables!$H$5:$H$856,"Auto-deduct")</f>
        <v>0</v>
      </c>
      <c r="BE81" s="15" t="n">
        <f aca="false">SUMIFS(Service_Consumables!$L$5:$L$856,Service_Consumables!$A$5:$A$856,$A81,Service_Consumables!$E$5:$E$856,BE$5,Service_Consumables!$H$5:$H$856,"Auto-deduct")</f>
        <v>0</v>
      </c>
      <c r="BF81" s="15" t="n">
        <f aca="false">SUMIFS(Service_Consumables!$L$5:$L$856,Service_Consumables!$A$5:$A$856,$A81,Service_Consumables!$E$5:$E$856,BF$5,Service_Consumables!$H$5:$H$856,"Auto-deduct")</f>
        <v>0</v>
      </c>
      <c r="BG81" s="15" t="n">
        <f aca="false">SUMIFS(Service_Consumables!$L$5:$L$856,Service_Consumables!$A$5:$A$856,$A81,Service_Consumables!$E$5:$E$856,BG$5,Service_Consumables!$H$5:$H$856,"Auto-deduct")</f>
        <v>0</v>
      </c>
      <c r="BH81" s="15" t="n">
        <f aca="false">SUMIFS(Service_Consumables!$L$5:$L$856,Service_Consumables!$A$5:$A$856,$A81,Service_Consumables!$E$5:$E$856,BH$5,Service_Consumables!$H$5:$H$856,"Auto-deduct")</f>
        <v>0</v>
      </c>
      <c r="BI81" s="15" t="n">
        <f aca="false">SUMIFS(Service_Consumables!$L$5:$L$856,Service_Consumables!$A$5:$A$856,$A81,Service_Consumables!$E$5:$E$856,BI$5,Service_Consumables!$H$5:$H$856,"Auto-deduct")</f>
        <v>0</v>
      </c>
    </row>
    <row r="82" customFormat="false" ht="15" hidden="false" customHeight="false" outlineLevel="0" collapsed="false">
      <c r="A82" s="14" t="n">
        <f aca="false">Services!A81</f>
        <v>77</v>
      </c>
      <c r="B82" s="14" t="str">
        <f aca="false">Services!B81</f>
        <v>Body Tightening / Fat Reduction</v>
      </c>
      <c r="C82" s="14" t="str">
        <f aca="false">Services!C81</f>
        <v>Body Fat Reduction Arms</v>
      </c>
      <c r="D82" s="15" t="n">
        <f aca="false">SUMIFS(Service_Consumables!$L$5:$L$856,Service_Consumables!$A$5:$A$856,$A82,Service_Consumables!$E$5:$E$856,D$5,Service_Consumables!$H$5:$H$856,"Auto-deduct")</f>
        <v>0</v>
      </c>
      <c r="E82" s="15" t="n">
        <f aca="false">SUMIFS(Service_Consumables!$L$5:$L$856,Service_Consumables!$A$5:$A$856,$A82,Service_Consumables!$E$5:$E$856,E$5,Service_Consumables!$H$5:$H$856,"Auto-deduct")</f>
        <v>0</v>
      </c>
      <c r="F82" s="15" t="n">
        <f aca="false">SUMIFS(Service_Consumables!$L$5:$L$856,Service_Consumables!$A$5:$A$856,$A82,Service_Consumables!$E$5:$E$856,F$5,Service_Consumables!$H$5:$H$856,"Auto-deduct")</f>
        <v>0</v>
      </c>
      <c r="G82" s="15" t="n">
        <f aca="false">SUMIFS(Service_Consumables!$L$5:$L$856,Service_Consumables!$A$5:$A$856,$A82,Service_Consumables!$E$5:$E$856,G$5,Service_Consumables!$H$5:$H$856,"Auto-deduct")</f>
        <v>0</v>
      </c>
      <c r="H82" s="15" t="n">
        <f aca="false">SUMIFS(Service_Consumables!$L$5:$L$856,Service_Consumables!$A$5:$A$856,$A82,Service_Consumables!$E$5:$E$856,H$5,Service_Consumables!$H$5:$H$856,"Auto-deduct")</f>
        <v>0</v>
      </c>
      <c r="I82" s="15" t="n">
        <f aca="false">SUMIFS(Service_Consumables!$L$5:$L$856,Service_Consumables!$A$5:$A$856,$A82,Service_Consumables!$E$5:$E$856,I$5,Service_Consumables!$H$5:$H$856,"Auto-deduct")</f>
        <v>0</v>
      </c>
      <c r="J82" s="15" t="n">
        <f aca="false">SUMIFS(Service_Consumables!$L$5:$L$856,Service_Consumables!$A$5:$A$856,$A82,Service_Consumables!$E$5:$E$856,J$5,Service_Consumables!$H$5:$H$856,"Auto-deduct")</f>
        <v>0</v>
      </c>
      <c r="K82" s="15" t="n">
        <f aca="false">SUMIFS(Service_Consumables!$L$5:$L$856,Service_Consumables!$A$5:$A$856,$A82,Service_Consumables!$E$5:$E$856,K$5,Service_Consumables!$H$5:$H$856,"Auto-deduct")</f>
        <v>0</v>
      </c>
      <c r="L82" s="15" t="n">
        <f aca="false">SUMIFS(Service_Consumables!$L$5:$L$856,Service_Consumables!$A$5:$A$856,$A82,Service_Consumables!$E$5:$E$856,L$5,Service_Consumables!$H$5:$H$856,"Auto-deduct")</f>
        <v>0</v>
      </c>
      <c r="M82" s="15" t="n">
        <f aca="false">SUMIFS(Service_Consumables!$L$5:$L$856,Service_Consumables!$A$5:$A$856,$A82,Service_Consumables!$E$5:$E$856,M$5,Service_Consumables!$H$5:$H$856,"Auto-deduct")</f>
        <v>0</v>
      </c>
      <c r="N82" s="15" t="n">
        <f aca="false">SUMIFS(Service_Consumables!$L$5:$L$856,Service_Consumables!$A$5:$A$856,$A82,Service_Consumables!$E$5:$E$856,N$5,Service_Consumables!$H$5:$H$856,"Auto-deduct")</f>
        <v>0</v>
      </c>
      <c r="O82" s="15" t="n">
        <f aca="false">SUMIFS(Service_Consumables!$L$5:$L$856,Service_Consumables!$A$5:$A$856,$A82,Service_Consumables!$E$5:$E$856,O$5,Service_Consumables!$H$5:$H$856,"Auto-deduct")</f>
        <v>0</v>
      </c>
      <c r="P82" s="15" t="n">
        <f aca="false">SUMIFS(Service_Consumables!$L$5:$L$856,Service_Consumables!$A$5:$A$856,$A82,Service_Consumables!$E$5:$E$856,P$5,Service_Consumables!$H$5:$H$856,"Auto-deduct")</f>
        <v>1</v>
      </c>
      <c r="Q82" s="15" t="n">
        <f aca="false">SUMIFS(Service_Consumables!$L$5:$L$856,Service_Consumables!$A$5:$A$856,$A82,Service_Consumables!$E$5:$E$856,Q$5,Service_Consumables!$H$5:$H$856,"Auto-deduct")</f>
        <v>1</v>
      </c>
      <c r="R82" s="15" t="n">
        <f aca="false">SUMIFS(Service_Consumables!$L$5:$L$856,Service_Consumables!$A$5:$A$856,$A82,Service_Consumables!$E$5:$E$856,R$5,Service_Consumables!$H$5:$H$856,"Auto-deduct")</f>
        <v>0</v>
      </c>
      <c r="S82" s="15" t="n">
        <f aca="false">SUMIFS(Service_Consumables!$L$5:$L$856,Service_Consumables!$A$5:$A$856,$A82,Service_Consumables!$E$5:$E$856,S$5,Service_Consumables!$H$5:$H$856,"Auto-deduct")</f>
        <v>4</v>
      </c>
      <c r="T82" s="15" t="n">
        <f aca="false">SUMIFS(Service_Consumables!$L$5:$L$856,Service_Consumables!$A$5:$A$856,$A82,Service_Consumables!$E$5:$E$856,T$5,Service_Consumables!$H$5:$H$856,"Auto-deduct")</f>
        <v>0</v>
      </c>
      <c r="U82" s="15" t="n">
        <f aca="false">SUMIFS(Service_Consumables!$L$5:$L$856,Service_Consumables!$A$5:$A$856,$A82,Service_Consumables!$E$5:$E$856,U$5,Service_Consumables!$H$5:$H$856,"Auto-deduct")</f>
        <v>6.5</v>
      </c>
      <c r="V82" s="15" t="n">
        <f aca="false">SUMIFS(Service_Consumables!$L$5:$L$856,Service_Consumables!$A$5:$A$856,$A82,Service_Consumables!$E$5:$E$856,V$5,Service_Consumables!$H$5:$H$856,"Auto-deduct")</f>
        <v>0</v>
      </c>
      <c r="W82" s="15" t="n">
        <f aca="false">SUMIFS(Service_Consumables!$L$5:$L$856,Service_Consumables!$A$5:$A$856,$A82,Service_Consumables!$E$5:$E$856,W$5,Service_Consumables!$H$5:$H$856,"Auto-deduct")</f>
        <v>0</v>
      </c>
      <c r="X82" s="15" t="n">
        <f aca="false">SUMIFS(Service_Consumables!$L$5:$L$856,Service_Consumables!$A$5:$A$856,$A82,Service_Consumables!$E$5:$E$856,X$5,Service_Consumables!$H$5:$H$856,"Auto-deduct")</f>
        <v>0</v>
      </c>
      <c r="Y82" s="15" t="n">
        <f aca="false">SUMIFS(Service_Consumables!$L$5:$L$856,Service_Consumables!$A$5:$A$856,$A82,Service_Consumables!$E$5:$E$856,Y$5,Service_Consumables!$H$5:$H$856,"Auto-deduct")</f>
        <v>0</v>
      </c>
      <c r="Z82" s="15" t="n">
        <f aca="false">SUMIFS(Service_Consumables!$L$5:$L$856,Service_Consumables!$A$5:$A$856,$A82,Service_Consumables!$E$5:$E$856,Z$5,Service_Consumables!$H$5:$H$856,"Auto-deduct")</f>
        <v>0</v>
      </c>
      <c r="AA82" s="15" t="n">
        <f aca="false">SUMIFS(Service_Consumables!$L$5:$L$856,Service_Consumables!$A$5:$A$856,$A82,Service_Consumables!$E$5:$E$856,AA$5,Service_Consumables!$H$5:$H$856,"Auto-deduct")</f>
        <v>0</v>
      </c>
      <c r="AB82" s="15" t="n">
        <f aca="false">SUMIFS(Service_Consumables!$L$5:$L$856,Service_Consumables!$A$5:$A$856,$A82,Service_Consumables!$E$5:$E$856,AB$5,Service_Consumables!$H$5:$H$856,"Auto-deduct")</f>
        <v>0</v>
      </c>
      <c r="AC82" s="15" t="n">
        <f aca="false">SUMIFS(Service_Consumables!$L$5:$L$856,Service_Consumables!$A$5:$A$856,$A82,Service_Consumables!$E$5:$E$856,AC$5,Service_Consumables!$H$5:$H$856,"Auto-deduct")</f>
        <v>5</v>
      </c>
      <c r="AD82" s="15" t="n">
        <f aca="false">SUMIFS(Service_Consumables!$L$5:$L$856,Service_Consumables!$A$5:$A$856,$A82,Service_Consumables!$E$5:$E$856,AD$5,Service_Consumables!$H$5:$H$856,"Auto-deduct")</f>
        <v>11.5</v>
      </c>
      <c r="AE82" s="15" t="n">
        <f aca="false">SUMIFS(Service_Consumables!$L$5:$L$856,Service_Consumables!$A$5:$A$856,$A82,Service_Consumables!$E$5:$E$856,AE$5,Service_Consumables!$H$5:$H$856,"Auto-deduct")</f>
        <v>0</v>
      </c>
      <c r="AF82" s="15" t="n">
        <f aca="false">SUMIFS(Service_Consumables!$L$5:$L$856,Service_Consumables!$A$5:$A$856,$A82,Service_Consumables!$E$5:$E$856,AF$5,Service_Consumables!$H$5:$H$856,"Auto-deduct")</f>
        <v>0</v>
      </c>
      <c r="AG82" s="15" t="n">
        <f aca="false">SUMIFS(Service_Consumables!$L$5:$L$856,Service_Consumables!$A$5:$A$856,$A82,Service_Consumables!$E$5:$E$856,AG$5,Service_Consumables!$H$5:$H$856,"Auto-deduct")</f>
        <v>0</v>
      </c>
      <c r="AH82" s="15" t="n">
        <f aca="false">SUMIFS(Service_Consumables!$L$5:$L$856,Service_Consumables!$A$5:$A$856,$A82,Service_Consumables!$E$5:$E$856,AH$5,Service_Consumables!$H$5:$H$856,"Auto-deduct")</f>
        <v>0</v>
      </c>
      <c r="AI82" s="15" t="n">
        <f aca="false">SUMIFS(Service_Consumables!$L$5:$L$856,Service_Consumables!$A$5:$A$856,$A82,Service_Consumables!$E$5:$E$856,AI$5,Service_Consumables!$H$5:$H$856,"Auto-deduct")</f>
        <v>0</v>
      </c>
      <c r="AJ82" s="15" t="n">
        <f aca="false">SUMIFS(Service_Consumables!$L$5:$L$856,Service_Consumables!$A$5:$A$856,$A82,Service_Consumables!$E$5:$E$856,AJ$5,Service_Consumables!$H$5:$H$856,"Auto-deduct")</f>
        <v>0</v>
      </c>
      <c r="AK82" s="15" t="n">
        <f aca="false">SUMIFS(Service_Consumables!$L$5:$L$856,Service_Consumables!$A$5:$A$856,$A82,Service_Consumables!$E$5:$E$856,AK$5,Service_Consumables!$H$5:$H$856,"Auto-deduct")</f>
        <v>0</v>
      </c>
      <c r="AL82" s="15" t="n">
        <f aca="false">SUMIFS(Service_Consumables!$L$5:$L$856,Service_Consumables!$A$5:$A$856,$A82,Service_Consumables!$E$5:$E$856,AL$5,Service_Consumables!$H$5:$H$856,"Auto-deduct")</f>
        <v>0</v>
      </c>
      <c r="AM82" s="15" t="n">
        <f aca="false">SUMIFS(Service_Consumables!$L$5:$L$856,Service_Consumables!$A$5:$A$856,$A82,Service_Consumables!$E$5:$E$856,AM$5,Service_Consumables!$H$5:$H$856,"Auto-deduct")</f>
        <v>0</v>
      </c>
      <c r="AN82" s="15" t="n">
        <f aca="false">SUMIFS(Service_Consumables!$L$5:$L$856,Service_Consumables!$A$5:$A$856,$A82,Service_Consumables!$E$5:$E$856,AN$5,Service_Consumables!$H$5:$H$856,"Auto-deduct")</f>
        <v>0</v>
      </c>
      <c r="AO82" s="15" t="n">
        <f aca="false">SUMIFS(Service_Consumables!$L$5:$L$856,Service_Consumables!$A$5:$A$856,$A82,Service_Consumables!$E$5:$E$856,AO$5,Service_Consumables!$H$5:$H$856,"Auto-deduct")</f>
        <v>0</v>
      </c>
      <c r="AP82" s="15" t="n">
        <f aca="false">SUMIFS(Service_Consumables!$L$5:$L$856,Service_Consumables!$A$5:$A$856,$A82,Service_Consumables!$E$5:$E$856,AP$5,Service_Consumables!$H$5:$H$856,"Auto-deduct")</f>
        <v>0</v>
      </c>
      <c r="AQ82" s="15" t="n">
        <f aca="false">SUMIFS(Service_Consumables!$L$5:$L$856,Service_Consumables!$A$5:$A$856,$A82,Service_Consumables!$E$5:$E$856,AQ$5,Service_Consumables!$H$5:$H$856,"Auto-deduct")</f>
        <v>19.5</v>
      </c>
      <c r="AR82" s="15" t="n">
        <f aca="false">SUMIFS(Service_Consumables!$L$5:$L$856,Service_Consumables!$A$5:$A$856,$A82,Service_Consumables!$E$5:$E$856,AR$5,Service_Consumables!$H$5:$H$856,"Auto-deduct")</f>
        <v>0</v>
      </c>
      <c r="AS82" s="15" t="n">
        <f aca="false">SUMIFS(Service_Consumables!$L$5:$L$856,Service_Consumables!$A$5:$A$856,$A82,Service_Consumables!$E$5:$E$856,AS$5,Service_Consumables!$H$5:$H$856,"Auto-deduct")</f>
        <v>0</v>
      </c>
      <c r="AT82" s="15" t="n">
        <f aca="false">SUMIFS(Service_Consumables!$L$5:$L$856,Service_Consumables!$A$5:$A$856,$A82,Service_Consumables!$E$5:$E$856,AT$5,Service_Consumables!$H$5:$H$856,"Auto-deduct")</f>
        <v>0</v>
      </c>
      <c r="AU82" s="15" t="n">
        <f aca="false">SUMIFS(Service_Consumables!$L$5:$L$856,Service_Consumables!$A$5:$A$856,$A82,Service_Consumables!$E$5:$E$856,AU$5,Service_Consumables!$H$5:$H$856,"Auto-deduct")</f>
        <v>0</v>
      </c>
      <c r="AV82" s="15" t="n">
        <f aca="false">SUMIFS(Service_Consumables!$L$5:$L$856,Service_Consumables!$A$5:$A$856,$A82,Service_Consumables!$E$5:$E$856,AV$5,Service_Consumables!$H$5:$H$856,"Auto-deduct")</f>
        <v>0</v>
      </c>
      <c r="AW82" s="15" t="n">
        <f aca="false">SUMIFS(Service_Consumables!$L$5:$L$856,Service_Consumables!$A$5:$A$856,$A82,Service_Consumables!$E$5:$E$856,AW$5,Service_Consumables!$H$5:$H$856,"Auto-deduct")</f>
        <v>0</v>
      </c>
      <c r="AX82" s="15" t="n">
        <f aca="false">SUMIFS(Service_Consumables!$L$5:$L$856,Service_Consumables!$A$5:$A$856,$A82,Service_Consumables!$E$5:$E$856,AX$5,Service_Consumables!$H$5:$H$856,"Auto-deduct")</f>
        <v>0</v>
      </c>
      <c r="AY82" s="15" t="n">
        <f aca="false">SUMIFS(Service_Consumables!$L$5:$L$856,Service_Consumables!$A$5:$A$856,$A82,Service_Consumables!$E$5:$E$856,AY$5,Service_Consumables!$H$5:$H$856,"Auto-deduct")</f>
        <v>0</v>
      </c>
      <c r="AZ82" s="15" t="n">
        <f aca="false">SUMIFS(Service_Consumables!$L$5:$L$856,Service_Consumables!$A$5:$A$856,$A82,Service_Consumables!$E$5:$E$856,AZ$5,Service_Consumables!$H$5:$H$856,"Auto-deduct")</f>
        <v>0</v>
      </c>
      <c r="BA82" s="15" t="n">
        <f aca="false">SUMIFS(Service_Consumables!$L$5:$L$856,Service_Consumables!$A$5:$A$856,$A82,Service_Consumables!$E$5:$E$856,BA$5,Service_Consumables!$H$5:$H$856,"Auto-deduct")</f>
        <v>0</v>
      </c>
      <c r="BB82" s="15" t="n">
        <f aca="false">SUMIFS(Service_Consumables!$L$5:$L$856,Service_Consumables!$A$5:$A$856,$A82,Service_Consumables!$E$5:$E$856,BB$5,Service_Consumables!$H$5:$H$856,"Auto-deduct")</f>
        <v>0</v>
      </c>
      <c r="BC82" s="15" t="n">
        <f aca="false">SUMIFS(Service_Consumables!$L$5:$L$856,Service_Consumables!$A$5:$A$856,$A82,Service_Consumables!$E$5:$E$856,BC$5,Service_Consumables!$H$5:$H$856,"Auto-deduct")</f>
        <v>0</v>
      </c>
      <c r="BD82" s="15" t="n">
        <f aca="false">SUMIFS(Service_Consumables!$L$5:$L$856,Service_Consumables!$A$5:$A$856,$A82,Service_Consumables!$E$5:$E$856,BD$5,Service_Consumables!$H$5:$H$856,"Auto-deduct")</f>
        <v>0</v>
      </c>
      <c r="BE82" s="15" t="n">
        <f aca="false">SUMIFS(Service_Consumables!$L$5:$L$856,Service_Consumables!$A$5:$A$856,$A82,Service_Consumables!$E$5:$E$856,BE$5,Service_Consumables!$H$5:$H$856,"Auto-deduct")</f>
        <v>0</v>
      </c>
      <c r="BF82" s="15" t="n">
        <f aca="false">SUMIFS(Service_Consumables!$L$5:$L$856,Service_Consumables!$A$5:$A$856,$A82,Service_Consumables!$E$5:$E$856,BF$5,Service_Consumables!$H$5:$H$856,"Auto-deduct")</f>
        <v>0</v>
      </c>
      <c r="BG82" s="15" t="n">
        <f aca="false">SUMIFS(Service_Consumables!$L$5:$L$856,Service_Consumables!$A$5:$A$856,$A82,Service_Consumables!$E$5:$E$856,BG$5,Service_Consumables!$H$5:$H$856,"Auto-deduct")</f>
        <v>0</v>
      </c>
      <c r="BH82" s="15" t="n">
        <f aca="false">SUMIFS(Service_Consumables!$L$5:$L$856,Service_Consumables!$A$5:$A$856,$A82,Service_Consumables!$E$5:$E$856,BH$5,Service_Consumables!$H$5:$H$856,"Auto-deduct")</f>
        <v>0</v>
      </c>
      <c r="BI82" s="15" t="n">
        <f aca="false">SUMIFS(Service_Consumables!$L$5:$L$856,Service_Consumables!$A$5:$A$856,$A82,Service_Consumables!$E$5:$E$856,BI$5,Service_Consumables!$H$5:$H$856,"Auto-deduct")</f>
        <v>0</v>
      </c>
    </row>
    <row r="83" customFormat="false" ht="15" hidden="false" customHeight="false" outlineLevel="0" collapsed="false">
      <c r="A83" s="14" t="n">
        <f aca="false">Services!A82</f>
        <v>78</v>
      </c>
      <c r="B83" s="14" t="str">
        <f aca="false">Services!B82</f>
        <v>Body Tightening / Fat Reduction</v>
      </c>
      <c r="C83" s="14" t="str">
        <f aca="false">Services!C82</f>
        <v>BT w/ BFR Arms</v>
      </c>
      <c r="D83" s="15" t="n">
        <f aca="false">SUMIFS(Service_Consumables!$L$5:$L$856,Service_Consumables!$A$5:$A$856,$A83,Service_Consumables!$E$5:$E$856,D$5,Service_Consumables!$H$5:$H$856,"Auto-deduct")</f>
        <v>0</v>
      </c>
      <c r="E83" s="15" t="n">
        <f aca="false">SUMIFS(Service_Consumables!$L$5:$L$856,Service_Consumables!$A$5:$A$856,$A83,Service_Consumables!$E$5:$E$856,E$5,Service_Consumables!$H$5:$H$856,"Auto-deduct")</f>
        <v>0</v>
      </c>
      <c r="F83" s="15" t="n">
        <f aca="false">SUMIFS(Service_Consumables!$L$5:$L$856,Service_Consumables!$A$5:$A$856,$A83,Service_Consumables!$E$5:$E$856,F$5,Service_Consumables!$H$5:$H$856,"Auto-deduct")</f>
        <v>0</v>
      </c>
      <c r="G83" s="15" t="n">
        <f aca="false">SUMIFS(Service_Consumables!$L$5:$L$856,Service_Consumables!$A$5:$A$856,$A83,Service_Consumables!$E$5:$E$856,G$5,Service_Consumables!$H$5:$H$856,"Auto-deduct")</f>
        <v>0</v>
      </c>
      <c r="H83" s="15" t="n">
        <f aca="false">SUMIFS(Service_Consumables!$L$5:$L$856,Service_Consumables!$A$5:$A$856,$A83,Service_Consumables!$E$5:$E$856,H$5,Service_Consumables!$H$5:$H$856,"Auto-deduct")</f>
        <v>0</v>
      </c>
      <c r="I83" s="15" t="n">
        <f aca="false">SUMIFS(Service_Consumables!$L$5:$L$856,Service_Consumables!$A$5:$A$856,$A83,Service_Consumables!$E$5:$E$856,I$5,Service_Consumables!$H$5:$H$856,"Auto-deduct")</f>
        <v>0</v>
      </c>
      <c r="J83" s="15" t="n">
        <f aca="false">SUMIFS(Service_Consumables!$L$5:$L$856,Service_Consumables!$A$5:$A$856,$A83,Service_Consumables!$E$5:$E$856,J$5,Service_Consumables!$H$5:$H$856,"Auto-deduct")</f>
        <v>0</v>
      </c>
      <c r="K83" s="15" t="n">
        <f aca="false">SUMIFS(Service_Consumables!$L$5:$L$856,Service_Consumables!$A$5:$A$856,$A83,Service_Consumables!$E$5:$E$856,K$5,Service_Consumables!$H$5:$H$856,"Auto-deduct")</f>
        <v>0</v>
      </c>
      <c r="L83" s="15" t="n">
        <f aca="false">SUMIFS(Service_Consumables!$L$5:$L$856,Service_Consumables!$A$5:$A$856,$A83,Service_Consumables!$E$5:$E$856,L$5,Service_Consumables!$H$5:$H$856,"Auto-deduct")</f>
        <v>0</v>
      </c>
      <c r="M83" s="15" t="n">
        <f aca="false">SUMIFS(Service_Consumables!$L$5:$L$856,Service_Consumables!$A$5:$A$856,$A83,Service_Consumables!$E$5:$E$856,M$5,Service_Consumables!$H$5:$H$856,"Auto-deduct")</f>
        <v>0</v>
      </c>
      <c r="N83" s="15" t="n">
        <f aca="false">SUMIFS(Service_Consumables!$L$5:$L$856,Service_Consumables!$A$5:$A$856,$A83,Service_Consumables!$E$5:$E$856,N$5,Service_Consumables!$H$5:$H$856,"Auto-deduct")</f>
        <v>0</v>
      </c>
      <c r="O83" s="15" t="n">
        <f aca="false">SUMIFS(Service_Consumables!$L$5:$L$856,Service_Consumables!$A$5:$A$856,$A83,Service_Consumables!$E$5:$E$856,O$5,Service_Consumables!$H$5:$H$856,"Auto-deduct")</f>
        <v>0</v>
      </c>
      <c r="P83" s="15" t="n">
        <f aca="false">SUMIFS(Service_Consumables!$L$5:$L$856,Service_Consumables!$A$5:$A$856,$A83,Service_Consumables!$E$5:$E$856,P$5,Service_Consumables!$H$5:$H$856,"Auto-deduct")</f>
        <v>1</v>
      </c>
      <c r="Q83" s="15" t="n">
        <f aca="false">SUMIFS(Service_Consumables!$L$5:$L$856,Service_Consumables!$A$5:$A$856,$A83,Service_Consumables!$E$5:$E$856,Q$5,Service_Consumables!$H$5:$H$856,"Auto-deduct")</f>
        <v>1</v>
      </c>
      <c r="R83" s="15" t="n">
        <f aca="false">SUMIFS(Service_Consumables!$L$5:$L$856,Service_Consumables!$A$5:$A$856,$A83,Service_Consumables!$E$5:$E$856,R$5,Service_Consumables!$H$5:$H$856,"Auto-deduct")</f>
        <v>0</v>
      </c>
      <c r="S83" s="15" t="n">
        <f aca="false">SUMIFS(Service_Consumables!$L$5:$L$856,Service_Consumables!$A$5:$A$856,$A83,Service_Consumables!$E$5:$E$856,S$5,Service_Consumables!$H$5:$H$856,"Auto-deduct")</f>
        <v>4</v>
      </c>
      <c r="T83" s="15" t="n">
        <f aca="false">SUMIFS(Service_Consumables!$L$5:$L$856,Service_Consumables!$A$5:$A$856,$A83,Service_Consumables!$E$5:$E$856,T$5,Service_Consumables!$H$5:$H$856,"Auto-deduct")</f>
        <v>0</v>
      </c>
      <c r="U83" s="15" t="n">
        <f aca="false">SUMIFS(Service_Consumables!$L$5:$L$856,Service_Consumables!$A$5:$A$856,$A83,Service_Consumables!$E$5:$E$856,U$5,Service_Consumables!$H$5:$H$856,"Auto-deduct")</f>
        <v>7.8</v>
      </c>
      <c r="V83" s="15" t="n">
        <f aca="false">SUMIFS(Service_Consumables!$L$5:$L$856,Service_Consumables!$A$5:$A$856,$A83,Service_Consumables!$E$5:$E$856,V$5,Service_Consumables!$H$5:$H$856,"Auto-deduct")</f>
        <v>0</v>
      </c>
      <c r="W83" s="15" t="n">
        <f aca="false">SUMIFS(Service_Consumables!$L$5:$L$856,Service_Consumables!$A$5:$A$856,$A83,Service_Consumables!$E$5:$E$856,W$5,Service_Consumables!$H$5:$H$856,"Auto-deduct")</f>
        <v>0</v>
      </c>
      <c r="X83" s="15" t="n">
        <f aca="false">SUMIFS(Service_Consumables!$L$5:$L$856,Service_Consumables!$A$5:$A$856,$A83,Service_Consumables!$E$5:$E$856,X$5,Service_Consumables!$H$5:$H$856,"Auto-deduct")</f>
        <v>0</v>
      </c>
      <c r="Y83" s="15" t="n">
        <f aca="false">SUMIFS(Service_Consumables!$L$5:$L$856,Service_Consumables!$A$5:$A$856,$A83,Service_Consumables!$E$5:$E$856,Y$5,Service_Consumables!$H$5:$H$856,"Auto-deduct")</f>
        <v>0</v>
      </c>
      <c r="Z83" s="15" t="n">
        <f aca="false">SUMIFS(Service_Consumables!$L$5:$L$856,Service_Consumables!$A$5:$A$856,$A83,Service_Consumables!$E$5:$E$856,Z$5,Service_Consumables!$H$5:$H$856,"Auto-deduct")</f>
        <v>0</v>
      </c>
      <c r="AA83" s="15" t="n">
        <f aca="false">SUMIFS(Service_Consumables!$L$5:$L$856,Service_Consumables!$A$5:$A$856,$A83,Service_Consumables!$E$5:$E$856,AA$5,Service_Consumables!$H$5:$H$856,"Auto-deduct")</f>
        <v>0</v>
      </c>
      <c r="AB83" s="15" t="n">
        <f aca="false">SUMIFS(Service_Consumables!$L$5:$L$856,Service_Consumables!$A$5:$A$856,$A83,Service_Consumables!$E$5:$E$856,AB$5,Service_Consumables!$H$5:$H$856,"Auto-deduct")</f>
        <v>0</v>
      </c>
      <c r="AC83" s="15" t="n">
        <f aca="false">SUMIFS(Service_Consumables!$L$5:$L$856,Service_Consumables!$A$5:$A$856,$A83,Service_Consumables!$E$5:$E$856,AC$5,Service_Consumables!$H$5:$H$856,"Auto-deduct")</f>
        <v>5</v>
      </c>
      <c r="AD83" s="15" t="n">
        <f aca="false">SUMIFS(Service_Consumables!$L$5:$L$856,Service_Consumables!$A$5:$A$856,$A83,Service_Consumables!$E$5:$E$856,AD$5,Service_Consumables!$H$5:$H$856,"Auto-deduct")</f>
        <v>11.5</v>
      </c>
      <c r="AE83" s="15" t="n">
        <f aca="false">SUMIFS(Service_Consumables!$L$5:$L$856,Service_Consumables!$A$5:$A$856,$A83,Service_Consumables!$E$5:$E$856,AE$5,Service_Consumables!$H$5:$H$856,"Auto-deduct")</f>
        <v>0</v>
      </c>
      <c r="AF83" s="15" t="n">
        <f aca="false">SUMIFS(Service_Consumables!$L$5:$L$856,Service_Consumables!$A$5:$A$856,$A83,Service_Consumables!$E$5:$E$856,AF$5,Service_Consumables!$H$5:$H$856,"Auto-deduct")</f>
        <v>0</v>
      </c>
      <c r="AG83" s="15" t="n">
        <f aca="false">SUMIFS(Service_Consumables!$L$5:$L$856,Service_Consumables!$A$5:$A$856,$A83,Service_Consumables!$E$5:$E$856,AG$5,Service_Consumables!$H$5:$H$856,"Auto-deduct")</f>
        <v>0</v>
      </c>
      <c r="AH83" s="15" t="n">
        <f aca="false">SUMIFS(Service_Consumables!$L$5:$L$856,Service_Consumables!$A$5:$A$856,$A83,Service_Consumables!$E$5:$E$856,AH$5,Service_Consumables!$H$5:$H$856,"Auto-deduct")</f>
        <v>0</v>
      </c>
      <c r="AI83" s="15" t="n">
        <f aca="false">SUMIFS(Service_Consumables!$L$5:$L$856,Service_Consumables!$A$5:$A$856,$A83,Service_Consumables!$E$5:$E$856,AI$5,Service_Consumables!$H$5:$H$856,"Auto-deduct")</f>
        <v>0</v>
      </c>
      <c r="AJ83" s="15" t="n">
        <f aca="false">SUMIFS(Service_Consumables!$L$5:$L$856,Service_Consumables!$A$5:$A$856,$A83,Service_Consumables!$E$5:$E$856,AJ$5,Service_Consumables!$H$5:$H$856,"Auto-deduct")</f>
        <v>0</v>
      </c>
      <c r="AK83" s="15" t="n">
        <f aca="false">SUMIFS(Service_Consumables!$L$5:$L$856,Service_Consumables!$A$5:$A$856,$A83,Service_Consumables!$E$5:$E$856,AK$5,Service_Consumables!$H$5:$H$856,"Auto-deduct")</f>
        <v>0</v>
      </c>
      <c r="AL83" s="15" t="n">
        <f aca="false">SUMIFS(Service_Consumables!$L$5:$L$856,Service_Consumables!$A$5:$A$856,$A83,Service_Consumables!$E$5:$E$856,AL$5,Service_Consumables!$H$5:$H$856,"Auto-deduct")</f>
        <v>0</v>
      </c>
      <c r="AM83" s="15" t="n">
        <f aca="false">SUMIFS(Service_Consumables!$L$5:$L$856,Service_Consumables!$A$5:$A$856,$A83,Service_Consumables!$E$5:$E$856,AM$5,Service_Consumables!$H$5:$H$856,"Auto-deduct")</f>
        <v>0</v>
      </c>
      <c r="AN83" s="15" t="n">
        <f aca="false">SUMIFS(Service_Consumables!$L$5:$L$856,Service_Consumables!$A$5:$A$856,$A83,Service_Consumables!$E$5:$E$856,AN$5,Service_Consumables!$H$5:$H$856,"Auto-deduct")</f>
        <v>0</v>
      </c>
      <c r="AO83" s="15" t="n">
        <f aca="false">SUMIFS(Service_Consumables!$L$5:$L$856,Service_Consumables!$A$5:$A$856,$A83,Service_Consumables!$E$5:$E$856,AO$5,Service_Consumables!$H$5:$H$856,"Auto-deduct")</f>
        <v>0</v>
      </c>
      <c r="AP83" s="15" t="n">
        <f aca="false">SUMIFS(Service_Consumables!$L$5:$L$856,Service_Consumables!$A$5:$A$856,$A83,Service_Consumables!$E$5:$E$856,AP$5,Service_Consumables!$H$5:$H$856,"Auto-deduct")</f>
        <v>13</v>
      </c>
      <c r="AQ83" s="15" t="n">
        <f aca="false">SUMIFS(Service_Consumables!$L$5:$L$856,Service_Consumables!$A$5:$A$856,$A83,Service_Consumables!$E$5:$E$856,AQ$5,Service_Consumables!$H$5:$H$856,"Auto-deduct")</f>
        <v>19.5</v>
      </c>
      <c r="AR83" s="15" t="n">
        <f aca="false">SUMIFS(Service_Consumables!$L$5:$L$856,Service_Consumables!$A$5:$A$856,$A83,Service_Consumables!$E$5:$E$856,AR$5,Service_Consumables!$H$5:$H$856,"Auto-deduct")</f>
        <v>0</v>
      </c>
      <c r="AS83" s="15" t="n">
        <f aca="false">SUMIFS(Service_Consumables!$L$5:$L$856,Service_Consumables!$A$5:$A$856,$A83,Service_Consumables!$E$5:$E$856,AS$5,Service_Consumables!$H$5:$H$856,"Auto-deduct")</f>
        <v>0</v>
      </c>
      <c r="AT83" s="15" t="n">
        <f aca="false">SUMIFS(Service_Consumables!$L$5:$L$856,Service_Consumables!$A$5:$A$856,$A83,Service_Consumables!$E$5:$E$856,AT$5,Service_Consumables!$H$5:$H$856,"Auto-deduct")</f>
        <v>0</v>
      </c>
      <c r="AU83" s="15" t="n">
        <f aca="false">SUMIFS(Service_Consumables!$L$5:$L$856,Service_Consumables!$A$5:$A$856,$A83,Service_Consumables!$E$5:$E$856,AU$5,Service_Consumables!$H$5:$H$856,"Auto-deduct")</f>
        <v>0</v>
      </c>
      <c r="AV83" s="15" t="n">
        <f aca="false">SUMIFS(Service_Consumables!$L$5:$L$856,Service_Consumables!$A$5:$A$856,$A83,Service_Consumables!$E$5:$E$856,AV$5,Service_Consumables!$H$5:$H$856,"Auto-deduct")</f>
        <v>0</v>
      </c>
      <c r="AW83" s="15" t="n">
        <f aca="false">SUMIFS(Service_Consumables!$L$5:$L$856,Service_Consumables!$A$5:$A$856,$A83,Service_Consumables!$E$5:$E$856,AW$5,Service_Consumables!$H$5:$H$856,"Auto-deduct")</f>
        <v>0</v>
      </c>
      <c r="AX83" s="15" t="n">
        <f aca="false">SUMIFS(Service_Consumables!$L$5:$L$856,Service_Consumables!$A$5:$A$856,$A83,Service_Consumables!$E$5:$E$856,AX$5,Service_Consumables!$H$5:$H$856,"Auto-deduct")</f>
        <v>0</v>
      </c>
      <c r="AY83" s="15" t="n">
        <f aca="false">SUMIFS(Service_Consumables!$L$5:$L$856,Service_Consumables!$A$5:$A$856,$A83,Service_Consumables!$E$5:$E$856,AY$5,Service_Consumables!$H$5:$H$856,"Auto-deduct")</f>
        <v>0</v>
      </c>
      <c r="AZ83" s="15" t="n">
        <f aca="false">SUMIFS(Service_Consumables!$L$5:$L$856,Service_Consumables!$A$5:$A$856,$A83,Service_Consumables!$E$5:$E$856,AZ$5,Service_Consumables!$H$5:$H$856,"Auto-deduct")</f>
        <v>0</v>
      </c>
      <c r="BA83" s="15" t="n">
        <f aca="false">SUMIFS(Service_Consumables!$L$5:$L$856,Service_Consumables!$A$5:$A$856,$A83,Service_Consumables!$E$5:$E$856,BA$5,Service_Consumables!$H$5:$H$856,"Auto-deduct")</f>
        <v>0</v>
      </c>
      <c r="BB83" s="15" t="n">
        <f aca="false">SUMIFS(Service_Consumables!$L$5:$L$856,Service_Consumables!$A$5:$A$856,$A83,Service_Consumables!$E$5:$E$856,BB$5,Service_Consumables!$H$5:$H$856,"Auto-deduct")</f>
        <v>0</v>
      </c>
      <c r="BC83" s="15" t="n">
        <f aca="false">SUMIFS(Service_Consumables!$L$5:$L$856,Service_Consumables!$A$5:$A$856,$A83,Service_Consumables!$E$5:$E$856,BC$5,Service_Consumables!$H$5:$H$856,"Auto-deduct")</f>
        <v>0</v>
      </c>
      <c r="BD83" s="15" t="n">
        <f aca="false">SUMIFS(Service_Consumables!$L$5:$L$856,Service_Consumables!$A$5:$A$856,$A83,Service_Consumables!$E$5:$E$856,BD$5,Service_Consumables!$H$5:$H$856,"Auto-deduct")</f>
        <v>0</v>
      </c>
      <c r="BE83" s="15" t="n">
        <f aca="false">SUMIFS(Service_Consumables!$L$5:$L$856,Service_Consumables!$A$5:$A$856,$A83,Service_Consumables!$E$5:$E$856,BE$5,Service_Consumables!$H$5:$H$856,"Auto-deduct")</f>
        <v>0</v>
      </c>
      <c r="BF83" s="15" t="n">
        <f aca="false">SUMIFS(Service_Consumables!$L$5:$L$856,Service_Consumables!$A$5:$A$856,$A83,Service_Consumables!$E$5:$E$856,BF$5,Service_Consumables!$H$5:$H$856,"Auto-deduct")</f>
        <v>0</v>
      </c>
      <c r="BG83" s="15" t="n">
        <f aca="false">SUMIFS(Service_Consumables!$L$5:$L$856,Service_Consumables!$A$5:$A$856,$A83,Service_Consumables!$E$5:$E$856,BG$5,Service_Consumables!$H$5:$H$856,"Auto-deduct")</f>
        <v>0</v>
      </c>
      <c r="BH83" s="15" t="n">
        <f aca="false">SUMIFS(Service_Consumables!$L$5:$L$856,Service_Consumables!$A$5:$A$856,$A83,Service_Consumables!$E$5:$E$856,BH$5,Service_Consumables!$H$5:$H$856,"Auto-deduct")</f>
        <v>0</v>
      </c>
      <c r="BI83" s="15" t="n">
        <f aca="false">SUMIFS(Service_Consumables!$L$5:$L$856,Service_Consumables!$A$5:$A$856,$A83,Service_Consumables!$E$5:$E$856,BI$5,Service_Consumables!$H$5:$H$856,"Auto-deduct")</f>
        <v>0</v>
      </c>
    </row>
    <row r="84" customFormat="false" ht="15" hidden="false" customHeight="false" outlineLevel="0" collapsed="false">
      <c r="A84" s="14" t="n">
        <f aca="false">Services!A83</f>
        <v>79</v>
      </c>
      <c r="B84" s="14" t="str">
        <f aca="false">Services!B83</f>
        <v>Body Tightening / Fat Reduction</v>
      </c>
      <c r="C84" s="14" t="str">
        <f aca="false">Services!C83</f>
        <v>Body Tightening Thigh</v>
      </c>
      <c r="D84" s="15" t="n">
        <f aca="false">SUMIFS(Service_Consumables!$L$5:$L$856,Service_Consumables!$A$5:$A$856,$A84,Service_Consumables!$E$5:$E$856,D$5,Service_Consumables!$H$5:$H$856,"Auto-deduct")</f>
        <v>0</v>
      </c>
      <c r="E84" s="15" t="n">
        <f aca="false">SUMIFS(Service_Consumables!$L$5:$L$856,Service_Consumables!$A$5:$A$856,$A84,Service_Consumables!$E$5:$E$856,E$5,Service_Consumables!$H$5:$H$856,"Auto-deduct")</f>
        <v>0</v>
      </c>
      <c r="F84" s="15" t="n">
        <f aca="false">SUMIFS(Service_Consumables!$L$5:$L$856,Service_Consumables!$A$5:$A$856,$A84,Service_Consumables!$E$5:$E$856,F$5,Service_Consumables!$H$5:$H$856,"Auto-deduct")</f>
        <v>0</v>
      </c>
      <c r="G84" s="15" t="n">
        <f aca="false">SUMIFS(Service_Consumables!$L$5:$L$856,Service_Consumables!$A$5:$A$856,$A84,Service_Consumables!$E$5:$E$856,G$5,Service_Consumables!$H$5:$H$856,"Auto-deduct")</f>
        <v>0</v>
      </c>
      <c r="H84" s="15" t="n">
        <f aca="false">SUMIFS(Service_Consumables!$L$5:$L$856,Service_Consumables!$A$5:$A$856,$A84,Service_Consumables!$E$5:$E$856,H$5,Service_Consumables!$H$5:$H$856,"Auto-deduct")</f>
        <v>0</v>
      </c>
      <c r="I84" s="15" t="n">
        <f aca="false">SUMIFS(Service_Consumables!$L$5:$L$856,Service_Consumables!$A$5:$A$856,$A84,Service_Consumables!$E$5:$E$856,I$5,Service_Consumables!$H$5:$H$856,"Auto-deduct")</f>
        <v>0</v>
      </c>
      <c r="J84" s="15" t="n">
        <f aca="false">SUMIFS(Service_Consumables!$L$5:$L$856,Service_Consumables!$A$5:$A$856,$A84,Service_Consumables!$E$5:$E$856,J$5,Service_Consumables!$H$5:$H$856,"Auto-deduct")</f>
        <v>0</v>
      </c>
      <c r="K84" s="15" t="n">
        <f aca="false">SUMIFS(Service_Consumables!$L$5:$L$856,Service_Consumables!$A$5:$A$856,$A84,Service_Consumables!$E$5:$E$856,K$5,Service_Consumables!$H$5:$H$856,"Auto-deduct")</f>
        <v>0</v>
      </c>
      <c r="L84" s="15" t="n">
        <f aca="false">SUMIFS(Service_Consumables!$L$5:$L$856,Service_Consumables!$A$5:$A$856,$A84,Service_Consumables!$E$5:$E$856,L$5,Service_Consumables!$H$5:$H$856,"Auto-deduct")</f>
        <v>0</v>
      </c>
      <c r="M84" s="15" t="n">
        <f aca="false">SUMIFS(Service_Consumables!$L$5:$L$856,Service_Consumables!$A$5:$A$856,$A84,Service_Consumables!$E$5:$E$856,M$5,Service_Consumables!$H$5:$H$856,"Auto-deduct")</f>
        <v>0</v>
      </c>
      <c r="N84" s="15" t="n">
        <f aca="false">SUMIFS(Service_Consumables!$L$5:$L$856,Service_Consumables!$A$5:$A$856,$A84,Service_Consumables!$E$5:$E$856,N$5,Service_Consumables!$H$5:$H$856,"Auto-deduct")</f>
        <v>0</v>
      </c>
      <c r="O84" s="15" t="n">
        <f aca="false">SUMIFS(Service_Consumables!$L$5:$L$856,Service_Consumables!$A$5:$A$856,$A84,Service_Consumables!$E$5:$E$856,O$5,Service_Consumables!$H$5:$H$856,"Auto-deduct")</f>
        <v>0</v>
      </c>
      <c r="P84" s="15" t="n">
        <f aca="false">SUMIFS(Service_Consumables!$L$5:$L$856,Service_Consumables!$A$5:$A$856,$A84,Service_Consumables!$E$5:$E$856,P$5,Service_Consumables!$H$5:$H$856,"Auto-deduct")</f>
        <v>1</v>
      </c>
      <c r="Q84" s="15" t="n">
        <f aca="false">SUMIFS(Service_Consumables!$L$5:$L$856,Service_Consumables!$A$5:$A$856,$A84,Service_Consumables!$E$5:$E$856,Q$5,Service_Consumables!$H$5:$H$856,"Auto-deduct")</f>
        <v>1</v>
      </c>
      <c r="R84" s="15" t="n">
        <f aca="false">SUMIFS(Service_Consumables!$L$5:$L$856,Service_Consumables!$A$5:$A$856,$A84,Service_Consumables!$E$5:$E$856,R$5,Service_Consumables!$H$5:$H$856,"Auto-deduct")</f>
        <v>0</v>
      </c>
      <c r="S84" s="15" t="n">
        <f aca="false">SUMIFS(Service_Consumables!$L$5:$L$856,Service_Consumables!$A$5:$A$856,$A84,Service_Consumables!$E$5:$E$856,S$5,Service_Consumables!$H$5:$H$856,"Auto-deduct")</f>
        <v>4</v>
      </c>
      <c r="T84" s="15" t="n">
        <f aca="false">SUMIFS(Service_Consumables!$L$5:$L$856,Service_Consumables!$A$5:$A$856,$A84,Service_Consumables!$E$5:$E$856,T$5,Service_Consumables!$H$5:$H$856,"Auto-deduct")</f>
        <v>0</v>
      </c>
      <c r="U84" s="15" t="n">
        <f aca="false">SUMIFS(Service_Consumables!$L$5:$L$856,Service_Consumables!$A$5:$A$856,$A84,Service_Consumables!$E$5:$E$856,U$5,Service_Consumables!$H$5:$H$856,"Auto-deduct")</f>
        <v>10</v>
      </c>
      <c r="V84" s="15" t="n">
        <f aca="false">SUMIFS(Service_Consumables!$L$5:$L$856,Service_Consumables!$A$5:$A$856,$A84,Service_Consumables!$E$5:$E$856,V$5,Service_Consumables!$H$5:$H$856,"Auto-deduct")</f>
        <v>0</v>
      </c>
      <c r="W84" s="15" t="n">
        <f aca="false">SUMIFS(Service_Consumables!$L$5:$L$856,Service_Consumables!$A$5:$A$856,$A84,Service_Consumables!$E$5:$E$856,W$5,Service_Consumables!$H$5:$H$856,"Auto-deduct")</f>
        <v>0</v>
      </c>
      <c r="X84" s="15" t="n">
        <f aca="false">SUMIFS(Service_Consumables!$L$5:$L$856,Service_Consumables!$A$5:$A$856,$A84,Service_Consumables!$E$5:$E$856,X$5,Service_Consumables!$H$5:$H$856,"Auto-deduct")</f>
        <v>0</v>
      </c>
      <c r="Y84" s="15" t="n">
        <f aca="false">SUMIFS(Service_Consumables!$L$5:$L$856,Service_Consumables!$A$5:$A$856,$A84,Service_Consumables!$E$5:$E$856,Y$5,Service_Consumables!$H$5:$H$856,"Auto-deduct")</f>
        <v>0</v>
      </c>
      <c r="Z84" s="15" t="n">
        <f aca="false">SUMIFS(Service_Consumables!$L$5:$L$856,Service_Consumables!$A$5:$A$856,$A84,Service_Consumables!$E$5:$E$856,Z$5,Service_Consumables!$H$5:$H$856,"Auto-deduct")</f>
        <v>0</v>
      </c>
      <c r="AA84" s="15" t="n">
        <f aca="false">SUMIFS(Service_Consumables!$L$5:$L$856,Service_Consumables!$A$5:$A$856,$A84,Service_Consumables!$E$5:$E$856,AA$5,Service_Consumables!$H$5:$H$856,"Auto-deduct")</f>
        <v>0</v>
      </c>
      <c r="AB84" s="15" t="n">
        <f aca="false">SUMIFS(Service_Consumables!$L$5:$L$856,Service_Consumables!$A$5:$A$856,$A84,Service_Consumables!$E$5:$E$856,AB$5,Service_Consumables!$H$5:$H$856,"Auto-deduct")</f>
        <v>0</v>
      </c>
      <c r="AC84" s="15" t="n">
        <f aca="false">SUMIFS(Service_Consumables!$L$5:$L$856,Service_Consumables!$A$5:$A$856,$A84,Service_Consumables!$E$5:$E$856,AC$5,Service_Consumables!$H$5:$H$856,"Auto-deduct")</f>
        <v>6</v>
      </c>
      <c r="AD84" s="15" t="n">
        <f aca="false">SUMIFS(Service_Consumables!$L$5:$L$856,Service_Consumables!$A$5:$A$856,$A84,Service_Consumables!$E$5:$E$856,AD$5,Service_Consumables!$H$5:$H$856,"Auto-deduct")</f>
        <v>15</v>
      </c>
      <c r="AE84" s="15" t="n">
        <f aca="false">SUMIFS(Service_Consumables!$L$5:$L$856,Service_Consumables!$A$5:$A$856,$A84,Service_Consumables!$E$5:$E$856,AE$5,Service_Consumables!$H$5:$H$856,"Auto-deduct")</f>
        <v>0</v>
      </c>
      <c r="AF84" s="15" t="n">
        <f aca="false">SUMIFS(Service_Consumables!$L$5:$L$856,Service_Consumables!$A$5:$A$856,$A84,Service_Consumables!$E$5:$E$856,AF$5,Service_Consumables!$H$5:$H$856,"Auto-deduct")</f>
        <v>0</v>
      </c>
      <c r="AG84" s="15" t="n">
        <f aca="false">SUMIFS(Service_Consumables!$L$5:$L$856,Service_Consumables!$A$5:$A$856,$A84,Service_Consumables!$E$5:$E$856,AG$5,Service_Consumables!$H$5:$H$856,"Auto-deduct")</f>
        <v>0</v>
      </c>
      <c r="AH84" s="15" t="n">
        <f aca="false">SUMIFS(Service_Consumables!$L$5:$L$856,Service_Consumables!$A$5:$A$856,$A84,Service_Consumables!$E$5:$E$856,AH$5,Service_Consumables!$H$5:$H$856,"Auto-deduct")</f>
        <v>0</v>
      </c>
      <c r="AI84" s="15" t="n">
        <f aca="false">SUMIFS(Service_Consumables!$L$5:$L$856,Service_Consumables!$A$5:$A$856,$A84,Service_Consumables!$E$5:$E$856,AI$5,Service_Consumables!$H$5:$H$856,"Auto-deduct")</f>
        <v>0</v>
      </c>
      <c r="AJ84" s="15" t="n">
        <f aca="false">SUMIFS(Service_Consumables!$L$5:$L$856,Service_Consumables!$A$5:$A$856,$A84,Service_Consumables!$E$5:$E$856,AJ$5,Service_Consumables!$H$5:$H$856,"Auto-deduct")</f>
        <v>0</v>
      </c>
      <c r="AK84" s="15" t="n">
        <f aca="false">SUMIFS(Service_Consumables!$L$5:$L$856,Service_Consumables!$A$5:$A$856,$A84,Service_Consumables!$E$5:$E$856,AK$5,Service_Consumables!$H$5:$H$856,"Auto-deduct")</f>
        <v>0</v>
      </c>
      <c r="AL84" s="15" t="n">
        <f aca="false">SUMIFS(Service_Consumables!$L$5:$L$856,Service_Consumables!$A$5:$A$856,$A84,Service_Consumables!$E$5:$E$856,AL$5,Service_Consumables!$H$5:$H$856,"Auto-deduct")</f>
        <v>0</v>
      </c>
      <c r="AM84" s="15" t="n">
        <f aca="false">SUMIFS(Service_Consumables!$L$5:$L$856,Service_Consumables!$A$5:$A$856,$A84,Service_Consumables!$E$5:$E$856,AM$5,Service_Consumables!$H$5:$H$856,"Auto-deduct")</f>
        <v>0</v>
      </c>
      <c r="AN84" s="15" t="n">
        <f aca="false">SUMIFS(Service_Consumables!$L$5:$L$856,Service_Consumables!$A$5:$A$856,$A84,Service_Consumables!$E$5:$E$856,AN$5,Service_Consumables!$H$5:$H$856,"Auto-deduct")</f>
        <v>0</v>
      </c>
      <c r="AO84" s="15" t="n">
        <f aca="false">SUMIFS(Service_Consumables!$L$5:$L$856,Service_Consumables!$A$5:$A$856,$A84,Service_Consumables!$E$5:$E$856,AO$5,Service_Consumables!$H$5:$H$856,"Auto-deduct")</f>
        <v>0</v>
      </c>
      <c r="AP84" s="15" t="n">
        <f aca="false">SUMIFS(Service_Consumables!$L$5:$L$856,Service_Consumables!$A$5:$A$856,$A84,Service_Consumables!$E$5:$E$856,AP$5,Service_Consumables!$H$5:$H$856,"Auto-deduct")</f>
        <v>20</v>
      </c>
      <c r="AQ84" s="15" t="n">
        <f aca="false">SUMIFS(Service_Consumables!$L$5:$L$856,Service_Consumables!$A$5:$A$856,$A84,Service_Consumables!$E$5:$E$856,AQ$5,Service_Consumables!$H$5:$H$856,"Auto-deduct")</f>
        <v>0</v>
      </c>
      <c r="AR84" s="15" t="n">
        <f aca="false">SUMIFS(Service_Consumables!$L$5:$L$856,Service_Consumables!$A$5:$A$856,$A84,Service_Consumables!$E$5:$E$856,AR$5,Service_Consumables!$H$5:$H$856,"Auto-deduct")</f>
        <v>0</v>
      </c>
      <c r="AS84" s="15" t="n">
        <f aca="false">SUMIFS(Service_Consumables!$L$5:$L$856,Service_Consumables!$A$5:$A$856,$A84,Service_Consumables!$E$5:$E$856,AS$5,Service_Consumables!$H$5:$H$856,"Auto-deduct")</f>
        <v>0</v>
      </c>
      <c r="AT84" s="15" t="n">
        <f aca="false">SUMIFS(Service_Consumables!$L$5:$L$856,Service_Consumables!$A$5:$A$856,$A84,Service_Consumables!$E$5:$E$856,AT$5,Service_Consumables!$H$5:$H$856,"Auto-deduct")</f>
        <v>0</v>
      </c>
      <c r="AU84" s="15" t="n">
        <f aca="false">SUMIFS(Service_Consumables!$L$5:$L$856,Service_Consumables!$A$5:$A$856,$A84,Service_Consumables!$E$5:$E$856,AU$5,Service_Consumables!$H$5:$H$856,"Auto-deduct")</f>
        <v>0</v>
      </c>
      <c r="AV84" s="15" t="n">
        <f aca="false">SUMIFS(Service_Consumables!$L$5:$L$856,Service_Consumables!$A$5:$A$856,$A84,Service_Consumables!$E$5:$E$856,AV$5,Service_Consumables!$H$5:$H$856,"Auto-deduct")</f>
        <v>0</v>
      </c>
      <c r="AW84" s="15" t="n">
        <f aca="false">SUMIFS(Service_Consumables!$L$5:$L$856,Service_Consumables!$A$5:$A$856,$A84,Service_Consumables!$E$5:$E$856,AW$5,Service_Consumables!$H$5:$H$856,"Auto-deduct")</f>
        <v>0</v>
      </c>
      <c r="AX84" s="15" t="n">
        <f aca="false">SUMIFS(Service_Consumables!$L$5:$L$856,Service_Consumables!$A$5:$A$856,$A84,Service_Consumables!$E$5:$E$856,AX$5,Service_Consumables!$H$5:$H$856,"Auto-deduct")</f>
        <v>0</v>
      </c>
      <c r="AY84" s="15" t="n">
        <f aca="false">SUMIFS(Service_Consumables!$L$5:$L$856,Service_Consumables!$A$5:$A$856,$A84,Service_Consumables!$E$5:$E$856,AY$5,Service_Consumables!$H$5:$H$856,"Auto-deduct")</f>
        <v>0</v>
      </c>
      <c r="AZ84" s="15" t="n">
        <f aca="false">SUMIFS(Service_Consumables!$L$5:$L$856,Service_Consumables!$A$5:$A$856,$A84,Service_Consumables!$E$5:$E$856,AZ$5,Service_Consumables!$H$5:$H$856,"Auto-deduct")</f>
        <v>0</v>
      </c>
      <c r="BA84" s="15" t="n">
        <f aca="false">SUMIFS(Service_Consumables!$L$5:$L$856,Service_Consumables!$A$5:$A$856,$A84,Service_Consumables!$E$5:$E$856,BA$5,Service_Consumables!$H$5:$H$856,"Auto-deduct")</f>
        <v>0</v>
      </c>
      <c r="BB84" s="15" t="n">
        <f aca="false">SUMIFS(Service_Consumables!$L$5:$L$856,Service_Consumables!$A$5:$A$856,$A84,Service_Consumables!$E$5:$E$856,BB$5,Service_Consumables!$H$5:$H$856,"Auto-deduct")</f>
        <v>0</v>
      </c>
      <c r="BC84" s="15" t="n">
        <f aca="false">SUMIFS(Service_Consumables!$L$5:$L$856,Service_Consumables!$A$5:$A$856,$A84,Service_Consumables!$E$5:$E$856,BC$5,Service_Consumables!$H$5:$H$856,"Auto-deduct")</f>
        <v>0</v>
      </c>
      <c r="BD84" s="15" t="n">
        <f aca="false">SUMIFS(Service_Consumables!$L$5:$L$856,Service_Consumables!$A$5:$A$856,$A84,Service_Consumables!$E$5:$E$856,BD$5,Service_Consumables!$H$5:$H$856,"Auto-deduct")</f>
        <v>0</v>
      </c>
      <c r="BE84" s="15" t="n">
        <f aca="false">SUMIFS(Service_Consumables!$L$5:$L$856,Service_Consumables!$A$5:$A$856,$A84,Service_Consumables!$E$5:$E$856,BE$5,Service_Consumables!$H$5:$H$856,"Auto-deduct")</f>
        <v>0</v>
      </c>
      <c r="BF84" s="15" t="n">
        <f aca="false">SUMIFS(Service_Consumables!$L$5:$L$856,Service_Consumables!$A$5:$A$856,$A84,Service_Consumables!$E$5:$E$856,BF$5,Service_Consumables!$H$5:$H$856,"Auto-deduct")</f>
        <v>0</v>
      </c>
      <c r="BG84" s="15" t="n">
        <f aca="false">SUMIFS(Service_Consumables!$L$5:$L$856,Service_Consumables!$A$5:$A$856,$A84,Service_Consumables!$E$5:$E$856,BG$5,Service_Consumables!$H$5:$H$856,"Auto-deduct")</f>
        <v>0</v>
      </c>
      <c r="BH84" s="15" t="n">
        <f aca="false">SUMIFS(Service_Consumables!$L$5:$L$856,Service_Consumables!$A$5:$A$856,$A84,Service_Consumables!$E$5:$E$856,BH$5,Service_Consumables!$H$5:$H$856,"Auto-deduct")</f>
        <v>0</v>
      </c>
      <c r="BI84" s="15" t="n">
        <f aca="false">SUMIFS(Service_Consumables!$L$5:$L$856,Service_Consumables!$A$5:$A$856,$A84,Service_Consumables!$E$5:$E$856,BI$5,Service_Consumables!$H$5:$H$856,"Auto-deduct")</f>
        <v>0</v>
      </c>
    </row>
    <row r="85" customFormat="false" ht="15" hidden="false" customHeight="false" outlineLevel="0" collapsed="false">
      <c r="A85" s="14" t="n">
        <f aca="false">Services!A84</f>
        <v>80</v>
      </c>
      <c r="B85" s="14" t="str">
        <f aca="false">Services!B84</f>
        <v>Body Tightening / Fat Reduction</v>
      </c>
      <c r="C85" s="14" t="str">
        <f aca="false">Services!C84</f>
        <v>Body Fat Reduction Thigh</v>
      </c>
      <c r="D85" s="15" t="n">
        <f aca="false">SUMIFS(Service_Consumables!$L$5:$L$856,Service_Consumables!$A$5:$A$856,$A85,Service_Consumables!$E$5:$E$856,D$5,Service_Consumables!$H$5:$H$856,"Auto-deduct")</f>
        <v>0</v>
      </c>
      <c r="E85" s="15" t="n">
        <f aca="false">SUMIFS(Service_Consumables!$L$5:$L$856,Service_Consumables!$A$5:$A$856,$A85,Service_Consumables!$E$5:$E$856,E$5,Service_Consumables!$H$5:$H$856,"Auto-deduct")</f>
        <v>0</v>
      </c>
      <c r="F85" s="15" t="n">
        <f aca="false">SUMIFS(Service_Consumables!$L$5:$L$856,Service_Consumables!$A$5:$A$856,$A85,Service_Consumables!$E$5:$E$856,F$5,Service_Consumables!$H$5:$H$856,"Auto-deduct")</f>
        <v>0</v>
      </c>
      <c r="G85" s="15" t="n">
        <f aca="false">SUMIFS(Service_Consumables!$L$5:$L$856,Service_Consumables!$A$5:$A$856,$A85,Service_Consumables!$E$5:$E$856,G$5,Service_Consumables!$H$5:$H$856,"Auto-deduct")</f>
        <v>0</v>
      </c>
      <c r="H85" s="15" t="n">
        <f aca="false">SUMIFS(Service_Consumables!$L$5:$L$856,Service_Consumables!$A$5:$A$856,$A85,Service_Consumables!$E$5:$E$856,H$5,Service_Consumables!$H$5:$H$856,"Auto-deduct")</f>
        <v>0</v>
      </c>
      <c r="I85" s="15" t="n">
        <f aca="false">SUMIFS(Service_Consumables!$L$5:$L$856,Service_Consumables!$A$5:$A$856,$A85,Service_Consumables!$E$5:$E$856,I$5,Service_Consumables!$H$5:$H$856,"Auto-deduct")</f>
        <v>0</v>
      </c>
      <c r="J85" s="15" t="n">
        <f aca="false">SUMIFS(Service_Consumables!$L$5:$L$856,Service_Consumables!$A$5:$A$856,$A85,Service_Consumables!$E$5:$E$856,J$5,Service_Consumables!$H$5:$H$856,"Auto-deduct")</f>
        <v>0</v>
      </c>
      <c r="K85" s="15" t="n">
        <f aca="false">SUMIFS(Service_Consumables!$L$5:$L$856,Service_Consumables!$A$5:$A$856,$A85,Service_Consumables!$E$5:$E$856,K$5,Service_Consumables!$H$5:$H$856,"Auto-deduct")</f>
        <v>0</v>
      </c>
      <c r="L85" s="15" t="n">
        <f aca="false">SUMIFS(Service_Consumables!$L$5:$L$856,Service_Consumables!$A$5:$A$856,$A85,Service_Consumables!$E$5:$E$856,L$5,Service_Consumables!$H$5:$H$856,"Auto-deduct")</f>
        <v>0</v>
      </c>
      <c r="M85" s="15" t="n">
        <f aca="false">SUMIFS(Service_Consumables!$L$5:$L$856,Service_Consumables!$A$5:$A$856,$A85,Service_Consumables!$E$5:$E$856,M$5,Service_Consumables!$H$5:$H$856,"Auto-deduct")</f>
        <v>0</v>
      </c>
      <c r="N85" s="15" t="n">
        <f aca="false">SUMIFS(Service_Consumables!$L$5:$L$856,Service_Consumables!$A$5:$A$856,$A85,Service_Consumables!$E$5:$E$856,N$5,Service_Consumables!$H$5:$H$856,"Auto-deduct")</f>
        <v>0</v>
      </c>
      <c r="O85" s="15" t="n">
        <f aca="false">SUMIFS(Service_Consumables!$L$5:$L$856,Service_Consumables!$A$5:$A$856,$A85,Service_Consumables!$E$5:$E$856,O$5,Service_Consumables!$H$5:$H$856,"Auto-deduct")</f>
        <v>0</v>
      </c>
      <c r="P85" s="15" t="n">
        <f aca="false">SUMIFS(Service_Consumables!$L$5:$L$856,Service_Consumables!$A$5:$A$856,$A85,Service_Consumables!$E$5:$E$856,P$5,Service_Consumables!$H$5:$H$856,"Auto-deduct")</f>
        <v>1</v>
      </c>
      <c r="Q85" s="15" t="n">
        <f aca="false">SUMIFS(Service_Consumables!$L$5:$L$856,Service_Consumables!$A$5:$A$856,$A85,Service_Consumables!$E$5:$E$856,Q$5,Service_Consumables!$H$5:$H$856,"Auto-deduct")</f>
        <v>1</v>
      </c>
      <c r="R85" s="15" t="n">
        <f aca="false">SUMIFS(Service_Consumables!$L$5:$L$856,Service_Consumables!$A$5:$A$856,$A85,Service_Consumables!$E$5:$E$856,R$5,Service_Consumables!$H$5:$H$856,"Auto-deduct")</f>
        <v>0</v>
      </c>
      <c r="S85" s="15" t="n">
        <f aca="false">SUMIFS(Service_Consumables!$L$5:$L$856,Service_Consumables!$A$5:$A$856,$A85,Service_Consumables!$E$5:$E$856,S$5,Service_Consumables!$H$5:$H$856,"Auto-deduct")</f>
        <v>4</v>
      </c>
      <c r="T85" s="15" t="n">
        <f aca="false">SUMIFS(Service_Consumables!$L$5:$L$856,Service_Consumables!$A$5:$A$856,$A85,Service_Consumables!$E$5:$E$856,T$5,Service_Consumables!$H$5:$H$856,"Auto-deduct")</f>
        <v>0</v>
      </c>
      <c r="U85" s="15" t="n">
        <f aca="false">SUMIFS(Service_Consumables!$L$5:$L$856,Service_Consumables!$A$5:$A$856,$A85,Service_Consumables!$E$5:$E$856,U$5,Service_Consumables!$H$5:$H$856,"Auto-deduct")</f>
        <v>10</v>
      </c>
      <c r="V85" s="15" t="n">
        <f aca="false">SUMIFS(Service_Consumables!$L$5:$L$856,Service_Consumables!$A$5:$A$856,$A85,Service_Consumables!$E$5:$E$856,V$5,Service_Consumables!$H$5:$H$856,"Auto-deduct")</f>
        <v>0</v>
      </c>
      <c r="W85" s="15" t="n">
        <f aca="false">SUMIFS(Service_Consumables!$L$5:$L$856,Service_Consumables!$A$5:$A$856,$A85,Service_Consumables!$E$5:$E$856,W$5,Service_Consumables!$H$5:$H$856,"Auto-deduct")</f>
        <v>0</v>
      </c>
      <c r="X85" s="15" t="n">
        <f aca="false">SUMIFS(Service_Consumables!$L$5:$L$856,Service_Consumables!$A$5:$A$856,$A85,Service_Consumables!$E$5:$E$856,X$5,Service_Consumables!$H$5:$H$856,"Auto-deduct")</f>
        <v>0</v>
      </c>
      <c r="Y85" s="15" t="n">
        <f aca="false">SUMIFS(Service_Consumables!$L$5:$L$856,Service_Consumables!$A$5:$A$856,$A85,Service_Consumables!$E$5:$E$856,Y$5,Service_Consumables!$H$5:$H$856,"Auto-deduct")</f>
        <v>0</v>
      </c>
      <c r="Z85" s="15" t="n">
        <f aca="false">SUMIFS(Service_Consumables!$L$5:$L$856,Service_Consumables!$A$5:$A$856,$A85,Service_Consumables!$E$5:$E$856,Z$5,Service_Consumables!$H$5:$H$856,"Auto-deduct")</f>
        <v>0</v>
      </c>
      <c r="AA85" s="15" t="n">
        <f aca="false">SUMIFS(Service_Consumables!$L$5:$L$856,Service_Consumables!$A$5:$A$856,$A85,Service_Consumables!$E$5:$E$856,AA$5,Service_Consumables!$H$5:$H$856,"Auto-deduct")</f>
        <v>0</v>
      </c>
      <c r="AB85" s="15" t="n">
        <f aca="false">SUMIFS(Service_Consumables!$L$5:$L$856,Service_Consumables!$A$5:$A$856,$A85,Service_Consumables!$E$5:$E$856,AB$5,Service_Consumables!$H$5:$H$856,"Auto-deduct")</f>
        <v>0</v>
      </c>
      <c r="AC85" s="15" t="n">
        <f aca="false">SUMIFS(Service_Consumables!$L$5:$L$856,Service_Consumables!$A$5:$A$856,$A85,Service_Consumables!$E$5:$E$856,AC$5,Service_Consumables!$H$5:$H$856,"Auto-deduct")</f>
        <v>6</v>
      </c>
      <c r="AD85" s="15" t="n">
        <f aca="false">SUMIFS(Service_Consumables!$L$5:$L$856,Service_Consumables!$A$5:$A$856,$A85,Service_Consumables!$E$5:$E$856,AD$5,Service_Consumables!$H$5:$H$856,"Auto-deduct")</f>
        <v>15</v>
      </c>
      <c r="AE85" s="15" t="n">
        <f aca="false">SUMIFS(Service_Consumables!$L$5:$L$856,Service_Consumables!$A$5:$A$856,$A85,Service_Consumables!$E$5:$E$856,AE$5,Service_Consumables!$H$5:$H$856,"Auto-deduct")</f>
        <v>0</v>
      </c>
      <c r="AF85" s="15" t="n">
        <f aca="false">SUMIFS(Service_Consumables!$L$5:$L$856,Service_Consumables!$A$5:$A$856,$A85,Service_Consumables!$E$5:$E$856,AF$5,Service_Consumables!$H$5:$H$856,"Auto-deduct")</f>
        <v>0</v>
      </c>
      <c r="AG85" s="15" t="n">
        <f aca="false">SUMIFS(Service_Consumables!$L$5:$L$856,Service_Consumables!$A$5:$A$856,$A85,Service_Consumables!$E$5:$E$856,AG$5,Service_Consumables!$H$5:$H$856,"Auto-deduct")</f>
        <v>0</v>
      </c>
      <c r="AH85" s="15" t="n">
        <f aca="false">SUMIFS(Service_Consumables!$L$5:$L$856,Service_Consumables!$A$5:$A$856,$A85,Service_Consumables!$E$5:$E$856,AH$5,Service_Consumables!$H$5:$H$856,"Auto-deduct")</f>
        <v>0</v>
      </c>
      <c r="AI85" s="15" t="n">
        <f aca="false">SUMIFS(Service_Consumables!$L$5:$L$856,Service_Consumables!$A$5:$A$856,$A85,Service_Consumables!$E$5:$E$856,AI$5,Service_Consumables!$H$5:$H$856,"Auto-deduct")</f>
        <v>0</v>
      </c>
      <c r="AJ85" s="15" t="n">
        <f aca="false">SUMIFS(Service_Consumables!$L$5:$L$856,Service_Consumables!$A$5:$A$856,$A85,Service_Consumables!$E$5:$E$856,AJ$5,Service_Consumables!$H$5:$H$856,"Auto-deduct")</f>
        <v>0</v>
      </c>
      <c r="AK85" s="15" t="n">
        <f aca="false">SUMIFS(Service_Consumables!$L$5:$L$856,Service_Consumables!$A$5:$A$856,$A85,Service_Consumables!$E$5:$E$856,AK$5,Service_Consumables!$H$5:$H$856,"Auto-deduct")</f>
        <v>0</v>
      </c>
      <c r="AL85" s="15" t="n">
        <f aca="false">SUMIFS(Service_Consumables!$L$5:$L$856,Service_Consumables!$A$5:$A$856,$A85,Service_Consumables!$E$5:$E$856,AL$5,Service_Consumables!$H$5:$H$856,"Auto-deduct")</f>
        <v>0</v>
      </c>
      <c r="AM85" s="15" t="n">
        <f aca="false">SUMIFS(Service_Consumables!$L$5:$L$856,Service_Consumables!$A$5:$A$856,$A85,Service_Consumables!$E$5:$E$856,AM$5,Service_Consumables!$H$5:$H$856,"Auto-deduct")</f>
        <v>0</v>
      </c>
      <c r="AN85" s="15" t="n">
        <f aca="false">SUMIFS(Service_Consumables!$L$5:$L$856,Service_Consumables!$A$5:$A$856,$A85,Service_Consumables!$E$5:$E$856,AN$5,Service_Consumables!$H$5:$H$856,"Auto-deduct")</f>
        <v>0</v>
      </c>
      <c r="AO85" s="15" t="n">
        <f aca="false">SUMIFS(Service_Consumables!$L$5:$L$856,Service_Consumables!$A$5:$A$856,$A85,Service_Consumables!$E$5:$E$856,AO$5,Service_Consumables!$H$5:$H$856,"Auto-deduct")</f>
        <v>0</v>
      </c>
      <c r="AP85" s="15" t="n">
        <f aca="false">SUMIFS(Service_Consumables!$L$5:$L$856,Service_Consumables!$A$5:$A$856,$A85,Service_Consumables!$E$5:$E$856,AP$5,Service_Consumables!$H$5:$H$856,"Auto-deduct")</f>
        <v>0</v>
      </c>
      <c r="AQ85" s="15" t="n">
        <f aca="false">SUMIFS(Service_Consumables!$L$5:$L$856,Service_Consumables!$A$5:$A$856,$A85,Service_Consumables!$E$5:$E$856,AQ$5,Service_Consumables!$H$5:$H$856,"Auto-deduct")</f>
        <v>30</v>
      </c>
      <c r="AR85" s="15" t="n">
        <f aca="false">SUMIFS(Service_Consumables!$L$5:$L$856,Service_Consumables!$A$5:$A$856,$A85,Service_Consumables!$E$5:$E$856,AR$5,Service_Consumables!$H$5:$H$856,"Auto-deduct")</f>
        <v>0</v>
      </c>
      <c r="AS85" s="15" t="n">
        <f aca="false">SUMIFS(Service_Consumables!$L$5:$L$856,Service_Consumables!$A$5:$A$856,$A85,Service_Consumables!$E$5:$E$856,AS$5,Service_Consumables!$H$5:$H$856,"Auto-deduct")</f>
        <v>0</v>
      </c>
      <c r="AT85" s="15" t="n">
        <f aca="false">SUMIFS(Service_Consumables!$L$5:$L$856,Service_Consumables!$A$5:$A$856,$A85,Service_Consumables!$E$5:$E$856,AT$5,Service_Consumables!$H$5:$H$856,"Auto-deduct")</f>
        <v>0</v>
      </c>
      <c r="AU85" s="15" t="n">
        <f aca="false">SUMIFS(Service_Consumables!$L$5:$L$856,Service_Consumables!$A$5:$A$856,$A85,Service_Consumables!$E$5:$E$856,AU$5,Service_Consumables!$H$5:$H$856,"Auto-deduct")</f>
        <v>0</v>
      </c>
      <c r="AV85" s="15" t="n">
        <f aca="false">SUMIFS(Service_Consumables!$L$5:$L$856,Service_Consumables!$A$5:$A$856,$A85,Service_Consumables!$E$5:$E$856,AV$5,Service_Consumables!$H$5:$H$856,"Auto-deduct")</f>
        <v>0</v>
      </c>
      <c r="AW85" s="15" t="n">
        <f aca="false">SUMIFS(Service_Consumables!$L$5:$L$856,Service_Consumables!$A$5:$A$856,$A85,Service_Consumables!$E$5:$E$856,AW$5,Service_Consumables!$H$5:$H$856,"Auto-deduct")</f>
        <v>0</v>
      </c>
      <c r="AX85" s="15" t="n">
        <f aca="false">SUMIFS(Service_Consumables!$L$5:$L$856,Service_Consumables!$A$5:$A$856,$A85,Service_Consumables!$E$5:$E$856,AX$5,Service_Consumables!$H$5:$H$856,"Auto-deduct")</f>
        <v>0</v>
      </c>
      <c r="AY85" s="15" t="n">
        <f aca="false">SUMIFS(Service_Consumables!$L$5:$L$856,Service_Consumables!$A$5:$A$856,$A85,Service_Consumables!$E$5:$E$856,AY$5,Service_Consumables!$H$5:$H$856,"Auto-deduct")</f>
        <v>0</v>
      </c>
      <c r="AZ85" s="15" t="n">
        <f aca="false">SUMIFS(Service_Consumables!$L$5:$L$856,Service_Consumables!$A$5:$A$856,$A85,Service_Consumables!$E$5:$E$856,AZ$5,Service_Consumables!$H$5:$H$856,"Auto-deduct")</f>
        <v>0</v>
      </c>
      <c r="BA85" s="15" t="n">
        <f aca="false">SUMIFS(Service_Consumables!$L$5:$L$856,Service_Consumables!$A$5:$A$856,$A85,Service_Consumables!$E$5:$E$856,BA$5,Service_Consumables!$H$5:$H$856,"Auto-deduct")</f>
        <v>0</v>
      </c>
      <c r="BB85" s="15" t="n">
        <f aca="false">SUMIFS(Service_Consumables!$L$5:$L$856,Service_Consumables!$A$5:$A$856,$A85,Service_Consumables!$E$5:$E$856,BB$5,Service_Consumables!$H$5:$H$856,"Auto-deduct")</f>
        <v>0</v>
      </c>
      <c r="BC85" s="15" t="n">
        <f aca="false">SUMIFS(Service_Consumables!$L$5:$L$856,Service_Consumables!$A$5:$A$856,$A85,Service_Consumables!$E$5:$E$856,BC$5,Service_Consumables!$H$5:$H$856,"Auto-deduct")</f>
        <v>0</v>
      </c>
      <c r="BD85" s="15" t="n">
        <f aca="false">SUMIFS(Service_Consumables!$L$5:$L$856,Service_Consumables!$A$5:$A$856,$A85,Service_Consumables!$E$5:$E$856,BD$5,Service_Consumables!$H$5:$H$856,"Auto-deduct")</f>
        <v>0</v>
      </c>
      <c r="BE85" s="15" t="n">
        <f aca="false">SUMIFS(Service_Consumables!$L$5:$L$856,Service_Consumables!$A$5:$A$856,$A85,Service_Consumables!$E$5:$E$856,BE$5,Service_Consumables!$H$5:$H$856,"Auto-deduct")</f>
        <v>0</v>
      </c>
      <c r="BF85" s="15" t="n">
        <f aca="false">SUMIFS(Service_Consumables!$L$5:$L$856,Service_Consumables!$A$5:$A$856,$A85,Service_Consumables!$E$5:$E$856,BF$5,Service_Consumables!$H$5:$H$856,"Auto-deduct")</f>
        <v>0</v>
      </c>
      <c r="BG85" s="15" t="n">
        <f aca="false">SUMIFS(Service_Consumables!$L$5:$L$856,Service_Consumables!$A$5:$A$856,$A85,Service_Consumables!$E$5:$E$856,BG$5,Service_Consumables!$H$5:$H$856,"Auto-deduct")</f>
        <v>0</v>
      </c>
      <c r="BH85" s="15" t="n">
        <f aca="false">SUMIFS(Service_Consumables!$L$5:$L$856,Service_Consumables!$A$5:$A$856,$A85,Service_Consumables!$E$5:$E$856,BH$5,Service_Consumables!$H$5:$H$856,"Auto-deduct")</f>
        <v>0</v>
      </c>
      <c r="BI85" s="15" t="n">
        <f aca="false">SUMIFS(Service_Consumables!$L$5:$L$856,Service_Consumables!$A$5:$A$856,$A85,Service_Consumables!$E$5:$E$856,BI$5,Service_Consumables!$H$5:$H$856,"Auto-deduct")</f>
        <v>0</v>
      </c>
    </row>
    <row r="86" customFormat="false" ht="15" hidden="false" customHeight="false" outlineLevel="0" collapsed="false">
      <c r="A86" s="14" t="n">
        <f aca="false">Services!A85</f>
        <v>81</v>
      </c>
      <c r="B86" s="14" t="str">
        <f aca="false">Services!B85</f>
        <v>Body Tightening / Fat Reduction</v>
      </c>
      <c r="C86" s="14" t="str">
        <f aca="false">Services!C85</f>
        <v>BT w/ BFR Thigh</v>
      </c>
      <c r="D86" s="15" t="n">
        <f aca="false">SUMIFS(Service_Consumables!$L$5:$L$856,Service_Consumables!$A$5:$A$856,$A86,Service_Consumables!$E$5:$E$856,D$5,Service_Consumables!$H$5:$H$856,"Auto-deduct")</f>
        <v>0</v>
      </c>
      <c r="E86" s="15" t="n">
        <f aca="false">SUMIFS(Service_Consumables!$L$5:$L$856,Service_Consumables!$A$5:$A$856,$A86,Service_Consumables!$E$5:$E$856,E$5,Service_Consumables!$H$5:$H$856,"Auto-deduct")</f>
        <v>0</v>
      </c>
      <c r="F86" s="15" t="n">
        <f aca="false">SUMIFS(Service_Consumables!$L$5:$L$856,Service_Consumables!$A$5:$A$856,$A86,Service_Consumables!$E$5:$E$856,F$5,Service_Consumables!$H$5:$H$856,"Auto-deduct")</f>
        <v>0</v>
      </c>
      <c r="G86" s="15" t="n">
        <f aca="false">SUMIFS(Service_Consumables!$L$5:$L$856,Service_Consumables!$A$5:$A$856,$A86,Service_Consumables!$E$5:$E$856,G$5,Service_Consumables!$H$5:$H$856,"Auto-deduct")</f>
        <v>0</v>
      </c>
      <c r="H86" s="15" t="n">
        <f aca="false">SUMIFS(Service_Consumables!$L$5:$L$856,Service_Consumables!$A$5:$A$856,$A86,Service_Consumables!$E$5:$E$856,H$5,Service_Consumables!$H$5:$H$856,"Auto-deduct")</f>
        <v>0</v>
      </c>
      <c r="I86" s="15" t="n">
        <f aca="false">SUMIFS(Service_Consumables!$L$5:$L$856,Service_Consumables!$A$5:$A$856,$A86,Service_Consumables!$E$5:$E$856,I$5,Service_Consumables!$H$5:$H$856,"Auto-deduct")</f>
        <v>0</v>
      </c>
      <c r="J86" s="15" t="n">
        <f aca="false">SUMIFS(Service_Consumables!$L$5:$L$856,Service_Consumables!$A$5:$A$856,$A86,Service_Consumables!$E$5:$E$856,J$5,Service_Consumables!$H$5:$H$856,"Auto-deduct")</f>
        <v>0</v>
      </c>
      <c r="K86" s="15" t="n">
        <f aca="false">SUMIFS(Service_Consumables!$L$5:$L$856,Service_Consumables!$A$5:$A$856,$A86,Service_Consumables!$E$5:$E$856,K$5,Service_Consumables!$H$5:$H$856,"Auto-deduct")</f>
        <v>0</v>
      </c>
      <c r="L86" s="15" t="n">
        <f aca="false">SUMIFS(Service_Consumables!$L$5:$L$856,Service_Consumables!$A$5:$A$856,$A86,Service_Consumables!$E$5:$E$856,L$5,Service_Consumables!$H$5:$H$856,"Auto-deduct")</f>
        <v>0</v>
      </c>
      <c r="M86" s="15" t="n">
        <f aca="false">SUMIFS(Service_Consumables!$L$5:$L$856,Service_Consumables!$A$5:$A$856,$A86,Service_Consumables!$E$5:$E$856,M$5,Service_Consumables!$H$5:$H$856,"Auto-deduct")</f>
        <v>0</v>
      </c>
      <c r="N86" s="15" t="n">
        <f aca="false">SUMIFS(Service_Consumables!$L$5:$L$856,Service_Consumables!$A$5:$A$856,$A86,Service_Consumables!$E$5:$E$856,N$5,Service_Consumables!$H$5:$H$856,"Auto-deduct")</f>
        <v>0</v>
      </c>
      <c r="O86" s="15" t="n">
        <f aca="false">SUMIFS(Service_Consumables!$L$5:$L$856,Service_Consumables!$A$5:$A$856,$A86,Service_Consumables!$E$5:$E$856,O$5,Service_Consumables!$H$5:$H$856,"Auto-deduct")</f>
        <v>0</v>
      </c>
      <c r="P86" s="15" t="n">
        <f aca="false">SUMIFS(Service_Consumables!$L$5:$L$856,Service_Consumables!$A$5:$A$856,$A86,Service_Consumables!$E$5:$E$856,P$5,Service_Consumables!$H$5:$H$856,"Auto-deduct")</f>
        <v>1</v>
      </c>
      <c r="Q86" s="15" t="n">
        <f aca="false">SUMIFS(Service_Consumables!$L$5:$L$856,Service_Consumables!$A$5:$A$856,$A86,Service_Consumables!$E$5:$E$856,Q$5,Service_Consumables!$H$5:$H$856,"Auto-deduct")</f>
        <v>1</v>
      </c>
      <c r="R86" s="15" t="n">
        <f aca="false">SUMIFS(Service_Consumables!$L$5:$L$856,Service_Consumables!$A$5:$A$856,$A86,Service_Consumables!$E$5:$E$856,R$5,Service_Consumables!$H$5:$H$856,"Auto-deduct")</f>
        <v>0</v>
      </c>
      <c r="S86" s="15" t="n">
        <f aca="false">SUMIFS(Service_Consumables!$L$5:$L$856,Service_Consumables!$A$5:$A$856,$A86,Service_Consumables!$E$5:$E$856,S$5,Service_Consumables!$H$5:$H$856,"Auto-deduct")</f>
        <v>4</v>
      </c>
      <c r="T86" s="15" t="n">
        <f aca="false">SUMIFS(Service_Consumables!$L$5:$L$856,Service_Consumables!$A$5:$A$856,$A86,Service_Consumables!$E$5:$E$856,T$5,Service_Consumables!$H$5:$H$856,"Auto-deduct")</f>
        <v>0</v>
      </c>
      <c r="U86" s="15" t="n">
        <f aca="false">SUMIFS(Service_Consumables!$L$5:$L$856,Service_Consumables!$A$5:$A$856,$A86,Service_Consumables!$E$5:$E$856,U$5,Service_Consumables!$H$5:$H$856,"Auto-deduct")</f>
        <v>12</v>
      </c>
      <c r="V86" s="15" t="n">
        <f aca="false">SUMIFS(Service_Consumables!$L$5:$L$856,Service_Consumables!$A$5:$A$856,$A86,Service_Consumables!$E$5:$E$856,V$5,Service_Consumables!$H$5:$H$856,"Auto-deduct")</f>
        <v>0</v>
      </c>
      <c r="W86" s="15" t="n">
        <f aca="false">SUMIFS(Service_Consumables!$L$5:$L$856,Service_Consumables!$A$5:$A$856,$A86,Service_Consumables!$E$5:$E$856,W$5,Service_Consumables!$H$5:$H$856,"Auto-deduct")</f>
        <v>0</v>
      </c>
      <c r="X86" s="15" t="n">
        <f aca="false">SUMIFS(Service_Consumables!$L$5:$L$856,Service_Consumables!$A$5:$A$856,$A86,Service_Consumables!$E$5:$E$856,X$5,Service_Consumables!$H$5:$H$856,"Auto-deduct")</f>
        <v>0</v>
      </c>
      <c r="Y86" s="15" t="n">
        <f aca="false">SUMIFS(Service_Consumables!$L$5:$L$856,Service_Consumables!$A$5:$A$856,$A86,Service_Consumables!$E$5:$E$856,Y$5,Service_Consumables!$H$5:$H$856,"Auto-deduct")</f>
        <v>0</v>
      </c>
      <c r="Z86" s="15" t="n">
        <f aca="false">SUMIFS(Service_Consumables!$L$5:$L$856,Service_Consumables!$A$5:$A$856,$A86,Service_Consumables!$E$5:$E$856,Z$5,Service_Consumables!$H$5:$H$856,"Auto-deduct")</f>
        <v>0</v>
      </c>
      <c r="AA86" s="15" t="n">
        <f aca="false">SUMIFS(Service_Consumables!$L$5:$L$856,Service_Consumables!$A$5:$A$856,$A86,Service_Consumables!$E$5:$E$856,AA$5,Service_Consumables!$H$5:$H$856,"Auto-deduct")</f>
        <v>0</v>
      </c>
      <c r="AB86" s="15" t="n">
        <f aca="false">SUMIFS(Service_Consumables!$L$5:$L$856,Service_Consumables!$A$5:$A$856,$A86,Service_Consumables!$E$5:$E$856,AB$5,Service_Consumables!$H$5:$H$856,"Auto-deduct")</f>
        <v>0</v>
      </c>
      <c r="AC86" s="15" t="n">
        <f aca="false">SUMIFS(Service_Consumables!$L$5:$L$856,Service_Consumables!$A$5:$A$856,$A86,Service_Consumables!$E$5:$E$856,AC$5,Service_Consumables!$H$5:$H$856,"Auto-deduct")</f>
        <v>6</v>
      </c>
      <c r="AD86" s="15" t="n">
        <f aca="false">SUMIFS(Service_Consumables!$L$5:$L$856,Service_Consumables!$A$5:$A$856,$A86,Service_Consumables!$E$5:$E$856,AD$5,Service_Consumables!$H$5:$H$856,"Auto-deduct")</f>
        <v>15</v>
      </c>
      <c r="AE86" s="15" t="n">
        <f aca="false">SUMIFS(Service_Consumables!$L$5:$L$856,Service_Consumables!$A$5:$A$856,$A86,Service_Consumables!$E$5:$E$856,AE$5,Service_Consumables!$H$5:$H$856,"Auto-deduct")</f>
        <v>0</v>
      </c>
      <c r="AF86" s="15" t="n">
        <f aca="false">SUMIFS(Service_Consumables!$L$5:$L$856,Service_Consumables!$A$5:$A$856,$A86,Service_Consumables!$E$5:$E$856,AF$5,Service_Consumables!$H$5:$H$856,"Auto-deduct")</f>
        <v>0</v>
      </c>
      <c r="AG86" s="15" t="n">
        <f aca="false">SUMIFS(Service_Consumables!$L$5:$L$856,Service_Consumables!$A$5:$A$856,$A86,Service_Consumables!$E$5:$E$856,AG$5,Service_Consumables!$H$5:$H$856,"Auto-deduct")</f>
        <v>0</v>
      </c>
      <c r="AH86" s="15" t="n">
        <f aca="false">SUMIFS(Service_Consumables!$L$5:$L$856,Service_Consumables!$A$5:$A$856,$A86,Service_Consumables!$E$5:$E$856,AH$5,Service_Consumables!$H$5:$H$856,"Auto-deduct")</f>
        <v>0</v>
      </c>
      <c r="AI86" s="15" t="n">
        <f aca="false">SUMIFS(Service_Consumables!$L$5:$L$856,Service_Consumables!$A$5:$A$856,$A86,Service_Consumables!$E$5:$E$856,AI$5,Service_Consumables!$H$5:$H$856,"Auto-deduct")</f>
        <v>0</v>
      </c>
      <c r="AJ86" s="15" t="n">
        <f aca="false">SUMIFS(Service_Consumables!$L$5:$L$856,Service_Consumables!$A$5:$A$856,$A86,Service_Consumables!$E$5:$E$856,AJ$5,Service_Consumables!$H$5:$H$856,"Auto-deduct")</f>
        <v>0</v>
      </c>
      <c r="AK86" s="15" t="n">
        <f aca="false">SUMIFS(Service_Consumables!$L$5:$L$856,Service_Consumables!$A$5:$A$856,$A86,Service_Consumables!$E$5:$E$856,AK$5,Service_Consumables!$H$5:$H$856,"Auto-deduct")</f>
        <v>0</v>
      </c>
      <c r="AL86" s="15" t="n">
        <f aca="false">SUMIFS(Service_Consumables!$L$5:$L$856,Service_Consumables!$A$5:$A$856,$A86,Service_Consumables!$E$5:$E$856,AL$5,Service_Consumables!$H$5:$H$856,"Auto-deduct")</f>
        <v>0</v>
      </c>
      <c r="AM86" s="15" t="n">
        <f aca="false">SUMIFS(Service_Consumables!$L$5:$L$856,Service_Consumables!$A$5:$A$856,$A86,Service_Consumables!$E$5:$E$856,AM$5,Service_Consumables!$H$5:$H$856,"Auto-deduct")</f>
        <v>0</v>
      </c>
      <c r="AN86" s="15" t="n">
        <f aca="false">SUMIFS(Service_Consumables!$L$5:$L$856,Service_Consumables!$A$5:$A$856,$A86,Service_Consumables!$E$5:$E$856,AN$5,Service_Consumables!$H$5:$H$856,"Auto-deduct")</f>
        <v>0</v>
      </c>
      <c r="AO86" s="15" t="n">
        <f aca="false">SUMIFS(Service_Consumables!$L$5:$L$856,Service_Consumables!$A$5:$A$856,$A86,Service_Consumables!$E$5:$E$856,AO$5,Service_Consumables!$H$5:$H$856,"Auto-deduct")</f>
        <v>0</v>
      </c>
      <c r="AP86" s="15" t="n">
        <f aca="false">SUMIFS(Service_Consumables!$L$5:$L$856,Service_Consumables!$A$5:$A$856,$A86,Service_Consumables!$E$5:$E$856,AP$5,Service_Consumables!$H$5:$H$856,"Auto-deduct")</f>
        <v>20</v>
      </c>
      <c r="AQ86" s="15" t="n">
        <f aca="false">SUMIFS(Service_Consumables!$L$5:$L$856,Service_Consumables!$A$5:$A$856,$A86,Service_Consumables!$E$5:$E$856,AQ$5,Service_Consumables!$H$5:$H$856,"Auto-deduct")</f>
        <v>30</v>
      </c>
      <c r="AR86" s="15" t="n">
        <f aca="false">SUMIFS(Service_Consumables!$L$5:$L$856,Service_Consumables!$A$5:$A$856,$A86,Service_Consumables!$E$5:$E$856,AR$5,Service_Consumables!$H$5:$H$856,"Auto-deduct")</f>
        <v>0</v>
      </c>
      <c r="AS86" s="15" t="n">
        <f aca="false">SUMIFS(Service_Consumables!$L$5:$L$856,Service_Consumables!$A$5:$A$856,$A86,Service_Consumables!$E$5:$E$856,AS$5,Service_Consumables!$H$5:$H$856,"Auto-deduct")</f>
        <v>0</v>
      </c>
      <c r="AT86" s="15" t="n">
        <f aca="false">SUMIFS(Service_Consumables!$L$5:$L$856,Service_Consumables!$A$5:$A$856,$A86,Service_Consumables!$E$5:$E$856,AT$5,Service_Consumables!$H$5:$H$856,"Auto-deduct")</f>
        <v>0</v>
      </c>
      <c r="AU86" s="15" t="n">
        <f aca="false">SUMIFS(Service_Consumables!$L$5:$L$856,Service_Consumables!$A$5:$A$856,$A86,Service_Consumables!$E$5:$E$856,AU$5,Service_Consumables!$H$5:$H$856,"Auto-deduct")</f>
        <v>0</v>
      </c>
      <c r="AV86" s="15" t="n">
        <f aca="false">SUMIFS(Service_Consumables!$L$5:$L$856,Service_Consumables!$A$5:$A$856,$A86,Service_Consumables!$E$5:$E$856,AV$5,Service_Consumables!$H$5:$H$856,"Auto-deduct")</f>
        <v>0</v>
      </c>
      <c r="AW86" s="15" t="n">
        <f aca="false">SUMIFS(Service_Consumables!$L$5:$L$856,Service_Consumables!$A$5:$A$856,$A86,Service_Consumables!$E$5:$E$856,AW$5,Service_Consumables!$H$5:$H$856,"Auto-deduct")</f>
        <v>0</v>
      </c>
      <c r="AX86" s="15" t="n">
        <f aca="false">SUMIFS(Service_Consumables!$L$5:$L$856,Service_Consumables!$A$5:$A$856,$A86,Service_Consumables!$E$5:$E$856,AX$5,Service_Consumables!$H$5:$H$856,"Auto-deduct")</f>
        <v>0</v>
      </c>
      <c r="AY86" s="15" t="n">
        <f aca="false">SUMIFS(Service_Consumables!$L$5:$L$856,Service_Consumables!$A$5:$A$856,$A86,Service_Consumables!$E$5:$E$856,AY$5,Service_Consumables!$H$5:$H$856,"Auto-deduct")</f>
        <v>0</v>
      </c>
      <c r="AZ86" s="15" t="n">
        <f aca="false">SUMIFS(Service_Consumables!$L$5:$L$856,Service_Consumables!$A$5:$A$856,$A86,Service_Consumables!$E$5:$E$856,AZ$5,Service_Consumables!$H$5:$H$856,"Auto-deduct")</f>
        <v>0</v>
      </c>
      <c r="BA86" s="15" t="n">
        <f aca="false">SUMIFS(Service_Consumables!$L$5:$L$856,Service_Consumables!$A$5:$A$856,$A86,Service_Consumables!$E$5:$E$856,BA$5,Service_Consumables!$H$5:$H$856,"Auto-deduct")</f>
        <v>0</v>
      </c>
      <c r="BB86" s="15" t="n">
        <f aca="false">SUMIFS(Service_Consumables!$L$5:$L$856,Service_Consumables!$A$5:$A$856,$A86,Service_Consumables!$E$5:$E$856,BB$5,Service_Consumables!$H$5:$H$856,"Auto-deduct")</f>
        <v>0</v>
      </c>
      <c r="BC86" s="15" t="n">
        <f aca="false">SUMIFS(Service_Consumables!$L$5:$L$856,Service_Consumables!$A$5:$A$856,$A86,Service_Consumables!$E$5:$E$856,BC$5,Service_Consumables!$H$5:$H$856,"Auto-deduct")</f>
        <v>0</v>
      </c>
      <c r="BD86" s="15" t="n">
        <f aca="false">SUMIFS(Service_Consumables!$L$5:$L$856,Service_Consumables!$A$5:$A$856,$A86,Service_Consumables!$E$5:$E$856,BD$5,Service_Consumables!$H$5:$H$856,"Auto-deduct")</f>
        <v>0</v>
      </c>
      <c r="BE86" s="15" t="n">
        <f aca="false">SUMIFS(Service_Consumables!$L$5:$L$856,Service_Consumables!$A$5:$A$856,$A86,Service_Consumables!$E$5:$E$856,BE$5,Service_Consumables!$H$5:$H$856,"Auto-deduct")</f>
        <v>0</v>
      </c>
      <c r="BF86" s="15" t="n">
        <f aca="false">SUMIFS(Service_Consumables!$L$5:$L$856,Service_Consumables!$A$5:$A$856,$A86,Service_Consumables!$E$5:$E$856,BF$5,Service_Consumables!$H$5:$H$856,"Auto-deduct")</f>
        <v>0</v>
      </c>
      <c r="BG86" s="15" t="n">
        <f aca="false">SUMIFS(Service_Consumables!$L$5:$L$856,Service_Consumables!$A$5:$A$856,$A86,Service_Consumables!$E$5:$E$856,BG$5,Service_Consumables!$H$5:$H$856,"Auto-deduct")</f>
        <v>0</v>
      </c>
      <c r="BH86" s="15" t="n">
        <f aca="false">SUMIFS(Service_Consumables!$L$5:$L$856,Service_Consumables!$A$5:$A$856,$A86,Service_Consumables!$E$5:$E$856,BH$5,Service_Consumables!$H$5:$H$856,"Auto-deduct")</f>
        <v>0</v>
      </c>
      <c r="BI86" s="15" t="n">
        <f aca="false">SUMIFS(Service_Consumables!$L$5:$L$856,Service_Consumables!$A$5:$A$856,$A86,Service_Consumables!$E$5:$E$856,BI$5,Service_Consumables!$H$5:$H$856,"Auto-deduct")</f>
        <v>0</v>
      </c>
    </row>
  </sheetData>
  <conditionalFormatting sqref="D6:BI86">
    <cfRule type="cellIs" priority="2" operator="greater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62"/>
    <col collapsed="false" customWidth="true" hidden="false" outlineLevel="0" max="5" min="5" style="0" width="38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409</v>
      </c>
    </row>
    <row r="2" customFormat="false" ht="15" hidden="false" customHeight="false" outlineLevel="0" collapsed="false">
      <c r="A2" s="4" t="s">
        <v>410</v>
      </c>
    </row>
    <row r="4" customFormat="false" ht="15" hidden="false" customHeight="false" outlineLevel="0" collapsed="false">
      <c r="A4" s="5" t="s">
        <v>254</v>
      </c>
      <c r="B4" s="5" t="s">
        <v>411</v>
      </c>
      <c r="C4" s="5" t="s">
        <v>412</v>
      </c>
      <c r="D4" s="5" t="s">
        <v>413</v>
      </c>
      <c r="E4" s="5" t="s">
        <v>414</v>
      </c>
      <c r="F4" s="5" t="s">
        <v>415</v>
      </c>
    </row>
    <row r="5" customFormat="false" ht="23.85" hidden="false" customHeight="false" outlineLevel="0" collapsed="false">
      <c r="A5" s="9" t="s">
        <v>261</v>
      </c>
      <c r="B5" s="9" t="n">
        <f aca="false">COUNTIF(Services!$B$5:$B$85,A5)</f>
        <v>6</v>
      </c>
      <c r="C5" s="9" t="s">
        <v>416</v>
      </c>
      <c r="D5" s="9" t="s">
        <v>417</v>
      </c>
      <c r="E5" s="9" t="s">
        <v>418</v>
      </c>
      <c r="F5" s="9" t="s">
        <v>419</v>
      </c>
    </row>
    <row r="6" customFormat="false" ht="15" hidden="false" customHeight="false" outlineLevel="0" collapsed="false">
      <c r="A6" s="9" t="s">
        <v>271</v>
      </c>
      <c r="B6" s="9" t="n">
        <f aca="false">COUNTIF(Services!$B$5:$B$85,A6)</f>
        <v>4</v>
      </c>
      <c r="C6" s="9" t="s">
        <v>420</v>
      </c>
      <c r="D6" s="9" t="s">
        <v>421</v>
      </c>
      <c r="E6" s="9" t="s">
        <v>418</v>
      </c>
      <c r="F6" s="9" t="s">
        <v>342</v>
      </c>
    </row>
    <row r="7" customFormat="false" ht="15" hidden="false" customHeight="false" outlineLevel="0" collapsed="false">
      <c r="A7" s="9" t="s">
        <v>278</v>
      </c>
      <c r="B7" s="9" t="n">
        <f aca="false">COUNTIF(Services!$B$5:$B$85,A7)</f>
        <v>9</v>
      </c>
      <c r="C7" s="9" t="s">
        <v>422</v>
      </c>
      <c r="D7" s="9" t="s">
        <v>423</v>
      </c>
      <c r="E7" s="9" t="s">
        <v>418</v>
      </c>
      <c r="F7" s="9" t="s">
        <v>424</v>
      </c>
    </row>
    <row r="8" customFormat="false" ht="15" hidden="false" customHeight="false" outlineLevel="0" collapsed="false">
      <c r="A8" s="9" t="s">
        <v>293</v>
      </c>
      <c r="B8" s="9" t="n">
        <f aca="false">COUNTIF(Services!$B$5:$B$85,A8)</f>
        <v>1</v>
      </c>
      <c r="C8" s="9" t="s">
        <v>425</v>
      </c>
      <c r="D8" s="9" t="s">
        <v>426</v>
      </c>
      <c r="E8" s="9" t="s">
        <v>427</v>
      </c>
      <c r="F8" s="9" t="s">
        <v>342</v>
      </c>
    </row>
    <row r="9" customFormat="false" ht="15" hidden="false" customHeight="false" outlineLevel="0" collapsed="false">
      <c r="A9" s="9" t="s">
        <v>297</v>
      </c>
      <c r="B9" s="9" t="n">
        <f aca="false">COUNTIF(Services!$B$5:$B$85,A9)</f>
        <v>3</v>
      </c>
      <c r="C9" s="9" t="s">
        <v>428</v>
      </c>
      <c r="D9" s="9" t="s">
        <v>429</v>
      </c>
      <c r="E9" s="9" t="s">
        <v>430</v>
      </c>
      <c r="F9" s="9" t="s">
        <v>419</v>
      </c>
    </row>
    <row r="10" customFormat="false" ht="23.85" hidden="false" customHeight="false" outlineLevel="0" collapsed="false">
      <c r="A10" s="9" t="s">
        <v>302</v>
      </c>
      <c r="B10" s="9" t="n">
        <f aca="false">COUNTIF(Services!$B$5:$B$85,A10)</f>
        <v>4</v>
      </c>
      <c r="C10" s="9" t="s">
        <v>431</v>
      </c>
      <c r="D10" s="9" t="s">
        <v>432</v>
      </c>
      <c r="E10" s="9" t="s">
        <v>418</v>
      </c>
      <c r="F10" s="9" t="s">
        <v>419</v>
      </c>
    </row>
    <row r="11" customFormat="false" ht="23.85" hidden="false" customHeight="false" outlineLevel="0" collapsed="false">
      <c r="A11" s="9" t="s">
        <v>311</v>
      </c>
      <c r="B11" s="9" t="n">
        <f aca="false">COUNTIF(Services!$B$5:$B$85,A11)</f>
        <v>8</v>
      </c>
      <c r="C11" s="9" t="s">
        <v>433</v>
      </c>
      <c r="D11" s="9" t="s">
        <v>434</v>
      </c>
      <c r="E11" s="9" t="s">
        <v>435</v>
      </c>
      <c r="F11" s="9" t="s">
        <v>419</v>
      </c>
    </row>
    <row r="12" customFormat="false" ht="15" hidden="false" customHeight="false" outlineLevel="0" collapsed="false">
      <c r="A12" s="9" t="s">
        <v>324</v>
      </c>
      <c r="B12" s="9" t="n">
        <f aca="false">COUNTIF(Services!$B$5:$B$85,A12)</f>
        <v>6</v>
      </c>
      <c r="C12" s="9" t="s">
        <v>436</v>
      </c>
      <c r="D12" s="9" t="s">
        <v>437</v>
      </c>
      <c r="E12" s="9" t="s">
        <v>435</v>
      </c>
      <c r="F12" s="9" t="s">
        <v>419</v>
      </c>
    </row>
    <row r="13" customFormat="false" ht="15" hidden="false" customHeight="false" outlineLevel="0" collapsed="false">
      <c r="A13" s="9" t="s">
        <v>334</v>
      </c>
      <c r="B13" s="9" t="n">
        <f aca="false">COUNTIF(Services!$B$5:$B$85,A13)</f>
        <v>2</v>
      </c>
      <c r="C13" s="9" t="s">
        <v>438</v>
      </c>
      <c r="D13" s="9" t="s">
        <v>439</v>
      </c>
      <c r="E13" s="9" t="s">
        <v>418</v>
      </c>
      <c r="F13" s="9" t="s">
        <v>419</v>
      </c>
    </row>
    <row r="14" customFormat="false" ht="15" hidden="false" customHeight="false" outlineLevel="0" collapsed="false">
      <c r="A14" s="9" t="s">
        <v>339</v>
      </c>
      <c r="B14" s="9" t="n">
        <f aca="false">COUNTIF(Services!$B$5:$B$85,A14)</f>
        <v>7</v>
      </c>
      <c r="C14" s="9" t="s">
        <v>438</v>
      </c>
      <c r="D14" s="9" t="s">
        <v>440</v>
      </c>
      <c r="E14" s="9" t="s">
        <v>418</v>
      </c>
      <c r="F14" s="9" t="s">
        <v>419</v>
      </c>
    </row>
    <row r="15" customFormat="false" ht="15" hidden="false" customHeight="false" outlineLevel="0" collapsed="false">
      <c r="A15" s="9" t="s">
        <v>352</v>
      </c>
      <c r="B15" s="9" t="n">
        <f aca="false">COUNTIF(Services!$B$5:$B$85,A15)</f>
        <v>9</v>
      </c>
      <c r="C15" s="9" t="s">
        <v>441</v>
      </c>
      <c r="D15" s="9" t="s">
        <v>442</v>
      </c>
      <c r="E15" s="9" t="s">
        <v>430</v>
      </c>
      <c r="F15" s="9" t="s">
        <v>424</v>
      </c>
    </row>
    <row r="16" customFormat="false" ht="15" hidden="false" customHeight="false" outlineLevel="0" collapsed="false">
      <c r="A16" s="9" t="s">
        <v>373</v>
      </c>
      <c r="B16" s="9" t="n">
        <f aca="false">COUNTIF(Services!$B$5:$B$85,A16)</f>
        <v>13</v>
      </c>
      <c r="C16" s="9" t="s">
        <v>443</v>
      </c>
      <c r="D16" s="9" t="s">
        <v>444</v>
      </c>
      <c r="E16" s="9" t="s">
        <v>430</v>
      </c>
      <c r="F16" s="9" t="s">
        <v>419</v>
      </c>
    </row>
    <row r="17" customFormat="false" ht="15" hidden="false" customHeight="false" outlineLevel="0" collapsed="false">
      <c r="A17" s="9" t="s">
        <v>384</v>
      </c>
      <c r="B17" s="9" t="n">
        <f aca="false">COUNTIF(Services!$B$5:$B$85,A17)</f>
        <v>9</v>
      </c>
      <c r="C17" s="9" t="s">
        <v>445</v>
      </c>
      <c r="D17" s="9" t="s">
        <v>446</v>
      </c>
      <c r="E17" s="9" t="s">
        <v>418</v>
      </c>
      <c r="F17" s="9" t="s">
        <v>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45"/>
    <col collapsed="false" customWidth="true" hidden="false" outlineLevel="0" max="5" min="5" style="0" width="60"/>
    <col collapsed="false" customWidth="true" hidden="false" outlineLevel="0" max="6" min="6" style="0" width="8"/>
  </cols>
  <sheetData>
    <row r="1" customFormat="false" ht="17.35" hidden="false" customHeight="false" outlineLevel="0" collapsed="false">
      <c r="A1" s="1" t="s">
        <v>447</v>
      </c>
    </row>
    <row r="2" customFormat="false" ht="15" hidden="false" customHeight="false" outlineLevel="0" collapsed="false">
      <c r="A2" s="4" t="s">
        <v>448</v>
      </c>
    </row>
    <row r="4" customFormat="false" ht="15" hidden="false" customHeight="false" outlineLevel="0" collapsed="false">
      <c r="A4" s="5" t="s">
        <v>449</v>
      </c>
      <c r="B4" s="5" t="s">
        <v>450</v>
      </c>
      <c r="C4" s="5" t="s">
        <v>451</v>
      </c>
      <c r="D4" s="5" t="s">
        <v>452</v>
      </c>
      <c r="E4" s="5" t="s">
        <v>453</v>
      </c>
      <c r="F4" s="5" t="s">
        <v>454</v>
      </c>
    </row>
    <row r="5" customFormat="false" ht="46.25" hidden="false" customHeight="false" outlineLevel="0" collapsed="false">
      <c r="A5" s="9" t="n">
        <v>1</v>
      </c>
      <c r="B5" s="9" t="s">
        <v>455</v>
      </c>
      <c r="C5" s="9" t="s">
        <v>456</v>
      </c>
      <c r="D5" s="9" t="s">
        <v>457</v>
      </c>
      <c r="E5" s="9" t="s">
        <v>458</v>
      </c>
      <c r="F5" s="9" t="s">
        <v>459</v>
      </c>
    </row>
    <row r="6" customFormat="false" ht="35.05" hidden="false" customHeight="false" outlineLevel="0" collapsed="false">
      <c r="A6" s="9" t="n">
        <v>2</v>
      </c>
      <c r="B6" s="9" t="s">
        <v>460</v>
      </c>
      <c r="C6" s="9" t="s">
        <v>461</v>
      </c>
      <c r="D6" s="9" t="s">
        <v>462</v>
      </c>
      <c r="E6" s="9" t="s">
        <v>463</v>
      </c>
      <c r="F6" s="9" t="s">
        <v>459</v>
      </c>
    </row>
    <row r="7" customFormat="false" ht="35.05" hidden="false" customHeight="false" outlineLevel="0" collapsed="false">
      <c r="A7" s="9" t="n">
        <v>3</v>
      </c>
      <c r="B7" s="9" t="s">
        <v>464</v>
      </c>
      <c r="C7" s="9" t="s">
        <v>465</v>
      </c>
      <c r="D7" s="9" t="s">
        <v>466</v>
      </c>
      <c r="E7" s="9" t="s">
        <v>467</v>
      </c>
      <c r="F7" s="9" t="s">
        <v>468</v>
      </c>
    </row>
    <row r="8" customFormat="false" ht="46.25" hidden="false" customHeight="false" outlineLevel="0" collapsed="false">
      <c r="A8" s="9" t="n">
        <v>4</v>
      </c>
      <c r="B8" s="9" t="s">
        <v>469</v>
      </c>
      <c r="C8" s="9" t="s">
        <v>470</v>
      </c>
      <c r="D8" s="9" t="s">
        <v>471</v>
      </c>
      <c r="E8" s="9" t="s">
        <v>472</v>
      </c>
      <c r="F8" s="9" t="s">
        <v>468</v>
      </c>
    </row>
    <row r="9" customFormat="false" ht="46.25" hidden="false" customHeight="false" outlineLevel="0" collapsed="false">
      <c r="A9" s="9" t="n">
        <v>5</v>
      </c>
      <c r="B9" s="9" t="s">
        <v>473</v>
      </c>
      <c r="C9" s="9" t="s">
        <v>474</v>
      </c>
      <c r="D9" s="9" t="s">
        <v>475</v>
      </c>
      <c r="E9" s="9" t="s">
        <v>476</v>
      </c>
      <c r="F9" s="9" t="s">
        <v>468</v>
      </c>
    </row>
    <row r="10" customFormat="false" ht="23.85" hidden="false" customHeight="false" outlineLevel="0" collapsed="false">
      <c r="A10" s="9" t="n">
        <v>6</v>
      </c>
      <c r="B10" s="9" t="s">
        <v>477</v>
      </c>
      <c r="C10" s="9" t="s">
        <v>478</v>
      </c>
      <c r="D10" s="9" t="s">
        <v>479</v>
      </c>
      <c r="E10" s="9" t="s">
        <v>480</v>
      </c>
      <c r="F10" s="9" t="s">
        <v>459</v>
      </c>
    </row>
    <row r="11" customFormat="false" ht="35.05" hidden="false" customHeight="false" outlineLevel="0" collapsed="false">
      <c r="A11" s="9" t="n">
        <v>7</v>
      </c>
      <c r="B11" s="9" t="s">
        <v>481</v>
      </c>
      <c r="C11" s="9" t="s">
        <v>482</v>
      </c>
      <c r="D11" s="9" t="s">
        <v>483</v>
      </c>
      <c r="E11" s="9" t="s">
        <v>484</v>
      </c>
      <c r="F11" s="9" t="s">
        <v>468</v>
      </c>
    </row>
    <row r="12" customFormat="false" ht="35.05" hidden="false" customHeight="false" outlineLevel="0" collapsed="false">
      <c r="A12" s="9" t="n">
        <v>8</v>
      </c>
      <c r="B12" s="9" t="s">
        <v>485</v>
      </c>
      <c r="C12" s="9" t="s">
        <v>486</v>
      </c>
      <c r="D12" s="9" t="s">
        <v>487</v>
      </c>
      <c r="E12" s="9" t="s">
        <v>488</v>
      </c>
      <c r="F12" s="9" t="s">
        <v>489</v>
      </c>
    </row>
    <row r="13" customFormat="false" ht="35.05" hidden="false" customHeight="false" outlineLevel="0" collapsed="false">
      <c r="A13" s="9" t="n">
        <v>9</v>
      </c>
      <c r="B13" s="9" t="s">
        <v>490</v>
      </c>
      <c r="C13" s="9" t="s">
        <v>491</v>
      </c>
      <c r="D13" s="9" t="s">
        <v>492</v>
      </c>
      <c r="E13" s="9" t="s">
        <v>493</v>
      </c>
      <c r="F13" s="9" t="s">
        <v>459</v>
      </c>
    </row>
    <row r="14" customFormat="false" ht="35.05" hidden="false" customHeight="false" outlineLevel="0" collapsed="false">
      <c r="A14" s="9" t="n">
        <v>10</v>
      </c>
      <c r="B14" s="9" t="s">
        <v>494</v>
      </c>
      <c r="C14" s="9" t="s">
        <v>495</v>
      </c>
      <c r="D14" s="9" t="s">
        <v>496</v>
      </c>
      <c r="E14" s="9" t="s">
        <v>497</v>
      </c>
      <c r="F14" s="9" t="s">
        <v>459</v>
      </c>
    </row>
    <row r="15" customFormat="false" ht="35.05" hidden="false" customHeight="false" outlineLevel="0" collapsed="false">
      <c r="A15" s="9" t="n">
        <v>11</v>
      </c>
      <c r="B15" s="9" t="s">
        <v>498</v>
      </c>
      <c r="C15" s="9" t="s">
        <v>499</v>
      </c>
      <c r="D15" s="9" t="s">
        <v>500</v>
      </c>
      <c r="E15" s="9" t="s">
        <v>501</v>
      </c>
      <c r="F15" s="9" t="s">
        <v>459</v>
      </c>
    </row>
    <row r="16" customFormat="false" ht="23.85" hidden="false" customHeight="false" outlineLevel="0" collapsed="false">
      <c r="A16" s="9" t="n">
        <v>12</v>
      </c>
      <c r="B16" s="9" t="s">
        <v>502</v>
      </c>
      <c r="C16" s="9" t="s">
        <v>503</v>
      </c>
      <c r="D16" s="9" t="s">
        <v>504</v>
      </c>
      <c r="E16" s="9" t="s">
        <v>505</v>
      </c>
      <c r="F16" s="9" t="s">
        <v>468</v>
      </c>
    </row>
    <row r="17" customFormat="false" ht="35.05" hidden="false" customHeight="false" outlineLevel="0" collapsed="false">
      <c r="A17" s="9" t="n">
        <v>13</v>
      </c>
      <c r="B17" s="9" t="s">
        <v>506</v>
      </c>
      <c r="C17" s="9" t="s">
        <v>507</v>
      </c>
      <c r="D17" s="9" t="s">
        <v>508</v>
      </c>
      <c r="E17" s="9" t="s">
        <v>509</v>
      </c>
      <c r="F17" s="9" t="s">
        <v>459</v>
      </c>
    </row>
    <row r="18" customFormat="false" ht="23.85" hidden="false" customHeight="false" outlineLevel="0" collapsed="false">
      <c r="A18" s="9" t="n">
        <v>14</v>
      </c>
      <c r="B18" s="9" t="s">
        <v>510</v>
      </c>
      <c r="C18" s="9" t="s">
        <v>511</v>
      </c>
      <c r="D18" s="9" t="s">
        <v>512</v>
      </c>
      <c r="E18" s="9" t="s">
        <v>513</v>
      </c>
      <c r="F18" s="9" t="s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2026-09-28T08:43:20Z</dcterms:created>
  <dc:creator>openpyxl</dc:creator>
  <dc:description/>
  <dc:language>en-US</dc:language>
  <cp:lastModifiedBy/>
  <dcterms:modified xsi:type="dcterms:W3CDTF">2026-09-28T08:43:20Z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